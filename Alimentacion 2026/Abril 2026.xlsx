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6\"/>
    </mc:Choice>
  </mc:AlternateContent>
  <xr:revisionPtr revIDLastSave="0" documentId="13_ncr:1_{6A154585-C8A5-47A7-808B-D867E8A1715E}" xr6:coauthVersionLast="47" xr6:coauthVersionMax="47" xr10:uidLastSave="{00000000-0000-0000-0000-000000000000}"/>
  <bookViews>
    <workbookView xWindow="-120" yWindow="-120" windowWidth="20730" windowHeight="11310" tabRatio="753" activeTab="11" xr2:uid="{00000000-000D-0000-FFFF-FFFF00000000}"/>
  </bookViews>
  <sheets>
    <sheet name="01" sheetId="7" r:id="rId1"/>
    <sheet name="02" sheetId="1" r:id="rId2"/>
    <sheet name="03" sheetId="2" r:id="rId3"/>
    <sheet name="04" sheetId="3" r:id="rId4"/>
    <sheet name="05" sheetId="4" r:id="rId5"/>
    <sheet name="06" sheetId="5" r:id="rId6"/>
    <sheet name="07" sheetId="6" r:id="rId7"/>
    <sheet name="08" sheetId="8" r:id="rId8"/>
    <sheet name="09" sheetId="9" r:id="rId9"/>
    <sheet name="Total" sheetId="10" r:id="rId10"/>
    <sheet name="Hoja21" sheetId="11" r:id="rId11"/>
    <sheet name="Total Consumo Mensual" sheetId="12" r:id="rId12"/>
    <sheet name="Mensual" sheetId="13" r:id="rId13"/>
  </sheets>
  <calcPr calcId="191029"/>
  <pivotCaches>
    <pivotCache cacheId="1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h/yKK5MYOT3sBFJA/bQpKX71iDhU1xAqAAtSnxApJ4g="/>
    </ext>
  </extLst>
</workbook>
</file>

<file path=xl/calcChain.xml><?xml version="1.0" encoding="utf-8"?>
<calcChain xmlns="http://schemas.openxmlformats.org/spreadsheetml/2006/main">
  <c r="D70" i="12" l="1"/>
  <c r="F67" i="12"/>
  <c r="G67" i="12"/>
  <c r="M14" i="7"/>
  <c r="Z14" i="7"/>
  <c r="A78" i="12"/>
  <c r="A79" i="12"/>
  <c r="A80" i="12"/>
  <c r="A81" i="12"/>
  <c r="A82" i="12"/>
  <c r="A83" i="12"/>
  <c r="A84" i="12"/>
  <c r="A85" i="12"/>
  <c r="A86" i="12"/>
  <c r="A87" i="12"/>
  <c r="A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E77" i="12"/>
  <c r="F77" i="12"/>
  <c r="G77" i="12"/>
  <c r="H77" i="12"/>
  <c r="I77" i="12"/>
  <c r="J77" i="12"/>
  <c r="K77" i="12"/>
  <c r="L77" i="12"/>
  <c r="M77" i="12"/>
  <c r="N77" i="12"/>
  <c r="O77" i="12"/>
  <c r="D77" i="12"/>
  <c r="E70" i="12"/>
  <c r="C69" i="12"/>
  <c r="E66" i="12"/>
  <c r="B50" i="12"/>
  <c r="B49" i="12"/>
  <c r="P48" i="12"/>
  <c r="B48" i="12"/>
  <c r="B47" i="12"/>
  <c r="B46" i="12"/>
  <c r="P46" i="12" s="1"/>
  <c r="B45" i="12"/>
  <c r="P45" i="12" s="1"/>
  <c r="B44" i="12"/>
  <c r="P43" i="12"/>
  <c r="B43" i="12"/>
  <c r="P42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P17" i="12" s="1"/>
  <c r="B16" i="12"/>
  <c r="P16" i="12" s="1"/>
  <c r="B15" i="12"/>
  <c r="P15" i="12" s="1"/>
  <c r="B14" i="12"/>
  <c r="P14" i="12" s="1"/>
  <c r="B13" i="12"/>
  <c r="P13" i="12" s="1"/>
  <c r="B12" i="12"/>
  <c r="P12" i="12" s="1"/>
  <c r="O11" i="12"/>
  <c r="N11" i="12"/>
  <c r="M11" i="12"/>
  <c r="L11" i="12"/>
  <c r="K11" i="12"/>
  <c r="J11" i="12"/>
  <c r="I11" i="12"/>
  <c r="H11" i="12"/>
  <c r="G11" i="12"/>
  <c r="F11" i="12"/>
  <c r="L41" i="10"/>
  <c r="O50" i="12" s="1"/>
  <c r="K41" i="10"/>
  <c r="N50" i="12" s="1"/>
  <c r="J41" i="10"/>
  <c r="M50" i="12" s="1"/>
  <c r="I41" i="10"/>
  <c r="L50" i="12" s="1"/>
  <c r="H41" i="10"/>
  <c r="K50" i="12" s="1"/>
  <c r="G41" i="10"/>
  <c r="J50" i="12" s="1"/>
  <c r="F41" i="10"/>
  <c r="I50" i="12" s="1"/>
  <c r="E41" i="10"/>
  <c r="H50" i="12" s="1"/>
  <c r="D41" i="10"/>
  <c r="G50" i="12" s="1"/>
  <c r="C41" i="10"/>
  <c r="F50" i="12" s="1"/>
  <c r="L40" i="10"/>
  <c r="O49" i="12" s="1"/>
  <c r="K40" i="10"/>
  <c r="N49" i="12" s="1"/>
  <c r="J40" i="10"/>
  <c r="M49" i="12" s="1"/>
  <c r="I40" i="10"/>
  <c r="L49" i="12" s="1"/>
  <c r="H40" i="10"/>
  <c r="K49" i="12" s="1"/>
  <c r="G40" i="10"/>
  <c r="J49" i="12" s="1"/>
  <c r="F40" i="10"/>
  <c r="I49" i="12" s="1"/>
  <c r="E40" i="10"/>
  <c r="H49" i="12" s="1"/>
  <c r="D40" i="10"/>
  <c r="C40" i="10"/>
  <c r="L39" i="10"/>
  <c r="O48" i="12" s="1"/>
  <c r="K39" i="10"/>
  <c r="N48" i="12" s="1"/>
  <c r="J39" i="10"/>
  <c r="M48" i="12" s="1"/>
  <c r="I39" i="10"/>
  <c r="L48" i="12" s="1"/>
  <c r="H39" i="10"/>
  <c r="K48" i="12" s="1"/>
  <c r="G39" i="10"/>
  <c r="J48" i="12" s="1"/>
  <c r="F39" i="10"/>
  <c r="I48" i="12" s="1"/>
  <c r="E39" i="10"/>
  <c r="H48" i="12" s="1"/>
  <c r="D39" i="10"/>
  <c r="G48" i="12" s="1"/>
  <c r="C39" i="10"/>
  <c r="F48" i="12" s="1"/>
  <c r="L38" i="10"/>
  <c r="O47" i="12" s="1"/>
  <c r="K38" i="10"/>
  <c r="N47" i="12" s="1"/>
  <c r="J38" i="10"/>
  <c r="M47" i="12" s="1"/>
  <c r="I38" i="10"/>
  <c r="L47" i="12" s="1"/>
  <c r="H38" i="10"/>
  <c r="K47" i="12" s="1"/>
  <c r="G38" i="10"/>
  <c r="J47" i="12" s="1"/>
  <c r="F38" i="10"/>
  <c r="I47" i="12" s="1"/>
  <c r="E38" i="10"/>
  <c r="H47" i="12" s="1"/>
  <c r="D38" i="10"/>
  <c r="G47" i="12" s="1"/>
  <c r="C38" i="10"/>
  <c r="F47" i="12" s="1"/>
  <c r="L37" i="10"/>
  <c r="O46" i="12" s="1"/>
  <c r="K37" i="10"/>
  <c r="N46" i="12" s="1"/>
  <c r="J37" i="10"/>
  <c r="M46" i="12" s="1"/>
  <c r="I37" i="10"/>
  <c r="L46" i="12" s="1"/>
  <c r="H37" i="10"/>
  <c r="K46" i="12" s="1"/>
  <c r="G37" i="10"/>
  <c r="J46" i="12" s="1"/>
  <c r="F37" i="10"/>
  <c r="I46" i="12" s="1"/>
  <c r="E37" i="10"/>
  <c r="H46" i="12" s="1"/>
  <c r="D37" i="10"/>
  <c r="G46" i="12" s="1"/>
  <c r="C37" i="10"/>
  <c r="F46" i="12" s="1"/>
  <c r="L36" i="10"/>
  <c r="O45" i="12" s="1"/>
  <c r="K36" i="10"/>
  <c r="N45" i="12" s="1"/>
  <c r="J36" i="10"/>
  <c r="M45" i="12" s="1"/>
  <c r="I36" i="10"/>
  <c r="L45" i="12" s="1"/>
  <c r="H36" i="10"/>
  <c r="K45" i="12" s="1"/>
  <c r="G36" i="10"/>
  <c r="J45" i="12" s="1"/>
  <c r="F36" i="10"/>
  <c r="I45" i="12" s="1"/>
  <c r="E36" i="10"/>
  <c r="H45" i="12" s="1"/>
  <c r="D36" i="10"/>
  <c r="G45" i="12" s="1"/>
  <c r="C36" i="10"/>
  <c r="F45" i="12" s="1"/>
  <c r="L35" i="10"/>
  <c r="O44" i="12" s="1"/>
  <c r="K35" i="10"/>
  <c r="N44" i="12" s="1"/>
  <c r="J35" i="10"/>
  <c r="M44" i="12" s="1"/>
  <c r="I35" i="10"/>
  <c r="L44" i="12" s="1"/>
  <c r="H35" i="10"/>
  <c r="K44" i="12" s="1"/>
  <c r="G35" i="10"/>
  <c r="J44" i="12" s="1"/>
  <c r="F35" i="10"/>
  <c r="I44" i="12" s="1"/>
  <c r="E35" i="10"/>
  <c r="H44" i="12" s="1"/>
  <c r="D35" i="10"/>
  <c r="G44" i="12" s="1"/>
  <c r="C35" i="10"/>
  <c r="F44" i="12" s="1"/>
  <c r="L34" i="10"/>
  <c r="O43" i="12" s="1"/>
  <c r="K34" i="10"/>
  <c r="N43" i="12" s="1"/>
  <c r="J34" i="10"/>
  <c r="M43" i="12" s="1"/>
  <c r="I34" i="10"/>
  <c r="L43" i="12" s="1"/>
  <c r="H34" i="10"/>
  <c r="K43" i="12" s="1"/>
  <c r="G34" i="10"/>
  <c r="J43" i="12" s="1"/>
  <c r="F34" i="10"/>
  <c r="I43" i="12" s="1"/>
  <c r="E34" i="10"/>
  <c r="H43" i="12" s="1"/>
  <c r="D34" i="10"/>
  <c r="G43" i="12" s="1"/>
  <c r="C34" i="10"/>
  <c r="F43" i="12" s="1"/>
  <c r="L33" i="10"/>
  <c r="O42" i="12" s="1"/>
  <c r="K33" i="10"/>
  <c r="N42" i="12" s="1"/>
  <c r="J33" i="10"/>
  <c r="M42" i="12" s="1"/>
  <c r="I33" i="10"/>
  <c r="L42" i="12" s="1"/>
  <c r="H33" i="10"/>
  <c r="K42" i="12" s="1"/>
  <c r="G33" i="10"/>
  <c r="J42" i="12" s="1"/>
  <c r="F33" i="10"/>
  <c r="I42" i="12" s="1"/>
  <c r="E33" i="10"/>
  <c r="H42" i="12" s="1"/>
  <c r="D33" i="10"/>
  <c r="G42" i="12" s="1"/>
  <c r="C33" i="10"/>
  <c r="F42" i="12" s="1"/>
  <c r="L32" i="10"/>
  <c r="O41" i="12" s="1"/>
  <c r="K32" i="10"/>
  <c r="N41" i="12" s="1"/>
  <c r="J32" i="10"/>
  <c r="M41" i="12" s="1"/>
  <c r="I32" i="10"/>
  <c r="L41" i="12" s="1"/>
  <c r="H32" i="10"/>
  <c r="K41" i="12" s="1"/>
  <c r="G32" i="10"/>
  <c r="J41" i="12" s="1"/>
  <c r="F32" i="10"/>
  <c r="I41" i="12" s="1"/>
  <c r="E32" i="10"/>
  <c r="H41" i="12" s="1"/>
  <c r="D32" i="10"/>
  <c r="G41" i="12" s="1"/>
  <c r="C32" i="10"/>
  <c r="F41" i="12" s="1"/>
  <c r="L31" i="10"/>
  <c r="O40" i="12" s="1"/>
  <c r="K31" i="10"/>
  <c r="N40" i="12" s="1"/>
  <c r="J31" i="10"/>
  <c r="M40" i="12" s="1"/>
  <c r="I31" i="10"/>
  <c r="L40" i="12" s="1"/>
  <c r="H31" i="10"/>
  <c r="K40" i="12" s="1"/>
  <c r="G31" i="10"/>
  <c r="J40" i="12" s="1"/>
  <c r="F31" i="10"/>
  <c r="I40" i="12" s="1"/>
  <c r="E31" i="10"/>
  <c r="H40" i="12" s="1"/>
  <c r="D31" i="10"/>
  <c r="G40" i="12" s="1"/>
  <c r="C31" i="10"/>
  <c r="F40" i="12" s="1"/>
  <c r="L30" i="10"/>
  <c r="O39" i="12" s="1"/>
  <c r="K30" i="10"/>
  <c r="N39" i="12" s="1"/>
  <c r="J30" i="10"/>
  <c r="M39" i="12" s="1"/>
  <c r="I30" i="10"/>
  <c r="L39" i="12" s="1"/>
  <c r="H30" i="10"/>
  <c r="K39" i="12" s="1"/>
  <c r="G30" i="10"/>
  <c r="J39" i="12" s="1"/>
  <c r="F30" i="10"/>
  <c r="I39" i="12" s="1"/>
  <c r="E30" i="10"/>
  <c r="H39" i="12" s="1"/>
  <c r="D30" i="10"/>
  <c r="G39" i="12" s="1"/>
  <c r="C30" i="10"/>
  <c r="F39" i="12" s="1"/>
  <c r="L29" i="10"/>
  <c r="O38" i="12" s="1"/>
  <c r="K29" i="10"/>
  <c r="N38" i="12" s="1"/>
  <c r="J29" i="10"/>
  <c r="M38" i="12" s="1"/>
  <c r="I29" i="10"/>
  <c r="L38" i="12" s="1"/>
  <c r="H29" i="10"/>
  <c r="K38" i="12" s="1"/>
  <c r="G29" i="10"/>
  <c r="J38" i="12" s="1"/>
  <c r="F29" i="10"/>
  <c r="I38" i="12" s="1"/>
  <c r="E29" i="10"/>
  <c r="H38" i="12" s="1"/>
  <c r="D29" i="10"/>
  <c r="G38" i="12" s="1"/>
  <c r="C29" i="10"/>
  <c r="F38" i="12" s="1"/>
  <c r="L28" i="10"/>
  <c r="O37" i="12" s="1"/>
  <c r="K28" i="10"/>
  <c r="N37" i="12" s="1"/>
  <c r="J28" i="10"/>
  <c r="M37" i="12" s="1"/>
  <c r="I28" i="10"/>
  <c r="L37" i="12" s="1"/>
  <c r="H28" i="10"/>
  <c r="K37" i="12" s="1"/>
  <c r="G28" i="10"/>
  <c r="J37" i="12" s="1"/>
  <c r="F28" i="10"/>
  <c r="I37" i="12" s="1"/>
  <c r="E28" i="10"/>
  <c r="H37" i="12" s="1"/>
  <c r="D28" i="10"/>
  <c r="G37" i="12" s="1"/>
  <c r="C28" i="10"/>
  <c r="F37" i="12" s="1"/>
  <c r="L27" i="10"/>
  <c r="O36" i="12" s="1"/>
  <c r="K27" i="10"/>
  <c r="N36" i="12" s="1"/>
  <c r="J27" i="10"/>
  <c r="M36" i="12" s="1"/>
  <c r="I27" i="10"/>
  <c r="L36" i="12" s="1"/>
  <c r="H27" i="10"/>
  <c r="K36" i="12" s="1"/>
  <c r="G27" i="10"/>
  <c r="J36" i="12" s="1"/>
  <c r="F27" i="10"/>
  <c r="I36" i="12" s="1"/>
  <c r="E27" i="10"/>
  <c r="H36" i="12" s="1"/>
  <c r="D27" i="10"/>
  <c r="G36" i="12" s="1"/>
  <c r="C27" i="10"/>
  <c r="F36" i="12" s="1"/>
  <c r="L26" i="10"/>
  <c r="O35" i="12" s="1"/>
  <c r="K26" i="10"/>
  <c r="N35" i="12" s="1"/>
  <c r="J26" i="10"/>
  <c r="M35" i="12" s="1"/>
  <c r="I26" i="10"/>
  <c r="L35" i="12" s="1"/>
  <c r="H26" i="10"/>
  <c r="K35" i="12" s="1"/>
  <c r="G26" i="10"/>
  <c r="J35" i="12" s="1"/>
  <c r="F26" i="10"/>
  <c r="I35" i="12" s="1"/>
  <c r="E26" i="10"/>
  <c r="H35" i="12" s="1"/>
  <c r="D26" i="10"/>
  <c r="G35" i="12" s="1"/>
  <c r="C26" i="10"/>
  <c r="F35" i="12" s="1"/>
  <c r="L25" i="10"/>
  <c r="O34" i="12" s="1"/>
  <c r="K25" i="10"/>
  <c r="N34" i="12" s="1"/>
  <c r="J25" i="10"/>
  <c r="M34" i="12" s="1"/>
  <c r="I25" i="10"/>
  <c r="L34" i="12" s="1"/>
  <c r="H25" i="10"/>
  <c r="K34" i="12" s="1"/>
  <c r="G25" i="10"/>
  <c r="J34" i="12" s="1"/>
  <c r="F25" i="10"/>
  <c r="I34" i="12" s="1"/>
  <c r="E25" i="10"/>
  <c r="H34" i="12" s="1"/>
  <c r="D25" i="10"/>
  <c r="G34" i="12" s="1"/>
  <c r="C25" i="10"/>
  <c r="F34" i="12" s="1"/>
  <c r="L24" i="10"/>
  <c r="O33" i="12" s="1"/>
  <c r="K24" i="10"/>
  <c r="N33" i="12" s="1"/>
  <c r="J24" i="10"/>
  <c r="M33" i="12" s="1"/>
  <c r="I24" i="10"/>
  <c r="L33" i="12" s="1"/>
  <c r="H24" i="10"/>
  <c r="K33" i="12" s="1"/>
  <c r="G24" i="10"/>
  <c r="J33" i="12" s="1"/>
  <c r="F24" i="10"/>
  <c r="I33" i="12" s="1"/>
  <c r="E24" i="10"/>
  <c r="H33" i="12" s="1"/>
  <c r="D24" i="10"/>
  <c r="G33" i="12" s="1"/>
  <c r="C24" i="10"/>
  <c r="F33" i="12" s="1"/>
  <c r="L23" i="10"/>
  <c r="O32" i="12" s="1"/>
  <c r="K23" i="10"/>
  <c r="N32" i="12" s="1"/>
  <c r="J23" i="10"/>
  <c r="M32" i="12" s="1"/>
  <c r="I23" i="10"/>
  <c r="L32" i="12" s="1"/>
  <c r="H23" i="10"/>
  <c r="K32" i="12" s="1"/>
  <c r="G23" i="10"/>
  <c r="J32" i="12" s="1"/>
  <c r="F23" i="10"/>
  <c r="I32" i="12" s="1"/>
  <c r="E23" i="10"/>
  <c r="H32" i="12" s="1"/>
  <c r="D23" i="10"/>
  <c r="G32" i="12" s="1"/>
  <c r="C23" i="10"/>
  <c r="F32" i="12" s="1"/>
  <c r="L22" i="10"/>
  <c r="O31" i="12" s="1"/>
  <c r="K22" i="10"/>
  <c r="N31" i="12" s="1"/>
  <c r="J22" i="10"/>
  <c r="M31" i="12" s="1"/>
  <c r="I22" i="10"/>
  <c r="L31" i="12" s="1"/>
  <c r="H22" i="10"/>
  <c r="K31" i="12" s="1"/>
  <c r="G22" i="10"/>
  <c r="J31" i="12" s="1"/>
  <c r="F22" i="10"/>
  <c r="I31" i="12" s="1"/>
  <c r="E22" i="10"/>
  <c r="H31" i="12" s="1"/>
  <c r="D22" i="10"/>
  <c r="G31" i="12" s="1"/>
  <c r="C22" i="10"/>
  <c r="F31" i="12" s="1"/>
  <c r="L21" i="10"/>
  <c r="O30" i="12" s="1"/>
  <c r="K21" i="10"/>
  <c r="N30" i="12" s="1"/>
  <c r="J21" i="10"/>
  <c r="M30" i="12" s="1"/>
  <c r="I21" i="10"/>
  <c r="L30" i="12" s="1"/>
  <c r="H21" i="10"/>
  <c r="K30" i="12" s="1"/>
  <c r="G21" i="10"/>
  <c r="J30" i="12" s="1"/>
  <c r="F21" i="10"/>
  <c r="I30" i="12" s="1"/>
  <c r="E21" i="10"/>
  <c r="H30" i="12" s="1"/>
  <c r="D21" i="10"/>
  <c r="G30" i="12" s="1"/>
  <c r="C21" i="10"/>
  <c r="F30" i="12" s="1"/>
  <c r="L20" i="10"/>
  <c r="O29" i="12" s="1"/>
  <c r="K20" i="10"/>
  <c r="N29" i="12" s="1"/>
  <c r="J20" i="10"/>
  <c r="M29" i="12" s="1"/>
  <c r="I20" i="10"/>
  <c r="L29" i="12" s="1"/>
  <c r="H20" i="10"/>
  <c r="K29" i="12" s="1"/>
  <c r="G20" i="10"/>
  <c r="J29" i="12" s="1"/>
  <c r="F20" i="10"/>
  <c r="I29" i="12" s="1"/>
  <c r="E20" i="10"/>
  <c r="H29" i="12" s="1"/>
  <c r="D20" i="10"/>
  <c r="G29" i="12" s="1"/>
  <c r="C20" i="10"/>
  <c r="F29" i="12" s="1"/>
  <c r="L19" i="10"/>
  <c r="O28" i="12" s="1"/>
  <c r="K19" i="10"/>
  <c r="N28" i="12" s="1"/>
  <c r="J19" i="10"/>
  <c r="M28" i="12" s="1"/>
  <c r="I19" i="10"/>
  <c r="L28" i="12" s="1"/>
  <c r="H19" i="10"/>
  <c r="K28" i="12" s="1"/>
  <c r="G19" i="10"/>
  <c r="J28" i="12" s="1"/>
  <c r="F19" i="10"/>
  <c r="I28" i="12" s="1"/>
  <c r="E19" i="10"/>
  <c r="H28" i="12" s="1"/>
  <c r="D19" i="10"/>
  <c r="G28" i="12" s="1"/>
  <c r="C19" i="10"/>
  <c r="F28" i="12" s="1"/>
  <c r="L18" i="10"/>
  <c r="O27" i="12" s="1"/>
  <c r="K18" i="10"/>
  <c r="N27" i="12" s="1"/>
  <c r="J18" i="10"/>
  <c r="M27" i="12" s="1"/>
  <c r="I18" i="10"/>
  <c r="L27" i="12" s="1"/>
  <c r="H18" i="10"/>
  <c r="K27" i="12" s="1"/>
  <c r="G18" i="10"/>
  <c r="J27" i="12" s="1"/>
  <c r="F18" i="10"/>
  <c r="I27" i="12" s="1"/>
  <c r="E18" i="10"/>
  <c r="H27" i="12" s="1"/>
  <c r="D18" i="10"/>
  <c r="G27" i="12" s="1"/>
  <c r="C18" i="10"/>
  <c r="F27" i="12" s="1"/>
  <c r="L17" i="10"/>
  <c r="O26" i="12" s="1"/>
  <c r="K17" i="10"/>
  <c r="N26" i="12" s="1"/>
  <c r="J17" i="10"/>
  <c r="M26" i="12" s="1"/>
  <c r="I17" i="10"/>
  <c r="L26" i="12" s="1"/>
  <c r="H17" i="10"/>
  <c r="K26" i="12" s="1"/>
  <c r="G17" i="10"/>
  <c r="J26" i="12" s="1"/>
  <c r="F17" i="10"/>
  <c r="I26" i="12" s="1"/>
  <c r="E17" i="10"/>
  <c r="H26" i="12" s="1"/>
  <c r="D17" i="10"/>
  <c r="G26" i="12" s="1"/>
  <c r="C17" i="10"/>
  <c r="F26" i="12" s="1"/>
  <c r="L16" i="10"/>
  <c r="O25" i="12" s="1"/>
  <c r="K16" i="10"/>
  <c r="N25" i="12" s="1"/>
  <c r="J16" i="10"/>
  <c r="M25" i="12" s="1"/>
  <c r="I16" i="10"/>
  <c r="L25" i="12" s="1"/>
  <c r="H16" i="10"/>
  <c r="K25" i="12" s="1"/>
  <c r="G16" i="10"/>
  <c r="J25" i="12" s="1"/>
  <c r="F16" i="10"/>
  <c r="I25" i="12" s="1"/>
  <c r="E16" i="10"/>
  <c r="H25" i="12" s="1"/>
  <c r="D16" i="10"/>
  <c r="G25" i="12" s="1"/>
  <c r="C16" i="10"/>
  <c r="L15" i="10"/>
  <c r="O24" i="12" s="1"/>
  <c r="K15" i="10"/>
  <c r="N24" i="12" s="1"/>
  <c r="J15" i="10"/>
  <c r="M24" i="12" s="1"/>
  <c r="I15" i="10"/>
  <c r="L24" i="12" s="1"/>
  <c r="H15" i="10"/>
  <c r="K24" i="12" s="1"/>
  <c r="G15" i="10"/>
  <c r="J24" i="12" s="1"/>
  <c r="F15" i="10"/>
  <c r="I24" i="12" s="1"/>
  <c r="E15" i="10"/>
  <c r="H24" i="12" s="1"/>
  <c r="D15" i="10"/>
  <c r="G24" i="12" s="1"/>
  <c r="C15" i="10"/>
  <c r="F24" i="12" s="1"/>
  <c r="L14" i="10"/>
  <c r="O23" i="12" s="1"/>
  <c r="K14" i="10"/>
  <c r="N23" i="12" s="1"/>
  <c r="J14" i="10"/>
  <c r="M23" i="12" s="1"/>
  <c r="I14" i="10"/>
  <c r="L23" i="12" s="1"/>
  <c r="H14" i="10"/>
  <c r="K23" i="12" s="1"/>
  <c r="G14" i="10"/>
  <c r="J23" i="12" s="1"/>
  <c r="F14" i="10"/>
  <c r="I23" i="12" s="1"/>
  <c r="E14" i="10"/>
  <c r="H23" i="12" s="1"/>
  <c r="D14" i="10"/>
  <c r="G23" i="12" s="1"/>
  <c r="C14" i="10"/>
  <c r="F23" i="12" s="1"/>
  <c r="L13" i="10"/>
  <c r="O22" i="12" s="1"/>
  <c r="K13" i="10"/>
  <c r="N22" i="12" s="1"/>
  <c r="J13" i="10"/>
  <c r="M22" i="12" s="1"/>
  <c r="I13" i="10"/>
  <c r="L22" i="12" s="1"/>
  <c r="H13" i="10"/>
  <c r="K22" i="12" s="1"/>
  <c r="G13" i="10"/>
  <c r="J22" i="12" s="1"/>
  <c r="F13" i="10"/>
  <c r="I22" i="12" s="1"/>
  <c r="E13" i="10"/>
  <c r="H22" i="12" s="1"/>
  <c r="D13" i="10"/>
  <c r="G22" i="12" s="1"/>
  <c r="C13" i="10"/>
  <c r="L12" i="10"/>
  <c r="O21" i="12" s="1"/>
  <c r="K12" i="10"/>
  <c r="N21" i="12" s="1"/>
  <c r="J12" i="10"/>
  <c r="M21" i="12" s="1"/>
  <c r="I12" i="10"/>
  <c r="L21" i="12" s="1"/>
  <c r="H12" i="10"/>
  <c r="K21" i="12" s="1"/>
  <c r="G12" i="10"/>
  <c r="J21" i="12" s="1"/>
  <c r="F12" i="10"/>
  <c r="I21" i="12" s="1"/>
  <c r="E12" i="10"/>
  <c r="H21" i="12" s="1"/>
  <c r="D12" i="10"/>
  <c r="G21" i="12" s="1"/>
  <c r="C12" i="10"/>
  <c r="L11" i="10"/>
  <c r="O20" i="12" s="1"/>
  <c r="K11" i="10"/>
  <c r="N20" i="12" s="1"/>
  <c r="J11" i="10"/>
  <c r="M20" i="12" s="1"/>
  <c r="I11" i="10"/>
  <c r="L20" i="12" s="1"/>
  <c r="H11" i="10"/>
  <c r="K20" i="12" s="1"/>
  <c r="G11" i="10"/>
  <c r="J20" i="12" s="1"/>
  <c r="F11" i="10"/>
  <c r="I20" i="12" s="1"/>
  <c r="E11" i="10"/>
  <c r="H20" i="12" s="1"/>
  <c r="D11" i="10"/>
  <c r="G20" i="12" s="1"/>
  <c r="C11" i="10"/>
  <c r="F20" i="12" s="1"/>
  <c r="L10" i="10"/>
  <c r="O19" i="12" s="1"/>
  <c r="K10" i="10"/>
  <c r="N19" i="12" s="1"/>
  <c r="J10" i="10"/>
  <c r="M19" i="12" s="1"/>
  <c r="I10" i="10"/>
  <c r="L19" i="12" s="1"/>
  <c r="H10" i="10"/>
  <c r="K19" i="12" s="1"/>
  <c r="G10" i="10"/>
  <c r="J19" i="12" s="1"/>
  <c r="F10" i="10"/>
  <c r="I19" i="12" s="1"/>
  <c r="E10" i="10"/>
  <c r="H19" i="12" s="1"/>
  <c r="D10" i="10"/>
  <c r="G19" i="12" s="1"/>
  <c r="C10" i="10"/>
  <c r="F19" i="12" s="1"/>
  <c r="L9" i="10"/>
  <c r="O18" i="12" s="1"/>
  <c r="K9" i="10"/>
  <c r="N18" i="12" s="1"/>
  <c r="J9" i="10"/>
  <c r="M18" i="12" s="1"/>
  <c r="I9" i="10"/>
  <c r="L18" i="12" s="1"/>
  <c r="H9" i="10"/>
  <c r="K18" i="12" s="1"/>
  <c r="G9" i="10"/>
  <c r="J18" i="12" s="1"/>
  <c r="F9" i="10"/>
  <c r="I18" i="12" s="1"/>
  <c r="E9" i="10"/>
  <c r="H18" i="12" s="1"/>
  <c r="D9" i="10"/>
  <c r="G18" i="12" s="1"/>
  <c r="C9" i="10"/>
  <c r="L8" i="10"/>
  <c r="O17" i="12" s="1"/>
  <c r="K8" i="10"/>
  <c r="N17" i="12" s="1"/>
  <c r="J8" i="10"/>
  <c r="M17" i="12" s="1"/>
  <c r="I8" i="10"/>
  <c r="L17" i="12" s="1"/>
  <c r="H8" i="10"/>
  <c r="K17" i="12" s="1"/>
  <c r="G8" i="10"/>
  <c r="J17" i="12" s="1"/>
  <c r="F8" i="10"/>
  <c r="I17" i="12" s="1"/>
  <c r="E8" i="10"/>
  <c r="H17" i="12" s="1"/>
  <c r="D8" i="10"/>
  <c r="G17" i="12" s="1"/>
  <c r="C8" i="10"/>
  <c r="L7" i="10"/>
  <c r="O16" i="12" s="1"/>
  <c r="K7" i="10"/>
  <c r="N16" i="12" s="1"/>
  <c r="J7" i="10"/>
  <c r="M16" i="12" s="1"/>
  <c r="I7" i="10"/>
  <c r="L16" i="12" s="1"/>
  <c r="H7" i="10"/>
  <c r="K16" i="12" s="1"/>
  <c r="G7" i="10"/>
  <c r="J16" i="12" s="1"/>
  <c r="F7" i="10"/>
  <c r="I16" i="12" s="1"/>
  <c r="E7" i="10"/>
  <c r="H16" i="12" s="1"/>
  <c r="D7" i="10"/>
  <c r="G16" i="12" s="1"/>
  <c r="C7" i="10"/>
  <c r="L6" i="10"/>
  <c r="O15" i="12" s="1"/>
  <c r="K6" i="10"/>
  <c r="N15" i="12" s="1"/>
  <c r="J6" i="10"/>
  <c r="M15" i="12" s="1"/>
  <c r="I6" i="10"/>
  <c r="L15" i="12" s="1"/>
  <c r="H6" i="10"/>
  <c r="K15" i="12" s="1"/>
  <c r="G6" i="10"/>
  <c r="J15" i="12" s="1"/>
  <c r="F6" i="10"/>
  <c r="I15" i="12" s="1"/>
  <c r="E6" i="10"/>
  <c r="H15" i="12" s="1"/>
  <c r="D6" i="10"/>
  <c r="G15" i="12" s="1"/>
  <c r="C6" i="10"/>
  <c r="L5" i="10"/>
  <c r="O14" i="12" s="1"/>
  <c r="K5" i="10"/>
  <c r="N14" i="12" s="1"/>
  <c r="J5" i="10"/>
  <c r="M14" i="12" s="1"/>
  <c r="I5" i="10"/>
  <c r="L14" i="12" s="1"/>
  <c r="H5" i="10"/>
  <c r="K14" i="12" s="1"/>
  <c r="G5" i="10"/>
  <c r="J14" i="12" s="1"/>
  <c r="F5" i="10"/>
  <c r="I14" i="12" s="1"/>
  <c r="E5" i="10"/>
  <c r="H14" i="12" s="1"/>
  <c r="D5" i="10"/>
  <c r="G14" i="12" s="1"/>
  <c r="C5" i="10"/>
  <c r="L4" i="10"/>
  <c r="O13" i="12" s="1"/>
  <c r="K4" i="10"/>
  <c r="N13" i="12" s="1"/>
  <c r="J4" i="10"/>
  <c r="M13" i="12" s="1"/>
  <c r="I4" i="10"/>
  <c r="L13" i="12" s="1"/>
  <c r="H4" i="10"/>
  <c r="K13" i="12" s="1"/>
  <c r="G4" i="10"/>
  <c r="J13" i="12" s="1"/>
  <c r="F4" i="10"/>
  <c r="I13" i="12" s="1"/>
  <c r="E4" i="10"/>
  <c r="H13" i="12" s="1"/>
  <c r="D4" i="10"/>
  <c r="G13" i="12" s="1"/>
  <c r="C4" i="10"/>
  <c r="L3" i="10"/>
  <c r="O12" i="12" s="1"/>
  <c r="O67" i="12" s="1"/>
  <c r="K3" i="10"/>
  <c r="N12" i="12" s="1"/>
  <c r="J3" i="10"/>
  <c r="M12" i="12" s="1"/>
  <c r="I3" i="10"/>
  <c r="L12" i="12" s="1"/>
  <c r="H3" i="10"/>
  <c r="K12" i="12" s="1"/>
  <c r="G3" i="10"/>
  <c r="J12" i="12" s="1"/>
  <c r="F3" i="10"/>
  <c r="I12" i="12" s="1"/>
  <c r="E3" i="10"/>
  <c r="H12" i="12" s="1"/>
  <c r="D3" i="10"/>
  <c r="G12" i="12" s="1"/>
  <c r="C3" i="10"/>
  <c r="X97" i="9"/>
  <c r="W97" i="9"/>
  <c r="V97" i="9"/>
  <c r="U97" i="9"/>
  <c r="T97" i="9"/>
  <c r="S97" i="9"/>
  <c r="R97" i="9"/>
  <c r="Q97" i="9"/>
  <c r="P97" i="9"/>
  <c r="O97" i="9"/>
  <c r="K97" i="9"/>
  <c r="J97" i="9"/>
  <c r="I97" i="9"/>
  <c r="H97" i="9"/>
  <c r="G97" i="9"/>
  <c r="F97" i="9"/>
  <c r="E97" i="9"/>
  <c r="D97" i="9"/>
  <c r="C97" i="9"/>
  <c r="B97" i="9"/>
  <c r="Y96" i="9"/>
  <c r="L96" i="9"/>
  <c r="Y95" i="9"/>
  <c r="L95" i="9"/>
  <c r="Y94" i="9"/>
  <c r="L94" i="9"/>
  <c r="Y93" i="9"/>
  <c r="L93" i="9"/>
  <c r="Y92" i="9"/>
  <c r="L92" i="9"/>
  <c r="Y91" i="9"/>
  <c r="L91" i="9"/>
  <c r="Y90" i="9"/>
  <c r="L90" i="9"/>
  <c r="Y89" i="9"/>
  <c r="L89" i="9"/>
  <c r="Y88" i="9"/>
  <c r="L88" i="9"/>
  <c r="Y87" i="9"/>
  <c r="L87" i="9"/>
  <c r="Y86" i="9"/>
  <c r="L86" i="9"/>
  <c r="Y85" i="9"/>
  <c r="L85" i="9"/>
  <c r="Y84" i="9"/>
  <c r="L84" i="9"/>
  <c r="Y83" i="9"/>
  <c r="L83" i="9"/>
  <c r="Y82" i="9"/>
  <c r="L82" i="9"/>
  <c r="Y81" i="9"/>
  <c r="L81" i="9"/>
  <c r="Y80" i="9"/>
  <c r="L80" i="9"/>
  <c r="Y79" i="9"/>
  <c r="L79" i="9"/>
  <c r="Y78" i="9"/>
  <c r="L78" i="9"/>
  <c r="Y77" i="9"/>
  <c r="L77" i="9"/>
  <c r="Y76" i="9"/>
  <c r="L76" i="9"/>
  <c r="Y75" i="9"/>
  <c r="L75" i="9"/>
  <c r="Y74" i="9"/>
  <c r="L74" i="9"/>
  <c r="Y73" i="9"/>
  <c r="L73" i="9"/>
  <c r="Y72" i="9"/>
  <c r="L72" i="9"/>
  <c r="Y71" i="9"/>
  <c r="L71" i="9"/>
  <c r="Y70" i="9"/>
  <c r="L70" i="9"/>
  <c r="Y69" i="9"/>
  <c r="L69" i="9"/>
  <c r="Y68" i="9"/>
  <c r="L68" i="9"/>
  <c r="Y67" i="9"/>
  <c r="L67" i="9"/>
  <c r="Y66" i="9"/>
  <c r="L66" i="9"/>
  <c r="Y65" i="9"/>
  <c r="L65" i="9"/>
  <c r="Y64" i="9"/>
  <c r="L64" i="9"/>
  <c r="Y63" i="9"/>
  <c r="L63" i="9"/>
  <c r="Y62" i="9"/>
  <c r="L62" i="9"/>
  <c r="Y61" i="9"/>
  <c r="L61" i="9"/>
  <c r="Y60" i="9"/>
  <c r="L60" i="9"/>
  <c r="Y59" i="9"/>
  <c r="L59" i="9"/>
  <c r="Y58" i="9"/>
  <c r="Y97" i="9" s="1"/>
  <c r="L58" i="9"/>
  <c r="L97" i="9" s="1"/>
  <c r="X57" i="9"/>
  <c r="W57" i="9"/>
  <c r="V57" i="9"/>
  <c r="U57" i="9"/>
  <c r="T57" i="9"/>
  <c r="S57" i="9"/>
  <c r="R57" i="9"/>
  <c r="Q57" i="9"/>
  <c r="P57" i="9"/>
  <c r="O57" i="9"/>
  <c r="K57" i="9"/>
  <c r="J57" i="9"/>
  <c r="I57" i="9"/>
  <c r="H57" i="9"/>
  <c r="G57" i="9"/>
  <c r="F57" i="9"/>
  <c r="E57" i="9"/>
  <c r="D57" i="9"/>
  <c r="C57" i="9"/>
  <c r="B57" i="9"/>
  <c r="X50" i="9"/>
  <c r="W50" i="9"/>
  <c r="V50" i="9"/>
  <c r="U50" i="9"/>
  <c r="T50" i="9"/>
  <c r="S50" i="9"/>
  <c r="R50" i="9"/>
  <c r="Q50" i="9"/>
  <c r="P50" i="9"/>
  <c r="O50" i="9"/>
  <c r="K50" i="9"/>
  <c r="J50" i="9"/>
  <c r="I50" i="9"/>
  <c r="H50" i="9"/>
  <c r="G50" i="9"/>
  <c r="F50" i="9"/>
  <c r="E50" i="9"/>
  <c r="D50" i="9"/>
  <c r="C50" i="9"/>
  <c r="B50" i="9"/>
  <c r="Y49" i="9"/>
  <c r="L49" i="9"/>
  <c r="Y48" i="9"/>
  <c r="L48" i="9"/>
  <c r="Y47" i="9"/>
  <c r="L47" i="9"/>
  <c r="Y46" i="9"/>
  <c r="L46" i="9"/>
  <c r="Y45" i="9"/>
  <c r="L45" i="9"/>
  <c r="Y44" i="9"/>
  <c r="L44" i="9"/>
  <c r="Y43" i="9"/>
  <c r="L43" i="9"/>
  <c r="Y42" i="9"/>
  <c r="L42" i="9"/>
  <c r="Y41" i="9"/>
  <c r="L41" i="9"/>
  <c r="Y40" i="9"/>
  <c r="L40" i="9"/>
  <c r="Y39" i="9"/>
  <c r="L39" i="9"/>
  <c r="Y38" i="9"/>
  <c r="L38" i="9"/>
  <c r="Y37" i="9"/>
  <c r="L37" i="9"/>
  <c r="Y36" i="9"/>
  <c r="L36" i="9"/>
  <c r="Y35" i="9"/>
  <c r="L35" i="9"/>
  <c r="Y34" i="9"/>
  <c r="L34" i="9"/>
  <c r="Y33" i="9"/>
  <c r="L33" i="9"/>
  <c r="Y32" i="9"/>
  <c r="L32" i="9"/>
  <c r="Y31" i="9"/>
  <c r="L31" i="9"/>
  <c r="Y30" i="9"/>
  <c r="L30" i="9"/>
  <c r="Y29" i="9"/>
  <c r="L29" i="9"/>
  <c r="Y28" i="9"/>
  <c r="L28" i="9"/>
  <c r="Y27" i="9"/>
  <c r="L27" i="9"/>
  <c r="Y26" i="9"/>
  <c r="L26" i="9"/>
  <c r="Y25" i="9"/>
  <c r="L25" i="9"/>
  <c r="Y24" i="9"/>
  <c r="L24" i="9"/>
  <c r="Y23" i="9"/>
  <c r="L23" i="9"/>
  <c r="Y22" i="9"/>
  <c r="L22" i="9"/>
  <c r="Y21" i="9"/>
  <c r="L21" i="9"/>
  <c r="Y20" i="9"/>
  <c r="L20" i="9"/>
  <c r="Y19" i="9"/>
  <c r="L19" i="9"/>
  <c r="Y18" i="9"/>
  <c r="L18" i="9"/>
  <c r="Y17" i="9"/>
  <c r="L17" i="9"/>
  <c r="Y16" i="9"/>
  <c r="L16" i="9"/>
  <c r="Y15" i="9"/>
  <c r="L15" i="9"/>
  <c r="Y14" i="9"/>
  <c r="L14" i="9"/>
  <c r="Y13" i="9"/>
  <c r="L13" i="9"/>
  <c r="Y12" i="9"/>
  <c r="L12" i="9"/>
  <c r="Y11" i="9"/>
  <c r="Y50" i="9" s="1"/>
  <c r="L11" i="9"/>
  <c r="L50" i="9" s="1"/>
  <c r="X10" i="9"/>
  <c r="W10" i="9"/>
  <c r="V10" i="9"/>
  <c r="U10" i="9"/>
  <c r="T10" i="9"/>
  <c r="S10" i="9"/>
  <c r="R10" i="9"/>
  <c r="Q10" i="9"/>
  <c r="P10" i="9"/>
  <c r="O10" i="9"/>
  <c r="S6" i="9"/>
  <c r="X97" i="8"/>
  <c r="W97" i="8"/>
  <c r="V97" i="8"/>
  <c r="U97" i="8"/>
  <c r="T97" i="8"/>
  <c r="S97" i="8"/>
  <c r="R97" i="8"/>
  <c r="Q97" i="8"/>
  <c r="P97" i="8"/>
  <c r="O97" i="8"/>
  <c r="K97" i="8"/>
  <c r="J97" i="8"/>
  <c r="I97" i="8"/>
  <c r="H97" i="8"/>
  <c r="G97" i="8"/>
  <c r="F97" i="8"/>
  <c r="E97" i="8"/>
  <c r="D97" i="8"/>
  <c r="C97" i="8"/>
  <c r="B97" i="8"/>
  <c r="Y96" i="8"/>
  <c r="L96" i="8"/>
  <c r="Y95" i="8"/>
  <c r="L95" i="8"/>
  <c r="Y94" i="8"/>
  <c r="L94" i="8"/>
  <c r="Y93" i="8"/>
  <c r="L93" i="8"/>
  <c r="Y92" i="8"/>
  <c r="L92" i="8"/>
  <c r="Y91" i="8"/>
  <c r="L91" i="8"/>
  <c r="Y90" i="8"/>
  <c r="L90" i="8"/>
  <c r="Y89" i="8"/>
  <c r="L89" i="8"/>
  <c r="Y88" i="8"/>
  <c r="L88" i="8"/>
  <c r="Y87" i="8"/>
  <c r="L87" i="8"/>
  <c r="Y86" i="8"/>
  <c r="L86" i="8"/>
  <c r="Y85" i="8"/>
  <c r="L85" i="8"/>
  <c r="Y84" i="8"/>
  <c r="L84" i="8"/>
  <c r="Y83" i="8"/>
  <c r="L83" i="8"/>
  <c r="Y82" i="8"/>
  <c r="L82" i="8"/>
  <c r="Y81" i="8"/>
  <c r="L81" i="8"/>
  <c r="Y80" i="8"/>
  <c r="L80" i="8"/>
  <c r="Y79" i="8"/>
  <c r="L79" i="8"/>
  <c r="Y78" i="8"/>
  <c r="L78" i="8"/>
  <c r="Y77" i="8"/>
  <c r="L77" i="8"/>
  <c r="Y76" i="8"/>
  <c r="L76" i="8"/>
  <c r="Y75" i="8"/>
  <c r="L75" i="8"/>
  <c r="Y74" i="8"/>
  <c r="L74" i="8"/>
  <c r="Y73" i="8"/>
  <c r="L73" i="8"/>
  <c r="Y72" i="8"/>
  <c r="L72" i="8"/>
  <c r="Y71" i="8"/>
  <c r="L71" i="8"/>
  <c r="Y70" i="8"/>
  <c r="L70" i="8"/>
  <c r="Y69" i="8"/>
  <c r="L69" i="8"/>
  <c r="Y68" i="8"/>
  <c r="L68" i="8"/>
  <c r="Y67" i="8"/>
  <c r="L67" i="8"/>
  <c r="Y66" i="8"/>
  <c r="L66" i="8"/>
  <c r="Y65" i="8"/>
  <c r="L65" i="8"/>
  <c r="Y64" i="8"/>
  <c r="L64" i="8"/>
  <c r="Y63" i="8"/>
  <c r="L63" i="8"/>
  <c r="Y62" i="8"/>
  <c r="L62" i="8"/>
  <c r="Y61" i="8"/>
  <c r="L61" i="8"/>
  <c r="Y60" i="8"/>
  <c r="L60" i="8"/>
  <c r="Y59" i="8"/>
  <c r="Y97" i="8" s="1"/>
  <c r="L59" i="8"/>
  <c r="Y58" i="8"/>
  <c r="L58" i="8"/>
  <c r="L97" i="8" s="1"/>
  <c r="X57" i="8"/>
  <c r="W57" i="8"/>
  <c r="V57" i="8"/>
  <c r="U57" i="8"/>
  <c r="T57" i="8"/>
  <c r="S57" i="8"/>
  <c r="R57" i="8"/>
  <c r="Q57" i="8"/>
  <c r="P57" i="8"/>
  <c r="O57" i="8"/>
  <c r="K57" i="8"/>
  <c r="J57" i="8"/>
  <c r="I57" i="8"/>
  <c r="H57" i="8"/>
  <c r="G57" i="8"/>
  <c r="F57" i="8"/>
  <c r="E57" i="8"/>
  <c r="D57" i="8"/>
  <c r="C57" i="8"/>
  <c r="B57" i="8"/>
  <c r="X50" i="8"/>
  <c r="W50" i="8"/>
  <c r="V50" i="8"/>
  <c r="U50" i="8"/>
  <c r="T50" i="8"/>
  <c r="S50" i="8"/>
  <c r="R50" i="8"/>
  <c r="Q50" i="8"/>
  <c r="P50" i="8"/>
  <c r="O50" i="8"/>
  <c r="K50" i="8"/>
  <c r="J50" i="8"/>
  <c r="I50" i="8"/>
  <c r="H50" i="8"/>
  <c r="G50" i="8"/>
  <c r="F50" i="8"/>
  <c r="E50" i="8"/>
  <c r="D50" i="8"/>
  <c r="C50" i="8"/>
  <c r="B50" i="8"/>
  <c r="Y49" i="8"/>
  <c r="L49" i="8"/>
  <c r="Y48" i="8"/>
  <c r="L48" i="8"/>
  <c r="Y47" i="8"/>
  <c r="L47" i="8"/>
  <c r="Y46" i="8"/>
  <c r="L46" i="8"/>
  <c r="Y45" i="8"/>
  <c r="L45" i="8"/>
  <c r="Y44" i="8"/>
  <c r="L44" i="8"/>
  <c r="Y43" i="8"/>
  <c r="L43" i="8"/>
  <c r="Y42" i="8"/>
  <c r="L42" i="8"/>
  <c r="Y41" i="8"/>
  <c r="L41" i="8"/>
  <c r="Y40" i="8"/>
  <c r="L40" i="8"/>
  <c r="Y39" i="8"/>
  <c r="L39" i="8"/>
  <c r="Y38" i="8"/>
  <c r="L38" i="8"/>
  <c r="Y37" i="8"/>
  <c r="L37" i="8"/>
  <c r="Y36" i="8"/>
  <c r="L36" i="8"/>
  <c r="Y35" i="8"/>
  <c r="L35" i="8"/>
  <c r="Y34" i="8"/>
  <c r="L34" i="8"/>
  <c r="Y33" i="8"/>
  <c r="L33" i="8"/>
  <c r="Y32" i="8"/>
  <c r="L32" i="8"/>
  <c r="Y31" i="8"/>
  <c r="L31" i="8"/>
  <c r="Y30" i="8"/>
  <c r="L30" i="8"/>
  <c r="Y29" i="8"/>
  <c r="L29" i="8"/>
  <c r="Y28" i="8"/>
  <c r="L28" i="8"/>
  <c r="Y27" i="8"/>
  <c r="L27" i="8"/>
  <c r="Y26" i="8"/>
  <c r="L26" i="8"/>
  <c r="Y25" i="8"/>
  <c r="L25" i="8"/>
  <c r="Y24" i="8"/>
  <c r="L24" i="8"/>
  <c r="Y23" i="8"/>
  <c r="L23" i="8"/>
  <c r="Y22" i="8"/>
  <c r="L22" i="8"/>
  <c r="Y21" i="8"/>
  <c r="L21" i="8"/>
  <c r="Y20" i="8"/>
  <c r="L20" i="8"/>
  <c r="Y19" i="8"/>
  <c r="L19" i="8"/>
  <c r="Y18" i="8"/>
  <c r="L18" i="8"/>
  <c r="Y17" i="8"/>
  <c r="L17" i="8"/>
  <c r="Y16" i="8"/>
  <c r="L16" i="8"/>
  <c r="Y15" i="8"/>
  <c r="L15" i="8"/>
  <c r="Y14" i="8"/>
  <c r="L14" i="8"/>
  <c r="Y13" i="8"/>
  <c r="L13" i="8"/>
  <c r="Y12" i="8"/>
  <c r="Y50" i="8" s="1"/>
  <c r="L12" i="8"/>
  <c r="Y11" i="8"/>
  <c r="L11" i="8"/>
  <c r="L50" i="8" s="1"/>
  <c r="X10" i="8"/>
  <c r="W10" i="8"/>
  <c r="V10" i="8"/>
  <c r="U10" i="8"/>
  <c r="T10" i="8"/>
  <c r="S10" i="8"/>
  <c r="R10" i="8"/>
  <c r="Q10" i="8"/>
  <c r="P10" i="8"/>
  <c r="O10" i="8"/>
  <c r="S6" i="8"/>
  <c r="Y97" i="7"/>
  <c r="X97" i="7"/>
  <c r="W97" i="7"/>
  <c r="V97" i="7"/>
  <c r="U97" i="7"/>
  <c r="T97" i="7"/>
  <c r="S97" i="7"/>
  <c r="R97" i="7"/>
  <c r="Q97" i="7"/>
  <c r="P97" i="7"/>
  <c r="L97" i="7"/>
  <c r="K97" i="7"/>
  <c r="J97" i="7"/>
  <c r="I97" i="7"/>
  <c r="H97" i="7"/>
  <c r="G97" i="7"/>
  <c r="F97" i="7"/>
  <c r="E97" i="7"/>
  <c r="D97" i="7"/>
  <c r="C97" i="7"/>
  <c r="Z96" i="7"/>
  <c r="M96" i="7"/>
  <c r="Z95" i="7"/>
  <c r="M95" i="7"/>
  <c r="Z94" i="7"/>
  <c r="M94" i="7"/>
  <c r="Z93" i="7"/>
  <c r="M93" i="7"/>
  <c r="Z92" i="7"/>
  <c r="M92" i="7"/>
  <c r="Z91" i="7"/>
  <c r="M91" i="7"/>
  <c r="Z90" i="7"/>
  <c r="M90" i="7"/>
  <c r="Z89" i="7"/>
  <c r="M89" i="7"/>
  <c r="Z88" i="7"/>
  <c r="M88" i="7"/>
  <c r="Z87" i="7"/>
  <c r="M87" i="7"/>
  <c r="Z86" i="7"/>
  <c r="M86" i="7"/>
  <c r="Z85" i="7"/>
  <c r="M85" i="7"/>
  <c r="Z84" i="7"/>
  <c r="M84" i="7"/>
  <c r="Z83" i="7"/>
  <c r="M83" i="7"/>
  <c r="Z82" i="7"/>
  <c r="M82" i="7"/>
  <c r="Z81" i="7"/>
  <c r="M81" i="7"/>
  <c r="Z80" i="7"/>
  <c r="M80" i="7"/>
  <c r="Z79" i="7"/>
  <c r="M79" i="7"/>
  <c r="Z78" i="7"/>
  <c r="M78" i="7"/>
  <c r="Z77" i="7"/>
  <c r="M77" i="7"/>
  <c r="Z76" i="7"/>
  <c r="M76" i="7"/>
  <c r="Z75" i="7"/>
  <c r="M75" i="7"/>
  <c r="Z74" i="7"/>
  <c r="M74" i="7"/>
  <c r="Z73" i="7"/>
  <c r="M73" i="7"/>
  <c r="Z72" i="7"/>
  <c r="M72" i="7"/>
  <c r="Z71" i="7"/>
  <c r="M71" i="7"/>
  <c r="Z70" i="7"/>
  <c r="M70" i="7"/>
  <c r="Z69" i="7"/>
  <c r="M69" i="7"/>
  <c r="Z68" i="7"/>
  <c r="M68" i="7"/>
  <c r="Z67" i="7"/>
  <c r="M67" i="7"/>
  <c r="Z66" i="7"/>
  <c r="M66" i="7"/>
  <c r="Z65" i="7"/>
  <c r="M65" i="7"/>
  <c r="Z64" i="7"/>
  <c r="M64" i="7"/>
  <c r="Z63" i="7"/>
  <c r="M63" i="7"/>
  <c r="Z62" i="7"/>
  <c r="M62" i="7"/>
  <c r="Z61" i="7"/>
  <c r="M61" i="7"/>
  <c r="Z60" i="7"/>
  <c r="M60" i="7"/>
  <c r="Z59" i="7"/>
  <c r="M59" i="7"/>
  <c r="Z58" i="7"/>
  <c r="M58" i="7"/>
  <c r="V57" i="7"/>
  <c r="U57" i="7"/>
  <c r="T57" i="7"/>
  <c r="S57" i="7"/>
  <c r="R57" i="7"/>
  <c r="Q57" i="7"/>
  <c r="P57" i="7"/>
  <c r="I57" i="7"/>
  <c r="H57" i="7"/>
  <c r="G57" i="7"/>
  <c r="F57" i="7"/>
  <c r="E57" i="7"/>
  <c r="D57" i="7"/>
  <c r="C57" i="7"/>
  <c r="Y50" i="7"/>
  <c r="X50" i="7"/>
  <c r="W50" i="7"/>
  <c r="V50" i="7"/>
  <c r="U50" i="7"/>
  <c r="T50" i="7"/>
  <c r="S50" i="7"/>
  <c r="R50" i="7"/>
  <c r="Q50" i="7"/>
  <c r="P50" i="7"/>
  <c r="L50" i="7"/>
  <c r="K50" i="7"/>
  <c r="J50" i="7"/>
  <c r="I50" i="7"/>
  <c r="H50" i="7"/>
  <c r="G50" i="7"/>
  <c r="F50" i="7"/>
  <c r="E50" i="7"/>
  <c r="D50" i="7"/>
  <c r="C50" i="7"/>
  <c r="Z49" i="7"/>
  <c r="M49" i="7"/>
  <c r="Z48" i="7"/>
  <c r="M48" i="7"/>
  <c r="Z47" i="7"/>
  <c r="M47" i="7"/>
  <c r="Z46" i="7"/>
  <c r="M46" i="7"/>
  <c r="Z45" i="7"/>
  <c r="M45" i="7"/>
  <c r="Z44" i="7"/>
  <c r="M44" i="7"/>
  <c r="Z43" i="7"/>
  <c r="M43" i="7"/>
  <c r="Z42" i="7"/>
  <c r="M42" i="7"/>
  <c r="Z41" i="7"/>
  <c r="M41" i="7"/>
  <c r="Z40" i="7"/>
  <c r="M40" i="7"/>
  <c r="Z39" i="7"/>
  <c r="M39" i="7"/>
  <c r="Z38" i="7"/>
  <c r="M38" i="7"/>
  <c r="Z37" i="7"/>
  <c r="M37" i="7"/>
  <c r="Z36" i="7"/>
  <c r="M36" i="7"/>
  <c r="Z35" i="7"/>
  <c r="M35" i="7"/>
  <c r="Z34" i="7"/>
  <c r="M34" i="7"/>
  <c r="Z33" i="7"/>
  <c r="M33" i="7"/>
  <c r="Z32" i="7"/>
  <c r="M32" i="7"/>
  <c r="Z31" i="7"/>
  <c r="M31" i="7"/>
  <c r="Z30" i="7"/>
  <c r="M30" i="7"/>
  <c r="Z29" i="7"/>
  <c r="M29" i="7"/>
  <c r="Z28" i="7"/>
  <c r="M28" i="7"/>
  <c r="Z27" i="7"/>
  <c r="M27" i="7"/>
  <c r="Z26" i="7"/>
  <c r="M26" i="7"/>
  <c r="Z25" i="7"/>
  <c r="M25" i="7"/>
  <c r="Z24" i="7"/>
  <c r="M24" i="7"/>
  <c r="Z23" i="7"/>
  <c r="M23" i="7"/>
  <c r="Z22" i="7"/>
  <c r="M22" i="7"/>
  <c r="Z21" i="7"/>
  <c r="M21" i="7"/>
  <c r="Z20" i="7"/>
  <c r="M20" i="7"/>
  <c r="Z19" i="7"/>
  <c r="M19" i="7"/>
  <c r="Z18" i="7"/>
  <c r="M18" i="7"/>
  <c r="Z17" i="7"/>
  <c r="M17" i="7"/>
  <c r="Z16" i="7"/>
  <c r="M16" i="7"/>
  <c r="Z15" i="7"/>
  <c r="M15" i="7"/>
  <c r="Z13" i="7"/>
  <c r="M13" i="7"/>
  <c r="Z12" i="7"/>
  <c r="M12" i="7"/>
  <c r="Z11" i="7"/>
  <c r="M11" i="7"/>
  <c r="V10" i="7"/>
  <c r="U10" i="7"/>
  <c r="T10" i="7"/>
  <c r="S10" i="7"/>
  <c r="R10" i="7"/>
  <c r="Q10" i="7"/>
  <c r="P10" i="7"/>
  <c r="X97" i="6"/>
  <c r="W97" i="6"/>
  <c r="V97" i="6"/>
  <c r="U97" i="6"/>
  <c r="T97" i="6"/>
  <c r="S97" i="6"/>
  <c r="R97" i="6"/>
  <c r="Q97" i="6"/>
  <c r="P97" i="6"/>
  <c r="O97" i="6"/>
  <c r="K97" i="6"/>
  <c r="J97" i="6"/>
  <c r="I97" i="6"/>
  <c r="H97" i="6"/>
  <c r="G97" i="6"/>
  <c r="F97" i="6"/>
  <c r="E97" i="6"/>
  <c r="D97" i="6"/>
  <c r="C97" i="6"/>
  <c r="B97" i="6"/>
  <c r="Y96" i="6"/>
  <c r="L96" i="6"/>
  <c r="Y95" i="6"/>
  <c r="L95" i="6"/>
  <c r="Y94" i="6"/>
  <c r="L94" i="6"/>
  <c r="Y93" i="6"/>
  <c r="L93" i="6"/>
  <c r="Y92" i="6"/>
  <c r="L92" i="6"/>
  <c r="Y91" i="6"/>
  <c r="L91" i="6"/>
  <c r="Y90" i="6"/>
  <c r="L90" i="6"/>
  <c r="Y89" i="6"/>
  <c r="L89" i="6"/>
  <c r="Y88" i="6"/>
  <c r="L88" i="6"/>
  <c r="Y87" i="6"/>
  <c r="L87" i="6"/>
  <c r="Y86" i="6"/>
  <c r="L86" i="6"/>
  <c r="Y85" i="6"/>
  <c r="L85" i="6"/>
  <c r="Y84" i="6"/>
  <c r="L84" i="6"/>
  <c r="Y83" i="6"/>
  <c r="L83" i="6"/>
  <c r="Y82" i="6"/>
  <c r="L82" i="6"/>
  <c r="Y81" i="6"/>
  <c r="L81" i="6"/>
  <c r="Y80" i="6"/>
  <c r="L80" i="6"/>
  <c r="Y79" i="6"/>
  <c r="L79" i="6"/>
  <c r="Y78" i="6"/>
  <c r="L78" i="6"/>
  <c r="Y77" i="6"/>
  <c r="L77" i="6"/>
  <c r="Y76" i="6"/>
  <c r="L76" i="6"/>
  <c r="Y75" i="6"/>
  <c r="L75" i="6"/>
  <c r="Y74" i="6"/>
  <c r="L74" i="6"/>
  <c r="Y73" i="6"/>
  <c r="L73" i="6"/>
  <c r="Y72" i="6"/>
  <c r="L72" i="6"/>
  <c r="Y71" i="6"/>
  <c r="L71" i="6"/>
  <c r="Y70" i="6"/>
  <c r="L70" i="6"/>
  <c r="Y69" i="6"/>
  <c r="L69" i="6"/>
  <c r="Y68" i="6"/>
  <c r="L68" i="6"/>
  <c r="Y67" i="6"/>
  <c r="L67" i="6"/>
  <c r="Y66" i="6"/>
  <c r="L66" i="6"/>
  <c r="Y65" i="6"/>
  <c r="L65" i="6"/>
  <c r="Y64" i="6"/>
  <c r="L64" i="6"/>
  <c r="Y63" i="6"/>
  <c r="L63" i="6"/>
  <c r="Y62" i="6"/>
  <c r="L62" i="6"/>
  <c r="Y61" i="6"/>
  <c r="L61" i="6"/>
  <c r="Y60" i="6"/>
  <c r="L60" i="6"/>
  <c r="Y59" i="6"/>
  <c r="Y97" i="6" s="1"/>
  <c r="L59" i="6"/>
  <c r="Y58" i="6"/>
  <c r="L58" i="6"/>
  <c r="L97" i="6" s="1"/>
  <c r="X57" i="6"/>
  <c r="W57" i="6"/>
  <c r="V57" i="6"/>
  <c r="U57" i="6"/>
  <c r="T57" i="6"/>
  <c r="S57" i="6"/>
  <c r="R57" i="6"/>
  <c r="Q57" i="6"/>
  <c r="P57" i="6"/>
  <c r="O57" i="6"/>
  <c r="K57" i="6"/>
  <c r="J57" i="6"/>
  <c r="I57" i="6"/>
  <c r="H57" i="6"/>
  <c r="G57" i="6"/>
  <c r="F57" i="6"/>
  <c r="E57" i="6"/>
  <c r="D57" i="6"/>
  <c r="C57" i="6"/>
  <c r="B57" i="6"/>
  <c r="X50" i="6"/>
  <c r="W50" i="6"/>
  <c r="V50" i="6"/>
  <c r="U50" i="6"/>
  <c r="T50" i="6"/>
  <c r="S50" i="6"/>
  <c r="R50" i="6"/>
  <c r="Q50" i="6"/>
  <c r="P50" i="6"/>
  <c r="O50" i="6"/>
  <c r="K50" i="6"/>
  <c r="J50" i="6"/>
  <c r="I50" i="6"/>
  <c r="H50" i="6"/>
  <c r="G50" i="6"/>
  <c r="F50" i="6"/>
  <c r="E50" i="6"/>
  <c r="D50" i="6"/>
  <c r="C50" i="6"/>
  <c r="B50" i="6"/>
  <c r="Y49" i="6"/>
  <c r="L49" i="6"/>
  <c r="Y48" i="6"/>
  <c r="L48" i="6"/>
  <c r="Y47" i="6"/>
  <c r="L47" i="6"/>
  <c r="Y46" i="6"/>
  <c r="L46" i="6"/>
  <c r="Y45" i="6"/>
  <c r="L45" i="6"/>
  <c r="Y44" i="6"/>
  <c r="L44" i="6"/>
  <c r="Y43" i="6"/>
  <c r="L43" i="6"/>
  <c r="Y42" i="6"/>
  <c r="L42" i="6"/>
  <c r="Y41" i="6"/>
  <c r="L41" i="6"/>
  <c r="Y40" i="6"/>
  <c r="L40" i="6"/>
  <c r="Y39" i="6"/>
  <c r="L39" i="6"/>
  <c r="Y38" i="6"/>
  <c r="L38" i="6"/>
  <c r="Y37" i="6"/>
  <c r="L37" i="6"/>
  <c r="Y36" i="6"/>
  <c r="L36" i="6"/>
  <c r="Y35" i="6"/>
  <c r="L35" i="6"/>
  <c r="Y34" i="6"/>
  <c r="L34" i="6"/>
  <c r="Y33" i="6"/>
  <c r="L33" i="6"/>
  <c r="Y32" i="6"/>
  <c r="L32" i="6"/>
  <c r="Y31" i="6"/>
  <c r="L31" i="6"/>
  <c r="Y30" i="6"/>
  <c r="L30" i="6"/>
  <c r="Y29" i="6"/>
  <c r="L29" i="6"/>
  <c r="Y28" i="6"/>
  <c r="L28" i="6"/>
  <c r="Y27" i="6"/>
  <c r="L27" i="6"/>
  <c r="Y26" i="6"/>
  <c r="L26" i="6"/>
  <c r="Y25" i="6"/>
  <c r="L25" i="6"/>
  <c r="Y24" i="6"/>
  <c r="L24" i="6"/>
  <c r="Y23" i="6"/>
  <c r="L23" i="6"/>
  <c r="Y22" i="6"/>
  <c r="L22" i="6"/>
  <c r="Y21" i="6"/>
  <c r="L21" i="6"/>
  <c r="Y20" i="6"/>
  <c r="L20" i="6"/>
  <c r="Y19" i="6"/>
  <c r="L19" i="6"/>
  <c r="Y18" i="6"/>
  <c r="L18" i="6"/>
  <c r="Y17" i="6"/>
  <c r="L17" i="6"/>
  <c r="Y16" i="6"/>
  <c r="L16" i="6"/>
  <c r="Y15" i="6"/>
  <c r="L15" i="6"/>
  <c r="Y14" i="6"/>
  <c r="L14" i="6"/>
  <c r="Y13" i="6"/>
  <c r="L13" i="6"/>
  <c r="Y12" i="6"/>
  <c r="Y50" i="6" s="1"/>
  <c r="L12" i="6"/>
  <c r="Y11" i="6"/>
  <c r="L11" i="6"/>
  <c r="L50" i="6" s="1"/>
  <c r="X10" i="6"/>
  <c r="W10" i="6"/>
  <c r="V10" i="6"/>
  <c r="U10" i="6"/>
  <c r="T10" i="6"/>
  <c r="S10" i="6"/>
  <c r="R10" i="6"/>
  <c r="Q10" i="6"/>
  <c r="P10" i="6"/>
  <c r="O10" i="6"/>
  <c r="S6" i="6"/>
  <c r="X97" i="5"/>
  <c r="W97" i="5"/>
  <c r="V97" i="5"/>
  <c r="U97" i="5"/>
  <c r="T97" i="5"/>
  <c r="S97" i="5"/>
  <c r="R97" i="5"/>
  <c r="Q97" i="5"/>
  <c r="P97" i="5"/>
  <c r="O97" i="5"/>
  <c r="K97" i="5"/>
  <c r="J97" i="5"/>
  <c r="I97" i="5"/>
  <c r="H97" i="5"/>
  <c r="G97" i="5"/>
  <c r="F97" i="5"/>
  <c r="E97" i="5"/>
  <c r="D97" i="5"/>
  <c r="C97" i="5"/>
  <c r="B97" i="5"/>
  <c r="Y96" i="5"/>
  <c r="L96" i="5"/>
  <c r="Y95" i="5"/>
  <c r="L95" i="5"/>
  <c r="Y94" i="5"/>
  <c r="L94" i="5"/>
  <c r="Y93" i="5"/>
  <c r="L93" i="5"/>
  <c r="Y92" i="5"/>
  <c r="L92" i="5"/>
  <c r="Y91" i="5"/>
  <c r="L91" i="5"/>
  <c r="Y90" i="5"/>
  <c r="L90" i="5"/>
  <c r="Y89" i="5"/>
  <c r="L89" i="5"/>
  <c r="Y88" i="5"/>
  <c r="L88" i="5"/>
  <c r="Y87" i="5"/>
  <c r="L87" i="5"/>
  <c r="Y86" i="5"/>
  <c r="L86" i="5"/>
  <c r="Y85" i="5"/>
  <c r="L85" i="5"/>
  <c r="Y84" i="5"/>
  <c r="L84" i="5"/>
  <c r="Y83" i="5"/>
  <c r="L83" i="5"/>
  <c r="Y82" i="5"/>
  <c r="L82" i="5"/>
  <c r="Y81" i="5"/>
  <c r="L81" i="5"/>
  <c r="Y80" i="5"/>
  <c r="L80" i="5"/>
  <c r="Y79" i="5"/>
  <c r="L79" i="5"/>
  <c r="Y78" i="5"/>
  <c r="L78" i="5"/>
  <c r="Y77" i="5"/>
  <c r="L77" i="5"/>
  <c r="Y76" i="5"/>
  <c r="L76" i="5"/>
  <c r="Y75" i="5"/>
  <c r="L75" i="5"/>
  <c r="Y74" i="5"/>
  <c r="L74" i="5"/>
  <c r="Y73" i="5"/>
  <c r="L73" i="5"/>
  <c r="Y72" i="5"/>
  <c r="L72" i="5"/>
  <c r="Y71" i="5"/>
  <c r="L71" i="5"/>
  <c r="Y70" i="5"/>
  <c r="L70" i="5"/>
  <c r="Y69" i="5"/>
  <c r="L69" i="5"/>
  <c r="Y68" i="5"/>
  <c r="L68" i="5"/>
  <c r="Y67" i="5"/>
  <c r="L67" i="5"/>
  <c r="Y66" i="5"/>
  <c r="L66" i="5"/>
  <c r="Y65" i="5"/>
  <c r="L65" i="5"/>
  <c r="Y64" i="5"/>
  <c r="L64" i="5"/>
  <c r="Y63" i="5"/>
  <c r="L63" i="5"/>
  <c r="Y62" i="5"/>
  <c r="L62" i="5"/>
  <c r="Y61" i="5"/>
  <c r="L61" i="5"/>
  <c r="Y60" i="5"/>
  <c r="L60" i="5"/>
  <c r="Y59" i="5"/>
  <c r="Y97" i="5" s="1"/>
  <c r="L59" i="5"/>
  <c r="Y58" i="5"/>
  <c r="L58" i="5"/>
  <c r="L97" i="5" s="1"/>
  <c r="X57" i="5"/>
  <c r="W57" i="5"/>
  <c r="V57" i="5"/>
  <c r="U57" i="5"/>
  <c r="T57" i="5"/>
  <c r="S57" i="5"/>
  <c r="R57" i="5"/>
  <c r="Q57" i="5"/>
  <c r="P57" i="5"/>
  <c r="O57" i="5"/>
  <c r="K57" i="5"/>
  <c r="J57" i="5"/>
  <c r="I57" i="5"/>
  <c r="H57" i="5"/>
  <c r="G57" i="5"/>
  <c r="F57" i="5"/>
  <c r="E57" i="5"/>
  <c r="D57" i="5"/>
  <c r="C57" i="5"/>
  <c r="B57" i="5"/>
  <c r="X50" i="5"/>
  <c r="W50" i="5"/>
  <c r="V50" i="5"/>
  <c r="U50" i="5"/>
  <c r="T50" i="5"/>
  <c r="S50" i="5"/>
  <c r="R50" i="5"/>
  <c r="Q50" i="5"/>
  <c r="P50" i="5"/>
  <c r="O50" i="5"/>
  <c r="K50" i="5"/>
  <c r="J50" i="5"/>
  <c r="I50" i="5"/>
  <c r="H50" i="5"/>
  <c r="G50" i="5"/>
  <c r="F50" i="5"/>
  <c r="E50" i="5"/>
  <c r="D50" i="5"/>
  <c r="C50" i="5"/>
  <c r="B50" i="5"/>
  <c r="Y49" i="5"/>
  <c r="L49" i="5"/>
  <c r="Y48" i="5"/>
  <c r="L48" i="5"/>
  <c r="Y47" i="5"/>
  <c r="L47" i="5"/>
  <c r="Y46" i="5"/>
  <c r="L46" i="5"/>
  <c r="Y45" i="5"/>
  <c r="L45" i="5"/>
  <c r="Y44" i="5"/>
  <c r="L44" i="5"/>
  <c r="Y43" i="5"/>
  <c r="L43" i="5"/>
  <c r="Y42" i="5"/>
  <c r="L42" i="5"/>
  <c r="Y41" i="5"/>
  <c r="L41" i="5"/>
  <c r="Y40" i="5"/>
  <c r="L40" i="5"/>
  <c r="Y39" i="5"/>
  <c r="L39" i="5"/>
  <c r="Y38" i="5"/>
  <c r="L38" i="5"/>
  <c r="Y37" i="5"/>
  <c r="L37" i="5"/>
  <c r="Y36" i="5"/>
  <c r="L36" i="5"/>
  <c r="Y35" i="5"/>
  <c r="L35" i="5"/>
  <c r="Y34" i="5"/>
  <c r="L34" i="5"/>
  <c r="Y33" i="5"/>
  <c r="L33" i="5"/>
  <c r="Y32" i="5"/>
  <c r="L32" i="5"/>
  <c r="Y31" i="5"/>
  <c r="L31" i="5"/>
  <c r="Y30" i="5"/>
  <c r="L30" i="5"/>
  <c r="Y29" i="5"/>
  <c r="L29" i="5"/>
  <c r="Y28" i="5"/>
  <c r="L28" i="5"/>
  <c r="Y27" i="5"/>
  <c r="L27" i="5"/>
  <c r="Y26" i="5"/>
  <c r="L26" i="5"/>
  <c r="Y25" i="5"/>
  <c r="L25" i="5"/>
  <c r="Y24" i="5"/>
  <c r="L24" i="5"/>
  <c r="Y23" i="5"/>
  <c r="L23" i="5"/>
  <c r="Y22" i="5"/>
  <c r="L22" i="5"/>
  <c r="Y21" i="5"/>
  <c r="L21" i="5"/>
  <c r="Y20" i="5"/>
  <c r="L20" i="5"/>
  <c r="Y19" i="5"/>
  <c r="L19" i="5"/>
  <c r="Y18" i="5"/>
  <c r="L18" i="5"/>
  <c r="Y17" i="5"/>
  <c r="L17" i="5"/>
  <c r="Y16" i="5"/>
  <c r="L16" i="5"/>
  <c r="Y15" i="5"/>
  <c r="L15" i="5"/>
  <c r="Y14" i="5"/>
  <c r="L14" i="5"/>
  <c r="Y13" i="5"/>
  <c r="L13" i="5"/>
  <c r="Y12" i="5"/>
  <c r="Y50" i="5" s="1"/>
  <c r="L12" i="5"/>
  <c r="Y11" i="5"/>
  <c r="L11" i="5"/>
  <c r="L50" i="5" s="1"/>
  <c r="X10" i="5"/>
  <c r="W10" i="5"/>
  <c r="V10" i="5"/>
  <c r="U10" i="5"/>
  <c r="T10" i="5"/>
  <c r="S10" i="5"/>
  <c r="R10" i="5"/>
  <c r="Q10" i="5"/>
  <c r="P10" i="5"/>
  <c r="O10" i="5"/>
  <c r="S6" i="5"/>
  <c r="X97" i="4"/>
  <c r="W97" i="4"/>
  <c r="V97" i="4"/>
  <c r="U97" i="4"/>
  <c r="T97" i="4"/>
  <c r="S97" i="4"/>
  <c r="R97" i="4"/>
  <c r="Q97" i="4"/>
  <c r="P97" i="4"/>
  <c r="O97" i="4"/>
  <c r="K97" i="4"/>
  <c r="J97" i="4"/>
  <c r="I97" i="4"/>
  <c r="H97" i="4"/>
  <c r="G97" i="4"/>
  <c r="F97" i="4"/>
  <c r="E97" i="4"/>
  <c r="D97" i="4"/>
  <c r="C97" i="4"/>
  <c r="B97" i="4"/>
  <c r="Y96" i="4"/>
  <c r="L96" i="4"/>
  <c r="Y95" i="4"/>
  <c r="L95" i="4"/>
  <c r="Y94" i="4"/>
  <c r="L94" i="4"/>
  <c r="Y93" i="4"/>
  <c r="L93" i="4"/>
  <c r="Y92" i="4"/>
  <c r="L92" i="4"/>
  <c r="Y91" i="4"/>
  <c r="L91" i="4"/>
  <c r="Y90" i="4"/>
  <c r="L90" i="4"/>
  <c r="Y89" i="4"/>
  <c r="L89" i="4"/>
  <c r="Y88" i="4"/>
  <c r="L88" i="4"/>
  <c r="Y87" i="4"/>
  <c r="L87" i="4"/>
  <c r="Y86" i="4"/>
  <c r="L86" i="4"/>
  <c r="Y85" i="4"/>
  <c r="L85" i="4"/>
  <c r="Y84" i="4"/>
  <c r="L84" i="4"/>
  <c r="Y83" i="4"/>
  <c r="L83" i="4"/>
  <c r="Y82" i="4"/>
  <c r="L82" i="4"/>
  <c r="Y81" i="4"/>
  <c r="L81" i="4"/>
  <c r="Y80" i="4"/>
  <c r="L80" i="4"/>
  <c r="Y79" i="4"/>
  <c r="L79" i="4"/>
  <c r="Y78" i="4"/>
  <c r="L78" i="4"/>
  <c r="Y77" i="4"/>
  <c r="L77" i="4"/>
  <c r="Y76" i="4"/>
  <c r="L76" i="4"/>
  <c r="Y75" i="4"/>
  <c r="L75" i="4"/>
  <c r="Y74" i="4"/>
  <c r="L74" i="4"/>
  <c r="Y73" i="4"/>
  <c r="L73" i="4"/>
  <c r="Y72" i="4"/>
  <c r="L72" i="4"/>
  <c r="Y71" i="4"/>
  <c r="L71" i="4"/>
  <c r="Y70" i="4"/>
  <c r="L70" i="4"/>
  <c r="Y69" i="4"/>
  <c r="L69" i="4"/>
  <c r="Y68" i="4"/>
  <c r="L68" i="4"/>
  <c r="Y67" i="4"/>
  <c r="L67" i="4"/>
  <c r="Y66" i="4"/>
  <c r="L66" i="4"/>
  <c r="Y65" i="4"/>
  <c r="L65" i="4"/>
  <c r="Y64" i="4"/>
  <c r="L64" i="4"/>
  <c r="Y63" i="4"/>
  <c r="L63" i="4"/>
  <c r="Y62" i="4"/>
  <c r="L62" i="4"/>
  <c r="Y61" i="4"/>
  <c r="L61" i="4"/>
  <c r="Y60" i="4"/>
  <c r="L60" i="4"/>
  <c r="Y59" i="4"/>
  <c r="L59" i="4"/>
  <c r="Y58" i="4"/>
  <c r="Y97" i="4" s="1"/>
  <c r="L58" i="4"/>
  <c r="L97" i="4" s="1"/>
  <c r="X57" i="4"/>
  <c r="W57" i="4"/>
  <c r="V57" i="4"/>
  <c r="U57" i="4"/>
  <c r="T57" i="4"/>
  <c r="S57" i="4"/>
  <c r="R57" i="4"/>
  <c r="Q57" i="4"/>
  <c r="P57" i="4"/>
  <c r="O57" i="4"/>
  <c r="K57" i="4"/>
  <c r="J57" i="4"/>
  <c r="I57" i="4"/>
  <c r="H57" i="4"/>
  <c r="G57" i="4"/>
  <c r="F57" i="4"/>
  <c r="E57" i="4"/>
  <c r="D57" i="4"/>
  <c r="C57" i="4"/>
  <c r="B57" i="4"/>
  <c r="X50" i="4"/>
  <c r="W50" i="4"/>
  <c r="V50" i="4"/>
  <c r="U50" i="4"/>
  <c r="T50" i="4"/>
  <c r="S50" i="4"/>
  <c r="R50" i="4"/>
  <c r="Q50" i="4"/>
  <c r="P50" i="4"/>
  <c r="O50" i="4"/>
  <c r="K50" i="4"/>
  <c r="J50" i="4"/>
  <c r="I50" i="4"/>
  <c r="H50" i="4"/>
  <c r="G50" i="4"/>
  <c r="F50" i="4"/>
  <c r="E50" i="4"/>
  <c r="D50" i="4"/>
  <c r="C50" i="4"/>
  <c r="B50" i="4"/>
  <c r="Y49" i="4"/>
  <c r="L49" i="4"/>
  <c r="Y48" i="4"/>
  <c r="L48" i="4"/>
  <c r="Y47" i="4"/>
  <c r="L47" i="4"/>
  <c r="Y46" i="4"/>
  <c r="L46" i="4"/>
  <c r="Y45" i="4"/>
  <c r="L45" i="4"/>
  <c r="Y44" i="4"/>
  <c r="L44" i="4"/>
  <c r="Y43" i="4"/>
  <c r="L43" i="4"/>
  <c r="Y42" i="4"/>
  <c r="L42" i="4"/>
  <c r="Y41" i="4"/>
  <c r="L41" i="4"/>
  <c r="Y40" i="4"/>
  <c r="L40" i="4"/>
  <c r="Y39" i="4"/>
  <c r="L39" i="4"/>
  <c r="Y38" i="4"/>
  <c r="L38" i="4"/>
  <c r="Y37" i="4"/>
  <c r="L37" i="4"/>
  <c r="Y36" i="4"/>
  <c r="L36" i="4"/>
  <c r="Y35" i="4"/>
  <c r="L35" i="4"/>
  <c r="Y34" i="4"/>
  <c r="L34" i="4"/>
  <c r="Y33" i="4"/>
  <c r="L33" i="4"/>
  <c r="Y32" i="4"/>
  <c r="L32" i="4"/>
  <c r="Y31" i="4"/>
  <c r="L31" i="4"/>
  <c r="Y30" i="4"/>
  <c r="L30" i="4"/>
  <c r="Y29" i="4"/>
  <c r="L29" i="4"/>
  <c r="Y28" i="4"/>
  <c r="L28" i="4"/>
  <c r="Y27" i="4"/>
  <c r="L27" i="4"/>
  <c r="Y26" i="4"/>
  <c r="L26" i="4"/>
  <c r="Y25" i="4"/>
  <c r="L25" i="4"/>
  <c r="Y24" i="4"/>
  <c r="L24" i="4"/>
  <c r="Y23" i="4"/>
  <c r="L23" i="4"/>
  <c r="Y22" i="4"/>
  <c r="L22" i="4"/>
  <c r="Y21" i="4"/>
  <c r="L21" i="4"/>
  <c r="Y20" i="4"/>
  <c r="L20" i="4"/>
  <c r="Y19" i="4"/>
  <c r="L19" i="4"/>
  <c r="Y18" i="4"/>
  <c r="L18" i="4"/>
  <c r="Y17" i="4"/>
  <c r="L17" i="4"/>
  <c r="Y16" i="4"/>
  <c r="L16" i="4"/>
  <c r="Y15" i="4"/>
  <c r="L15" i="4"/>
  <c r="Y14" i="4"/>
  <c r="L14" i="4"/>
  <c r="Y13" i="4"/>
  <c r="L13" i="4"/>
  <c r="Y12" i="4"/>
  <c r="L12" i="4"/>
  <c r="Y11" i="4"/>
  <c r="Y50" i="4" s="1"/>
  <c r="L11" i="4"/>
  <c r="L50" i="4" s="1"/>
  <c r="X10" i="4"/>
  <c r="W10" i="4"/>
  <c r="V10" i="4"/>
  <c r="U10" i="4"/>
  <c r="T10" i="4"/>
  <c r="S10" i="4"/>
  <c r="R10" i="4"/>
  <c r="Q10" i="4"/>
  <c r="P10" i="4"/>
  <c r="O10" i="4"/>
  <c r="S6" i="4"/>
  <c r="X97" i="3"/>
  <c r="W97" i="3"/>
  <c r="V97" i="3"/>
  <c r="U97" i="3"/>
  <c r="T97" i="3"/>
  <c r="S97" i="3"/>
  <c r="R97" i="3"/>
  <c r="Q97" i="3"/>
  <c r="P97" i="3"/>
  <c r="O97" i="3"/>
  <c r="K97" i="3"/>
  <c r="J97" i="3"/>
  <c r="I97" i="3"/>
  <c r="H97" i="3"/>
  <c r="G97" i="3"/>
  <c r="F97" i="3"/>
  <c r="E97" i="3"/>
  <c r="D97" i="3"/>
  <c r="C97" i="3"/>
  <c r="B97" i="3"/>
  <c r="Y96" i="3"/>
  <c r="L96" i="3"/>
  <c r="Y95" i="3"/>
  <c r="L95" i="3"/>
  <c r="Y94" i="3"/>
  <c r="L94" i="3"/>
  <c r="Y93" i="3"/>
  <c r="L93" i="3"/>
  <c r="Y92" i="3"/>
  <c r="L92" i="3"/>
  <c r="Y91" i="3"/>
  <c r="L91" i="3"/>
  <c r="Y90" i="3"/>
  <c r="L90" i="3"/>
  <c r="Y89" i="3"/>
  <c r="L89" i="3"/>
  <c r="Y88" i="3"/>
  <c r="L88" i="3"/>
  <c r="Y87" i="3"/>
  <c r="L87" i="3"/>
  <c r="Y86" i="3"/>
  <c r="L86" i="3"/>
  <c r="Y85" i="3"/>
  <c r="L85" i="3"/>
  <c r="Y84" i="3"/>
  <c r="L84" i="3"/>
  <c r="Y83" i="3"/>
  <c r="L83" i="3"/>
  <c r="Y82" i="3"/>
  <c r="L82" i="3"/>
  <c r="Y81" i="3"/>
  <c r="L81" i="3"/>
  <c r="Y80" i="3"/>
  <c r="L80" i="3"/>
  <c r="Y79" i="3"/>
  <c r="L79" i="3"/>
  <c r="Y78" i="3"/>
  <c r="L78" i="3"/>
  <c r="Y77" i="3"/>
  <c r="L77" i="3"/>
  <c r="Y76" i="3"/>
  <c r="L76" i="3"/>
  <c r="Y75" i="3"/>
  <c r="L75" i="3"/>
  <c r="Y74" i="3"/>
  <c r="L74" i="3"/>
  <c r="Y73" i="3"/>
  <c r="L73" i="3"/>
  <c r="Y72" i="3"/>
  <c r="L72" i="3"/>
  <c r="Y71" i="3"/>
  <c r="L71" i="3"/>
  <c r="Y70" i="3"/>
  <c r="L70" i="3"/>
  <c r="Y69" i="3"/>
  <c r="L69" i="3"/>
  <c r="Y68" i="3"/>
  <c r="L68" i="3"/>
  <c r="Y67" i="3"/>
  <c r="L67" i="3"/>
  <c r="Y66" i="3"/>
  <c r="L66" i="3"/>
  <c r="Y65" i="3"/>
  <c r="L65" i="3"/>
  <c r="Y64" i="3"/>
  <c r="L64" i="3"/>
  <c r="Y63" i="3"/>
  <c r="L63" i="3"/>
  <c r="Y62" i="3"/>
  <c r="L62" i="3"/>
  <c r="Y61" i="3"/>
  <c r="L61" i="3"/>
  <c r="Y60" i="3"/>
  <c r="L60" i="3"/>
  <c r="Y59" i="3"/>
  <c r="L59" i="3"/>
  <c r="Y58" i="3"/>
  <c r="Y97" i="3" s="1"/>
  <c r="L58" i="3"/>
  <c r="L97" i="3" s="1"/>
  <c r="X57" i="3"/>
  <c r="W57" i="3"/>
  <c r="V57" i="3"/>
  <c r="U57" i="3"/>
  <c r="T57" i="3"/>
  <c r="S57" i="3"/>
  <c r="R57" i="3"/>
  <c r="Q57" i="3"/>
  <c r="P57" i="3"/>
  <c r="O57" i="3"/>
  <c r="K57" i="3"/>
  <c r="J57" i="3"/>
  <c r="I57" i="3"/>
  <c r="H57" i="3"/>
  <c r="G57" i="3"/>
  <c r="F57" i="3"/>
  <c r="E57" i="3"/>
  <c r="D57" i="3"/>
  <c r="C57" i="3"/>
  <c r="B57" i="3"/>
  <c r="X50" i="3"/>
  <c r="W50" i="3"/>
  <c r="V50" i="3"/>
  <c r="U50" i="3"/>
  <c r="T50" i="3"/>
  <c r="S50" i="3"/>
  <c r="R50" i="3"/>
  <c r="Q50" i="3"/>
  <c r="P50" i="3"/>
  <c r="O50" i="3"/>
  <c r="K50" i="3"/>
  <c r="J50" i="3"/>
  <c r="I50" i="3"/>
  <c r="H50" i="3"/>
  <c r="G50" i="3"/>
  <c r="F50" i="3"/>
  <c r="E50" i="3"/>
  <c r="D50" i="3"/>
  <c r="C50" i="3"/>
  <c r="B50" i="3"/>
  <c r="Y49" i="3"/>
  <c r="L49" i="3"/>
  <c r="Y48" i="3"/>
  <c r="L48" i="3"/>
  <c r="Y47" i="3"/>
  <c r="L47" i="3"/>
  <c r="Y46" i="3"/>
  <c r="L46" i="3"/>
  <c r="Y45" i="3"/>
  <c r="L45" i="3"/>
  <c r="Y44" i="3"/>
  <c r="L44" i="3"/>
  <c r="Y43" i="3"/>
  <c r="L43" i="3"/>
  <c r="Y42" i="3"/>
  <c r="L42" i="3"/>
  <c r="Y41" i="3"/>
  <c r="L41" i="3"/>
  <c r="Y40" i="3"/>
  <c r="L40" i="3"/>
  <c r="Y39" i="3"/>
  <c r="L39" i="3"/>
  <c r="Y38" i="3"/>
  <c r="L38" i="3"/>
  <c r="Y37" i="3"/>
  <c r="L37" i="3"/>
  <c r="Y36" i="3"/>
  <c r="L36" i="3"/>
  <c r="Y35" i="3"/>
  <c r="L35" i="3"/>
  <c r="Y34" i="3"/>
  <c r="L34" i="3"/>
  <c r="Y33" i="3"/>
  <c r="L33" i="3"/>
  <c r="Y32" i="3"/>
  <c r="L32" i="3"/>
  <c r="Y31" i="3"/>
  <c r="L31" i="3"/>
  <c r="Y30" i="3"/>
  <c r="L30" i="3"/>
  <c r="Y29" i="3"/>
  <c r="L29" i="3"/>
  <c r="Y28" i="3"/>
  <c r="L28" i="3"/>
  <c r="Y27" i="3"/>
  <c r="L27" i="3"/>
  <c r="Y26" i="3"/>
  <c r="L26" i="3"/>
  <c r="Y25" i="3"/>
  <c r="L25" i="3"/>
  <c r="Y24" i="3"/>
  <c r="L24" i="3"/>
  <c r="Y23" i="3"/>
  <c r="L23" i="3"/>
  <c r="Y22" i="3"/>
  <c r="L22" i="3"/>
  <c r="Y21" i="3"/>
  <c r="L21" i="3"/>
  <c r="Y20" i="3"/>
  <c r="L20" i="3"/>
  <c r="Y19" i="3"/>
  <c r="L19" i="3"/>
  <c r="Y18" i="3"/>
  <c r="L18" i="3"/>
  <c r="Y17" i="3"/>
  <c r="L17" i="3"/>
  <c r="Y16" i="3"/>
  <c r="L16" i="3"/>
  <c r="Y15" i="3"/>
  <c r="L15" i="3"/>
  <c r="Y14" i="3"/>
  <c r="L14" i="3"/>
  <c r="Y13" i="3"/>
  <c r="L13" i="3"/>
  <c r="Y12" i="3"/>
  <c r="L12" i="3"/>
  <c r="Y11" i="3"/>
  <c r="Y50" i="3" s="1"/>
  <c r="L11" i="3"/>
  <c r="L50" i="3" s="1"/>
  <c r="X10" i="3"/>
  <c r="W10" i="3"/>
  <c r="V10" i="3"/>
  <c r="U10" i="3"/>
  <c r="T10" i="3"/>
  <c r="S10" i="3"/>
  <c r="R10" i="3"/>
  <c r="Q10" i="3"/>
  <c r="P10" i="3"/>
  <c r="O10" i="3"/>
  <c r="S6" i="3"/>
  <c r="X97" i="2"/>
  <c r="W97" i="2"/>
  <c r="V97" i="2"/>
  <c r="U97" i="2"/>
  <c r="T97" i="2"/>
  <c r="S97" i="2"/>
  <c r="R97" i="2"/>
  <c r="Q97" i="2"/>
  <c r="P97" i="2"/>
  <c r="O97" i="2"/>
  <c r="K97" i="2"/>
  <c r="J97" i="2"/>
  <c r="I97" i="2"/>
  <c r="H97" i="2"/>
  <c r="G97" i="2"/>
  <c r="F97" i="2"/>
  <c r="E97" i="2"/>
  <c r="D97" i="2"/>
  <c r="C97" i="2"/>
  <c r="B97" i="2"/>
  <c r="Y96" i="2"/>
  <c r="L96" i="2"/>
  <c r="Y95" i="2"/>
  <c r="L95" i="2"/>
  <c r="Y94" i="2"/>
  <c r="L94" i="2"/>
  <c r="Y93" i="2"/>
  <c r="L93" i="2"/>
  <c r="Y92" i="2"/>
  <c r="L92" i="2"/>
  <c r="Y91" i="2"/>
  <c r="L91" i="2"/>
  <c r="Y90" i="2"/>
  <c r="L90" i="2"/>
  <c r="Y89" i="2"/>
  <c r="L89" i="2"/>
  <c r="Y88" i="2"/>
  <c r="L88" i="2"/>
  <c r="Y87" i="2"/>
  <c r="L87" i="2"/>
  <c r="Y86" i="2"/>
  <c r="L86" i="2"/>
  <c r="Y85" i="2"/>
  <c r="L85" i="2"/>
  <c r="Y84" i="2"/>
  <c r="L84" i="2"/>
  <c r="Y83" i="2"/>
  <c r="L83" i="2"/>
  <c r="Y82" i="2"/>
  <c r="L82" i="2"/>
  <c r="Y81" i="2"/>
  <c r="L81" i="2"/>
  <c r="Y80" i="2"/>
  <c r="L80" i="2"/>
  <c r="Y79" i="2"/>
  <c r="L79" i="2"/>
  <c r="Y78" i="2"/>
  <c r="L78" i="2"/>
  <c r="Y77" i="2"/>
  <c r="L77" i="2"/>
  <c r="Y76" i="2"/>
  <c r="L76" i="2"/>
  <c r="Y75" i="2"/>
  <c r="L75" i="2"/>
  <c r="Y74" i="2"/>
  <c r="L74" i="2"/>
  <c r="Y73" i="2"/>
  <c r="L73" i="2"/>
  <c r="Y72" i="2"/>
  <c r="L72" i="2"/>
  <c r="Y71" i="2"/>
  <c r="L71" i="2"/>
  <c r="Y70" i="2"/>
  <c r="L70" i="2"/>
  <c r="Y69" i="2"/>
  <c r="L69" i="2"/>
  <c r="Y68" i="2"/>
  <c r="L68" i="2"/>
  <c r="Y67" i="2"/>
  <c r="L67" i="2"/>
  <c r="Y66" i="2"/>
  <c r="L66" i="2"/>
  <c r="Y65" i="2"/>
  <c r="L65" i="2"/>
  <c r="Y64" i="2"/>
  <c r="L64" i="2"/>
  <c r="Y63" i="2"/>
  <c r="L63" i="2"/>
  <c r="Y62" i="2"/>
  <c r="L62" i="2"/>
  <c r="Y61" i="2"/>
  <c r="L61" i="2"/>
  <c r="Y60" i="2"/>
  <c r="L60" i="2"/>
  <c r="Y59" i="2"/>
  <c r="Y97" i="2" s="1"/>
  <c r="L59" i="2"/>
  <c r="Y58" i="2"/>
  <c r="L58" i="2"/>
  <c r="L97" i="2" s="1"/>
  <c r="X57" i="2"/>
  <c r="W57" i="2"/>
  <c r="V57" i="2"/>
  <c r="U57" i="2"/>
  <c r="T57" i="2"/>
  <c r="S57" i="2"/>
  <c r="R57" i="2"/>
  <c r="Q57" i="2"/>
  <c r="P57" i="2"/>
  <c r="O57" i="2"/>
  <c r="K57" i="2"/>
  <c r="J57" i="2"/>
  <c r="I57" i="2"/>
  <c r="H57" i="2"/>
  <c r="G57" i="2"/>
  <c r="F57" i="2"/>
  <c r="E57" i="2"/>
  <c r="D57" i="2"/>
  <c r="C57" i="2"/>
  <c r="B57" i="2"/>
  <c r="X50" i="2"/>
  <c r="W50" i="2"/>
  <c r="V50" i="2"/>
  <c r="U50" i="2"/>
  <c r="T50" i="2"/>
  <c r="S50" i="2"/>
  <c r="R50" i="2"/>
  <c r="Q50" i="2"/>
  <c r="P50" i="2"/>
  <c r="O50" i="2"/>
  <c r="K50" i="2"/>
  <c r="J50" i="2"/>
  <c r="I50" i="2"/>
  <c r="H50" i="2"/>
  <c r="G50" i="2"/>
  <c r="F50" i="2"/>
  <c r="E50" i="2"/>
  <c r="D50" i="2"/>
  <c r="C50" i="2"/>
  <c r="B50" i="2"/>
  <c r="Y49" i="2"/>
  <c r="L49" i="2"/>
  <c r="Y48" i="2"/>
  <c r="L48" i="2"/>
  <c r="Y47" i="2"/>
  <c r="L47" i="2"/>
  <c r="Y46" i="2"/>
  <c r="L46" i="2"/>
  <c r="Y45" i="2"/>
  <c r="L45" i="2"/>
  <c r="Y44" i="2"/>
  <c r="L44" i="2"/>
  <c r="Y43" i="2"/>
  <c r="L43" i="2"/>
  <c r="Y42" i="2"/>
  <c r="L42" i="2"/>
  <c r="Y41" i="2"/>
  <c r="L41" i="2"/>
  <c r="Y40" i="2"/>
  <c r="L40" i="2"/>
  <c r="Y39" i="2"/>
  <c r="L39" i="2"/>
  <c r="Y38" i="2"/>
  <c r="L38" i="2"/>
  <c r="Y37" i="2"/>
  <c r="L37" i="2"/>
  <c r="Y36" i="2"/>
  <c r="L36" i="2"/>
  <c r="Y35" i="2"/>
  <c r="L35" i="2"/>
  <c r="Y34" i="2"/>
  <c r="L34" i="2"/>
  <c r="Y33" i="2"/>
  <c r="L33" i="2"/>
  <c r="Y32" i="2"/>
  <c r="L32" i="2"/>
  <c r="Y31" i="2"/>
  <c r="L31" i="2"/>
  <c r="Y30" i="2"/>
  <c r="L30" i="2"/>
  <c r="Y29" i="2"/>
  <c r="L29" i="2"/>
  <c r="Y28" i="2"/>
  <c r="L28" i="2"/>
  <c r="Y27" i="2"/>
  <c r="L27" i="2"/>
  <c r="Y26" i="2"/>
  <c r="L26" i="2"/>
  <c r="Y25" i="2"/>
  <c r="L25" i="2"/>
  <c r="Y24" i="2"/>
  <c r="L24" i="2"/>
  <c r="Y23" i="2"/>
  <c r="L23" i="2"/>
  <c r="Y22" i="2"/>
  <c r="L22" i="2"/>
  <c r="Y21" i="2"/>
  <c r="L21" i="2"/>
  <c r="Y20" i="2"/>
  <c r="L20" i="2"/>
  <c r="Y19" i="2"/>
  <c r="L19" i="2"/>
  <c r="Y18" i="2"/>
  <c r="L18" i="2"/>
  <c r="Y17" i="2"/>
  <c r="L17" i="2"/>
  <c r="Y16" i="2"/>
  <c r="L16" i="2"/>
  <c r="Y15" i="2"/>
  <c r="L15" i="2"/>
  <c r="Y14" i="2"/>
  <c r="L14" i="2"/>
  <c r="Y13" i="2"/>
  <c r="L13" i="2"/>
  <c r="Y12" i="2"/>
  <c r="Y50" i="2" s="1"/>
  <c r="L12" i="2"/>
  <c r="Y11" i="2"/>
  <c r="L11" i="2"/>
  <c r="L50" i="2" s="1"/>
  <c r="X10" i="2"/>
  <c r="W10" i="2"/>
  <c r="V10" i="2"/>
  <c r="U10" i="2"/>
  <c r="T10" i="2"/>
  <c r="S10" i="2"/>
  <c r="R10" i="2"/>
  <c r="Q10" i="2"/>
  <c r="P10" i="2"/>
  <c r="O10" i="2"/>
  <c r="S6" i="2"/>
  <c r="Y97" i="1"/>
  <c r="X97" i="1"/>
  <c r="W97" i="1"/>
  <c r="V97" i="1"/>
  <c r="U97" i="1"/>
  <c r="T97" i="1"/>
  <c r="S97" i="1"/>
  <c r="R97" i="1"/>
  <c r="Q97" i="1"/>
  <c r="P97" i="1"/>
  <c r="L97" i="1"/>
  <c r="K97" i="1"/>
  <c r="J97" i="1"/>
  <c r="I97" i="1"/>
  <c r="H97" i="1"/>
  <c r="G97" i="1"/>
  <c r="F97" i="1"/>
  <c r="E97" i="1"/>
  <c r="D97" i="1"/>
  <c r="C97" i="1"/>
  <c r="Z96" i="1"/>
  <c r="M96" i="1"/>
  <c r="Z95" i="1"/>
  <c r="M95" i="1"/>
  <c r="Z94" i="1"/>
  <c r="M94" i="1"/>
  <c r="Z93" i="1"/>
  <c r="M93" i="1"/>
  <c r="Z92" i="1"/>
  <c r="M92" i="1"/>
  <c r="Z91" i="1"/>
  <c r="M91" i="1"/>
  <c r="Z90" i="1"/>
  <c r="M90" i="1"/>
  <c r="Z89" i="1"/>
  <c r="M89" i="1"/>
  <c r="Z88" i="1"/>
  <c r="M88" i="1"/>
  <c r="Z87" i="1"/>
  <c r="M87" i="1"/>
  <c r="Z86" i="1"/>
  <c r="M86" i="1"/>
  <c r="Z85" i="1"/>
  <c r="M85" i="1"/>
  <c r="Z84" i="1"/>
  <c r="M84" i="1"/>
  <c r="Z83" i="1"/>
  <c r="M83" i="1"/>
  <c r="Z82" i="1"/>
  <c r="M82" i="1"/>
  <c r="Z81" i="1"/>
  <c r="M81" i="1"/>
  <c r="Z80" i="1"/>
  <c r="M80" i="1"/>
  <c r="Z79" i="1"/>
  <c r="M79" i="1"/>
  <c r="Z78" i="1"/>
  <c r="M78" i="1"/>
  <c r="Z77" i="1"/>
  <c r="M77" i="1"/>
  <c r="Z76" i="1"/>
  <c r="M76" i="1"/>
  <c r="Z75" i="1"/>
  <c r="M75" i="1"/>
  <c r="Z74" i="1"/>
  <c r="M74" i="1"/>
  <c r="Z73" i="1"/>
  <c r="M73" i="1"/>
  <c r="Z72" i="1"/>
  <c r="M72" i="1"/>
  <c r="Z71" i="1"/>
  <c r="M71" i="1"/>
  <c r="Z70" i="1"/>
  <c r="M70" i="1"/>
  <c r="Z69" i="1"/>
  <c r="M69" i="1"/>
  <c r="Z68" i="1"/>
  <c r="M68" i="1"/>
  <c r="Z67" i="1"/>
  <c r="M67" i="1"/>
  <c r="Z66" i="1"/>
  <c r="M66" i="1"/>
  <c r="Z65" i="1"/>
  <c r="M65" i="1"/>
  <c r="Z64" i="1"/>
  <c r="M64" i="1"/>
  <c r="Z63" i="1"/>
  <c r="M63" i="1"/>
  <c r="Z62" i="1"/>
  <c r="M62" i="1"/>
  <c r="Z61" i="1"/>
  <c r="M61" i="1"/>
  <c r="Z60" i="1"/>
  <c r="M60" i="1"/>
  <c r="Z59" i="1"/>
  <c r="Z97" i="1" s="1"/>
  <c r="M59" i="1"/>
  <c r="Z58" i="1"/>
  <c r="M58" i="1"/>
  <c r="Y57" i="1"/>
  <c r="X57" i="1"/>
  <c r="W57" i="1"/>
  <c r="V57" i="1"/>
  <c r="U57" i="1"/>
  <c r="T57" i="1"/>
  <c r="S57" i="1"/>
  <c r="R57" i="1"/>
  <c r="Q57" i="1"/>
  <c r="P57" i="1"/>
  <c r="L57" i="1"/>
  <c r="K57" i="1"/>
  <c r="J57" i="1"/>
  <c r="I57" i="1"/>
  <c r="H57" i="1"/>
  <c r="G57" i="1"/>
  <c r="F57" i="1"/>
  <c r="E57" i="1"/>
  <c r="D57" i="1"/>
  <c r="C57" i="1"/>
  <c r="Y50" i="1"/>
  <c r="X50" i="1"/>
  <c r="W50" i="1"/>
  <c r="V50" i="1"/>
  <c r="U50" i="1"/>
  <c r="T50" i="1"/>
  <c r="S50" i="1"/>
  <c r="R50" i="1"/>
  <c r="Q50" i="1"/>
  <c r="P50" i="1"/>
  <c r="L50" i="1"/>
  <c r="K50" i="1"/>
  <c r="J50" i="1"/>
  <c r="I50" i="1"/>
  <c r="H50" i="1"/>
  <c r="G50" i="1"/>
  <c r="F50" i="1"/>
  <c r="E50" i="1"/>
  <c r="D50" i="1"/>
  <c r="C50" i="1"/>
  <c r="Z49" i="1"/>
  <c r="M49" i="1"/>
  <c r="Z48" i="1"/>
  <c r="M48" i="1"/>
  <c r="Z47" i="1"/>
  <c r="M47" i="1"/>
  <c r="Z46" i="1"/>
  <c r="M46" i="1"/>
  <c r="Z45" i="1"/>
  <c r="M45" i="1"/>
  <c r="Z44" i="1"/>
  <c r="M44" i="1"/>
  <c r="Z43" i="1"/>
  <c r="M43" i="1"/>
  <c r="Z42" i="1"/>
  <c r="M42" i="1"/>
  <c r="Z41" i="1"/>
  <c r="M41" i="1"/>
  <c r="Z40" i="1"/>
  <c r="M40" i="1"/>
  <c r="Z39" i="1"/>
  <c r="M39" i="1"/>
  <c r="Z38" i="1"/>
  <c r="M38" i="1"/>
  <c r="Z37" i="1"/>
  <c r="M37" i="1"/>
  <c r="Z36" i="1"/>
  <c r="M36" i="1"/>
  <c r="Z35" i="1"/>
  <c r="M35" i="1"/>
  <c r="Z34" i="1"/>
  <c r="M34" i="1"/>
  <c r="Z33" i="1"/>
  <c r="M33" i="1"/>
  <c r="Z32" i="1"/>
  <c r="M32" i="1"/>
  <c r="Z31" i="1"/>
  <c r="M31" i="1"/>
  <c r="Z30" i="1"/>
  <c r="M30" i="1"/>
  <c r="Z29" i="1"/>
  <c r="M29" i="1"/>
  <c r="Z28" i="1"/>
  <c r="M28" i="1"/>
  <c r="Z27" i="1"/>
  <c r="M27" i="1"/>
  <c r="Z26" i="1"/>
  <c r="M26" i="1"/>
  <c r="Z25" i="1"/>
  <c r="M25" i="1"/>
  <c r="Z24" i="1"/>
  <c r="M24" i="1"/>
  <c r="Z23" i="1"/>
  <c r="M23" i="1"/>
  <c r="Z22" i="1"/>
  <c r="M22" i="1"/>
  <c r="Z21" i="1"/>
  <c r="M21" i="1"/>
  <c r="Z20" i="1"/>
  <c r="M20" i="1"/>
  <c r="Z19" i="1"/>
  <c r="M19" i="1"/>
  <c r="Z18" i="1"/>
  <c r="M18" i="1"/>
  <c r="Z17" i="1"/>
  <c r="M17" i="1"/>
  <c r="Z16" i="1"/>
  <c r="M16" i="1"/>
  <c r="Z15" i="1"/>
  <c r="M15" i="1"/>
  <c r="Z14" i="1"/>
  <c r="M14" i="1"/>
  <c r="Z13" i="1"/>
  <c r="M13" i="1"/>
  <c r="Z12" i="1"/>
  <c r="M12" i="1"/>
  <c r="Z11" i="1"/>
  <c r="M11" i="1"/>
  <c r="V10" i="1"/>
  <c r="U10" i="1"/>
  <c r="T10" i="1"/>
  <c r="S10" i="1"/>
  <c r="R10" i="1"/>
  <c r="Q10" i="1"/>
  <c r="P10" i="1"/>
  <c r="T6" i="1"/>
  <c r="L67" i="12" l="1"/>
  <c r="L70" i="12" s="1"/>
  <c r="K67" i="12"/>
  <c r="K70" i="12" s="1"/>
  <c r="J67" i="12"/>
  <c r="J70" i="12" s="1"/>
  <c r="I67" i="12"/>
  <c r="I70" i="12" s="1"/>
  <c r="H67" i="12"/>
  <c r="H70" i="12" s="1"/>
  <c r="M67" i="12"/>
  <c r="N67" i="12"/>
  <c r="G70" i="12"/>
  <c r="C68" i="12"/>
  <c r="O70" i="12"/>
  <c r="G99" i="7"/>
  <c r="G100" i="7" s="1"/>
  <c r="F99" i="7"/>
  <c r="F100" i="7" s="1"/>
  <c r="M97" i="1"/>
  <c r="M4" i="10"/>
  <c r="N4" i="10" s="1"/>
  <c r="M12" i="10"/>
  <c r="N12" i="10" s="1"/>
  <c r="M16" i="10"/>
  <c r="N16" i="10" s="1"/>
  <c r="M5" i="10"/>
  <c r="N5" i="10" s="1"/>
  <c r="M9" i="10"/>
  <c r="N9" i="10" s="1"/>
  <c r="M13" i="10"/>
  <c r="N13" i="10" s="1"/>
  <c r="M50" i="1"/>
  <c r="M7" i="10"/>
  <c r="N7" i="10" s="1"/>
  <c r="Z50" i="1"/>
  <c r="M8" i="10"/>
  <c r="N8" i="10" s="1"/>
  <c r="Z97" i="7"/>
  <c r="M3" i="10"/>
  <c r="N3" i="10" s="1"/>
  <c r="M97" i="7"/>
  <c r="Z50" i="7"/>
  <c r="C78" i="12"/>
  <c r="M70" i="12"/>
  <c r="M50" i="7"/>
  <c r="C86" i="12"/>
  <c r="C82" i="12"/>
  <c r="G88" i="12"/>
  <c r="C87" i="12"/>
  <c r="M6" i="10"/>
  <c r="N6" i="10" s="1"/>
  <c r="O88" i="12"/>
  <c r="K88" i="12"/>
  <c r="C84" i="12"/>
  <c r="C77" i="12"/>
  <c r="H88" i="12"/>
  <c r="L88" i="12"/>
  <c r="I88" i="12"/>
  <c r="M88" i="12"/>
  <c r="C79" i="12"/>
  <c r="C81" i="12"/>
  <c r="F88" i="12"/>
  <c r="J88" i="12"/>
  <c r="N88" i="12"/>
  <c r="C80" i="12"/>
  <c r="C83" i="12"/>
  <c r="C85" i="12"/>
  <c r="N70" i="12"/>
  <c r="I76" i="12"/>
  <c r="I66" i="12"/>
  <c r="F12" i="12"/>
  <c r="F13" i="12"/>
  <c r="F14" i="12"/>
  <c r="F15" i="12"/>
  <c r="F16" i="12"/>
  <c r="F17" i="12"/>
  <c r="F18" i="12"/>
  <c r="F22" i="12"/>
  <c r="F25" i="12"/>
  <c r="F76" i="12"/>
  <c r="F66" i="12"/>
  <c r="J76" i="12"/>
  <c r="J66" i="12"/>
  <c r="F21" i="12"/>
  <c r="M10" i="10"/>
  <c r="N10" i="10" s="1"/>
  <c r="M11" i="10"/>
  <c r="N11" i="10" s="1"/>
  <c r="M14" i="10"/>
  <c r="N14" i="10" s="1"/>
  <c r="M15" i="10"/>
  <c r="N15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G76" i="12"/>
  <c r="G66" i="12"/>
  <c r="K76" i="12"/>
  <c r="K66" i="12"/>
  <c r="H76" i="12"/>
  <c r="H66" i="12"/>
  <c r="L76" i="12"/>
  <c r="L66" i="12"/>
  <c r="F70" i="12" l="1"/>
  <c r="N42" i="10"/>
  <c r="C88" i="12"/>
  <c r="C67" i="12" l="1"/>
  <c r="C70" i="12"/>
</calcChain>
</file>

<file path=xl/sharedStrings.xml><?xml version="1.0" encoding="utf-8"?>
<sst xmlns="http://schemas.openxmlformats.org/spreadsheetml/2006/main" count="2042" uniqueCount="128">
  <si>
    <t>Registro</t>
  </si>
  <si>
    <t>PC 01.1</t>
  </si>
  <si>
    <t>Programa de Crianza</t>
  </si>
  <si>
    <t>Versión:</t>
  </si>
  <si>
    <t>Fecha:</t>
  </si>
  <si>
    <t>Elaborado Por:</t>
  </si>
  <si>
    <t>A - Vial</t>
  </si>
  <si>
    <t>Modificado por:</t>
  </si>
  <si>
    <t>R - Gatica</t>
  </si>
  <si>
    <t>Retiro de Alimentación Piscinas exteriores</t>
  </si>
  <si>
    <t>Aprobado Por</t>
  </si>
  <si>
    <t>Mes:</t>
  </si>
  <si>
    <t>Folio:</t>
  </si>
  <si>
    <t>Hojas:</t>
  </si>
  <si>
    <t>1 de 3</t>
  </si>
  <si>
    <t>Acuícola Alas S.A., Ruta 5 sur, Km 338, VII región, Parral</t>
  </si>
  <si>
    <t xml:space="preserve">Dia: </t>
  </si>
  <si>
    <t>Thalassa 0.9 -1.6</t>
  </si>
  <si>
    <t>Thalassa 1.3 - 2.0</t>
  </si>
  <si>
    <t>3 mm progress ex</t>
  </si>
  <si>
    <t>4.5 mm Progress</t>
  </si>
  <si>
    <t>6 mm Progress</t>
  </si>
  <si>
    <t>8 mm Progress</t>
  </si>
  <si>
    <t>8 mm Reproductor</t>
  </si>
  <si>
    <t>Ewos Micro PSZ LE 100 4.0 mm</t>
  </si>
  <si>
    <t>Ewos Micro PSZ LE 250 6.0 mm</t>
  </si>
  <si>
    <t>Ewos Breed 800 70A 9.5 mm</t>
  </si>
  <si>
    <t>Total</t>
  </si>
  <si>
    <t>Caridad</t>
  </si>
  <si>
    <t>SO1</t>
  </si>
  <si>
    <t>Pilar</t>
  </si>
  <si>
    <t>SO2</t>
  </si>
  <si>
    <t>Ocetra</t>
  </si>
  <si>
    <t>SO3</t>
  </si>
  <si>
    <t>Candelaria</t>
  </si>
  <si>
    <t>SO4</t>
  </si>
  <si>
    <t>Dolores</t>
  </si>
  <si>
    <t>SO5</t>
  </si>
  <si>
    <t>SO6</t>
  </si>
  <si>
    <t>SP1</t>
  </si>
  <si>
    <t>SP2</t>
  </si>
  <si>
    <t>SP3</t>
  </si>
  <si>
    <t>SP4</t>
  </si>
  <si>
    <t>SP5</t>
  </si>
  <si>
    <t>SP6</t>
  </si>
  <si>
    <t>Rosario</t>
  </si>
  <si>
    <t>NO1</t>
  </si>
  <si>
    <t>NO2</t>
  </si>
  <si>
    <t>NO3</t>
  </si>
  <si>
    <t>Del carmen</t>
  </si>
  <si>
    <t>NO4</t>
  </si>
  <si>
    <t>Victoria</t>
  </si>
  <si>
    <t>NO5</t>
  </si>
  <si>
    <t>NO6</t>
  </si>
  <si>
    <t>NC1</t>
  </si>
  <si>
    <t>NC2</t>
  </si>
  <si>
    <t>NC3</t>
  </si>
  <si>
    <t>Rosa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</si>
  <si>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</si>
  <si>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</si>
  <si>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</si>
  <si>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</si>
  <si>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</si>
  <si>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</si>
  <si>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</si>
  <si>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</si>
  <si>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</si>
  <si>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</si>
  <si>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C2N</t>
  </si>
  <si>
    <t>C2</t>
  </si>
  <si>
    <t>C3</t>
  </si>
  <si>
    <t>Del Carmen</t>
  </si>
  <si>
    <t>C4</t>
  </si>
  <si>
    <t>Lourdes</t>
  </si>
  <si>
    <t>C5</t>
  </si>
  <si>
    <t>C6</t>
  </si>
  <si>
    <t>Loreto</t>
  </si>
  <si>
    <t>Hatchery</t>
  </si>
  <si>
    <t>ocetra</t>
  </si>
  <si>
    <t>Jaula</t>
  </si>
  <si>
    <t>Lunes 15 Septiembre</t>
  </si>
  <si>
    <t>Miercoles 19</t>
  </si>
  <si>
    <t>Lunes 22 Septiembre</t>
  </si>
  <si>
    <t>Miercoles 26</t>
  </si>
  <si>
    <t>Lunes 29 Septiembre</t>
  </si>
  <si>
    <t>Origen</t>
  </si>
  <si>
    <t>Suma de Infa 0.2/0.4</t>
  </si>
  <si>
    <t>Suma de Thalassa 0.5 -1.0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</si>
  <si>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</si>
  <si>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</si>
  <si>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</si>
  <si>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</si>
  <si>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</si>
  <si>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</si>
  <si>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</si>
  <si>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Suma de Ewos Micro PSZ LE 100 4.0 mm</t>
  </si>
  <si>
    <t>Suma de Ewos Micro PSZ LE 250 6.0 mm</t>
  </si>
  <si>
    <t>Suma de Ewos Breed 800 70A 9.5 mm</t>
  </si>
  <si>
    <t>0.24</t>
  </si>
  <si>
    <t>RESUMEN MENSUAL EXISTENCIAS</t>
  </si>
  <si>
    <t>1 de 2</t>
  </si>
  <si>
    <t>Alimentacion Consumida Mensual kg</t>
  </si>
  <si>
    <t>Ubicación</t>
  </si>
  <si>
    <t>Infa 0.2/0.4</t>
  </si>
  <si>
    <t>Thalassa 0.5 -1.0</t>
  </si>
  <si>
    <t>Lag. Sur Oriente</t>
  </si>
  <si>
    <t>Lag. Sur Poniente</t>
  </si>
  <si>
    <t>Lag Nor Oriente</t>
  </si>
  <si>
    <t>Laguna Nor Central</t>
  </si>
  <si>
    <t>Laguna Nor Poniente</t>
  </si>
  <si>
    <t>Laguna Central</t>
  </si>
  <si>
    <t>2 de 2</t>
  </si>
  <si>
    <t>Total kg</t>
  </si>
  <si>
    <t xml:space="preserve">Total consumido </t>
  </si>
  <si>
    <t>Inicial mensual</t>
  </si>
  <si>
    <t>Ingresos</t>
  </si>
  <si>
    <t>Final Mensual kg</t>
  </si>
  <si>
    <t>Lote</t>
  </si>
  <si>
    <t>Total Consumido kg</t>
  </si>
  <si>
    <t/>
  </si>
  <si>
    <t>Total general</t>
  </si>
  <si>
    <t>Lunes 8 de diciembre</t>
  </si>
  <si>
    <t>Miercoles 8 de diciembre</t>
  </si>
  <si>
    <t>Lunes 15 de diciembre</t>
  </si>
  <si>
    <t>Lunes 22 Diciembre</t>
  </si>
  <si>
    <t>Abril</t>
  </si>
  <si>
    <t>1 al 5 de abril 2026</t>
  </si>
  <si>
    <t>6 al 12 de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</si>
</sst>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16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57070"/>
        <bgColor rgb="FF757070"/>
      </patternFill>
    </fill>
    <fill>
      <patternFill patternType="solid">
        <fgColor rgb="FF595959"/>
        <bgColor rgb="FF595959"/>
      </patternFill>
    </fill>
  </fills>
  <borders count="67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/>
      <bottom style="thin">
        <color rgb="FFAE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4" fillId="0" borderId="0" xfId="0" applyFont="1"/>
    <xf numFmtId="0" fontId="1" fillId="0" borderId="7" xfId="0" applyFont="1" applyBorder="1" applyAlignment="1">
      <alignment vertical="center"/>
    </xf>
    <xf numFmtId="0" fontId="1" fillId="0" borderId="0" xfId="0" applyFont="1"/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 textRotation="90" wrapText="1"/>
    </xf>
    <xf numFmtId="0" fontId="1" fillId="4" borderId="16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textRotation="90" wrapText="1"/>
    </xf>
    <xf numFmtId="0" fontId="5" fillId="3" borderId="16" xfId="0" applyFont="1" applyFill="1" applyBorder="1" applyAlignment="1">
      <alignment horizontal="center" vertical="center" textRotation="90" wrapText="1"/>
    </xf>
    <xf numFmtId="0" fontId="5" fillId="5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6" borderId="16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8" fillId="0" borderId="0" xfId="0" applyFont="1"/>
    <xf numFmtId="0" fontId="1" fillId="3" borderId="18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textRotation="90" wrapText="1"/>
    </xf>
    <xf numFmtId="0" fontId="5" fillId="3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5" fillId="3" borderId="23" xfId="0" applyFont="1" applyFill="1" applyBorder="1" applyAlignment="1">
      <alignment horizontal="center" vertical="center" wrapText="1"/>
    </xf>
    <xf numFmtId="0" fontId="7" fillId="0" borderId="24" xfId="0" applyFont="1" applyBorder="1"/>
    <xf numFmtId="0" fontId="5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" fillId="3" borderId="19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1" fillId="7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 wrapText="1"/>
    </xf>
    <xf numFmtId="0" fontId="5" fillId="5" borderId="4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2" fillId="0" borderId="0" xfId="0" applyFont="1"/>
    <xf numFmtId="0" fontId="1" fillId="2" borderId="1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4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textRotation="90" wrapText="1"/>
    </xf>
    <xf numFmtId="0" fontId="12" fillId="7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textRotation="90" wrapText="1"/>
    </xf>
    <xf numFmtId="0" fontId="12" fillId="7" borderId="56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7" xfId="0" pivotButton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1" fillId="0" borderId="16" xfId="0" applyFont="1" applyBorder="1" applyAlignment="1">
      <alignment horizontal="center" vertical="center" textRotation="90" wrapText="1"/>
    </xf>
    <xf numFmtId="0" fontId="6" fillId="0" borderId="16" xfId="0" applyFont="1" applyBorder="1" applyAlignment="1">
      <alignment horizontal="center" vertical="center" textRotation="90" wrapText="1"/>
    </xf>
    <xf numFmtId="0" fontId="7" fillId="3" borderId="48" xfId="0" applyFont="1" applyFill="1" applyBorder="1" applyAlignment="1">
      <alignment horizontal="center" vertical="center"/>
    </xf>
    <xf numFmtId="0" fontId="2" fillId="0" borderId="4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2" fillId="8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9" fillId="8" borderId="1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165" fontId="4" fillId="0" borderId="3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3" fillId="0" borderId="32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12" fillId="7" borderId="40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43" xfId="0" applyFont="1" applyBorder="1"/>
    <xf numFmtId="0" fontId="12" fillId="7" borderId="44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57" xfId="0" applyNumberFormat="1" applyBorder="1"/>
    <xf numFmtId="0" fontId="0" fillId="0" borderId="60" xfId="0" applyNumberFormat="1" applyBorder="1"/>
    <xf numFmtId="0" fontId="0" fillId="0" borderId="61" xfId="0" applyNumberFormat="1" applyBorder="1"/>
    <xf numFmtId="0" fontId="0" fillId="0" borderId="62" xfId="0" applyNumberFormat="1" applyBorder="1"/>
    <xf numFmtId="0" fontId="0" fillId="0" borderId="15" xfId="0" applyNumberFormat="1" applyBorder="1"/>
    <xf numFmtId="0" fontId="0" fillId="0" borderId="63" xfId="0" applyNumberFormat="1" applyBorder="1"/>
    <xf numFmtId="0" fontId="0" fillId="0" borderId="64" xfId="0" applyNumberFormat="1" applyBorder="1"/>
    <xf numFmtId="0" fontId="0" fillId="0" borderId="65" xfId="0" applyNumberFormat="1" applyBorder="1"/>
    <xf numFmtId="0" fontId="0" fillId="0" borderId="66" xfId="0" applyNumberFormat="1" applyBorder="1"/>
  </cellXfs>
  <cellStyles count="1">
    <cellStyle name="Normal" xfId="0" builtinId="0"/>
  </cellStyles>
  <dxfs count="72"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81050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</xdr:row>
      <xdr:rowOff>19050</xdr:rowOff>
    </xdr:from>
    <xdr:ext cx="1000125" cy="2476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5" y="161925"/>
          <a:ext cx="10001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56</xdr:row>
      <xdr:rowOff>161925</xdr:rowOff>
    </xdr:from>
    <xdr:ext cx="790575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95950" y="13563600"/>
          <a:ext cx="7905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371476</xdr:colOff>
      <xdr:row>57</xdr:row>
      <xdr:rowOff>19050</xdr:rowOff>
    </xdr:from>
    <xdr:ext cx="933450" cy="3333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6" y="13601700"/>
          <a:ext cx="933450" cy="33337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icardo Gatica" refreshedDate="46161.593511921295" refreshedVersion="8" recordCount="39" xr:uid="{00000000-000A-0000-FFFF-FFFF00000000}">
  <cacheSource type="worksheet">
    <worksheetSource ref="C11:O50" sheet="Total Consumo Mensual"/>
  </cacheSource>
  <cacheFields count="13">
    <cacheField name="Origen" numFmtId="0">
      <sharedItems containsBlank="1" count="12">
        <s v="Caridad"/>
        <s v="Pilar"/>
        <s v="Ocetra"/>
        <s v="Candelaria"/>
        <s v="Dolores"/>
        <m/>
        <s v="Rosario"/>
        <s v="Del carmen"/>
        <s v="Victoria"/>
        <s v="Rosa"/>
        <s v="Lourdes"/>
        <s v="Loreto"/>
      </sharedItems>
    </cacheField>
    <cacheField name="Infa 0.2/0.4" numFmtId="0">
      <sharedItems containsNonDate="0" containsString="0" containsBlank="1"/>
    </cacheField>
    <cacheField name="Thalassa 0.5 -1.0" numFmtId="0">
      <sharedItems containsString="0" containsBlank="1" containsNumber="1" containsInteger="1" minValue="0" maxValue="0"/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300"/>
    </cacheField>
    <cacheField name="4.5 mm Progress" numFmtId="0">
      <sharedItems containsSemiMixedTypes="0" containsString="0" containsNumber="1" containsInteger="1" minValue="0" maxValue="125"/>
    </cacheField>
    <cacheField name="6 mm Progress" numFmtId="0">
      <sharedItems containsSemiMixedTypes="0" containsString="0" containsNumber="1" containsInteger="1" minValue="0" maxValue="425"/>
    </cacheField>
    <cacheField name="8 mm Progress" numFmtId="0">
      <sharedItems containsSemiMixedTypes="0" containsString="0" containsNumber="1" containsInteger="1" minValue="0" maxValue="225"/>
    </cacheField>
    <cacheField name="8 mm Reproductor" numFmtId="0">
      <sharedItems containsSemiMixedTypes="0" containsString="0" containsNumber="1" containsInteger="1" minValue="0" maxValue="400"/>
    </cacheField>
    <cacheField name="Ewos Micro PSZ LE 100 4.0 mm" numFmtId="0">
      <sharedItems containsSemiMixedTypes="0" containsString="0" containsNumber="1" containsInteger="1" minValue="0" maxValue="0"/>
    </cacheField>
    <cacheField name="Ewos Micro PSZ LE 250 6.0 mm" numFmtId="0">
      <sharedItems containsSemiMixedTypes="0" containsString="0" containsNumber="1" containsInteger="1" minValue="0" maxValue="0"/>
    </cacheField>
    <cacheField name="Ewos Breed 800 70A 9.5 m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m/>
    <m/>
    <n v="0"/>
    <n v="0"/>
    <n v="300"/>
    <n v="0"/>
    <n v="0"/>
    <n v="0"/>
    <n v="0"/>
    <n v="0"/>
    <n v="0"/>
    <n v="0"/>
  </r>
  <r>
    <x v="1"/>
    <m/>
    <m/>
    <n v="0"/>
    <n v="0"/>
    <n v="0"/>
    <n v="0"/>
    <n v="300"/>
    <n v="0"/>
    <n v="225"/>
    <n v="0"/>
    <n v="0"/>
    <n v="0"/>
  </r>
  <r>
    <x v="2"/>
    <m/>
    <m/>
    <n v="0"/>
    <n v="0"/>
    <n v="0"/>
    <n v="0"/>
    <n v="150"/>
    <n v="100"/>
    <n v="125"/>
    <n v="0"/>
    <n v="0"/>
    <n v="0"/>
  </r>
  <r>
    <x v="3"/>
    <m/>
    <m/>
    <n v="0"/>
    <n v="0"/>
    <n v="300"/>
    <n v="0"/>
    <n v="75"/>
    <n v="0"/>
    <n v="0"/>
    <n v="0"/>
    <n v="0"/>
    <n v="0"/>
  </r>
  <r>
    <x v="4"/>
    <m/>
    <m/>
    <n v="0"/>
    <n v="0"/>
    <n v="0"/>
    <n v="0"/>
    <n v="0"/>
    <n v="100"/>
    <n v="125"/>
    <n v="0"/>
    <n v="0"/>
    <n v="0"/>
  </r>
  <r>
    <x v="0"/>
    <m/>
    <m/>
    <n v="0"/>
    <n v="0"/>
    <n v="30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6"/>
    <m/>
    <m/>
    <n v="0"/>
    <n v="0"/>
    <n v="0"/>
    <n v="0"/>
    <n v="325"/>
    <n v="100"/>
    <n v="0"/>
    <n v="0"/>
    <n v="0"/>
    <n v="0"/>
  </r>
  <r>
    <x v="1"/>
    <m/>
    <m/>
    <n v="0"/>
    <n v="0"/>
    <n v="0"/>
    <n v="0"/>
    <n v="300"/>
    <n v="0"/>
    <n v="0"/>
    <n v="0"/>
    <n v="0"/>
    <n v="0"/>
  </r>
  <r>
    <x v="1"/>
    <m/>
    <m/>
    <n v="0"/>
    <n v="0"/>
    <n v="0"/>
    <n v="0"/>
    <n v="300"/>
    <n v="0"/>
    <n v="0"/>
    <n v="0"/>
    <n v="0"/>
    <n v="0"/>
  </r>
  <r>
    <x v="7"/>
    <m/>
    <m/>
    <n v="0"/>
    <n v="0"/>
    <n v="0"/>
    <n v="0"/>
    <n v="300"/>
    <n v="0"/>
    <n v="0"/>
    <n v="0"/>
    <n v="0"/>
    <n v="0"/>
  </r>
  <r>
    <x v="8"/>
    <m/>
    <m/>
    <n v="0"/>
    <n v="0"/>
    <n v="300"/>
    <n v="0"/>
    <n v="75"/>
    <n v="0"/>
    <n v="0"/>
    <n v="0"/>
    <n v="0"/>
    <n v="0"/>
  </r>
  <r>
    <x v="6"/>
    <m/>
    <m/>
    <n v="0"/>
    <n v="0"/>
    <n v="0"/>
    <n v="0"/>
    <n v="350"/>
    <n v="100"/>
    <n v="0"/>
    <n v="0"/>
    <n v="0"/>
    <n v="0"/>
  </r>
  <r>
    <x v="2"/>
    <m/>
    <m/>
    <n v="0"/>
    <n v="0"/>
    <n v="0"/>
    <n v="0"/>
    <n v="0"/>
    <n v="175"/>
    <n v="250"/>
    <n v="0"/>
    <n v="0"/>
    <n v="0"/>
  </r>
  <r>
    <x v="2"/>
    <m/>
    <m/>
    <n v="0"/>
    <n v="0"/>
    <n v="0"/>
    <n v="0"/>
    <n v="0"/>
    <n v="150"/>
    <n v="400"/>
    <n v="0"/>
    <n v="0"/>
    <n v="0"/>
  </r>
  <r>
    <x v="2"/>
    <m/>
    <m/>
    <n v="0"/>
    <n v="0"/>
    <n v="0"/>
    <n v="0"/>
    <n v="425"/>
    <n v="125"/>
    <n v="200"/>
    <n v="0"/>
    <n v="0"/>
    <n v="0"/>
  </r>
  <r>
    <x v="9"/>
    <m/>
    <m/>
    <n v="0"/>
    <n v="0"/>
    <n v="0"/>
    <n v="125"/>
    <n v="425"/>
    <n v="0"/>
    <n v="0"/>
    <n v="0"/>
    <n v="0"/>
    <n v="0"/>
  </r>
  <r>
    <x v="2"/>
    <m/>
    <m/>
    <n v="0"/>
    <n v="0"/>
    <n v="0"/>
    <n v="0"/>
    <n v="0"/>
    <n v="100"/>
    <n v="225"/>
    <n v="0"/>
    <n v="0"/>
    <n v="0"/>
  </r>
  <r>
    <x v="2"/>
    <m/>
    <m/>
    <n v="0"/>
    <n v="0"/>
    <n v="0"/>
    <n v="0"/>
    <n v="0"/>
    <n v="0"/>
    <n v="225"/>
    <n v="0"/>
    <n v="0"/>
    <n v="0"/>
  </r>
  <r>
    <x v="2"/>
    <m/>
    <m/>
    <n v="0"/>
    <n v="0"/>
    <n v="0"/>
    <n v="0"/>
    <n v="0"/>
    <n v="100"/>
    <n v="225"/>
    <n v="0"/>
    <n v="0"/>
    <n v="0"/>
  </r>
  <r>
    <x v="2"/>
    <m/>
    <m/>
    <n v="0"/>
    <n v="0"/>
    <n v="0"/>
    <n v="0"/>
    <n v="0"/>
    <n v="225"/>
    <n v="200"/>
    <n v="0"/>
    <n v="0"/>
    <n v="0"/>
  </r>
  <r>
    <x v="2"/>
    <m/>
    <m/>
    <n v="0"/>
    <n v="0"/>
    <n v="0"/>
    <n v="0"/>
    <n v="300"/>
    <n v="0"/>
    <n v="100"/>
    <n v="0"/>
    <n v="0"/>
    <n v="0"/>
  </r>
  <r>
    <x v="2"/>
    <m/>
    <m/>
    <n v="0"/>
    <n v="0"/>
    <n v="0"/>
    <n v="0"/>
    <n v="300"/>
    <n v="0"/>
    <n v="100"/>
    <n v="0"/>
    <n v="0"/>
    <n v="0"/>
  </r>
  <r>
    <x v="2"/>
    <m/>
    <m/>
    <n v="0"/>
    <n v="0"/>
    <n v="0"/>
    <n v="0"/>
    <n v="0"/>
    <n v="0"/>
    <n v="200"/>
    <n v="0"/>
    <n v="0"/>
    <n v="0"/>
  </r>
  <r>
    <x v="2"/>
    <m/>
    <m/>
    <n v="0"/>
    <n v="0"/>
    <n v="0"/>
    <n v="0"/>
    <n v="0"/>
    <n v="125"/>
    <n v="0"/>
    <n v="0"/>
    <n v="0"/>
    <n v="0"/>
  </r>
  <r>
    <x v="2"/>
    <m/>
    <m/>
    <n v="0"/>
    <n v="0"/>
    <n v="0"/>
    <n v="0"/>
    <n v="0"/>
    <n v="0"/>
    <n v="100"/>
    <n v="0"/>
    <n v="0"/>
    <n v="0"/>
  </r>
  <r>
    <x v="2"/>
    <m/>
    <m/>
    <n v="0"/>
    <n v="0"/>
    <n v="0"/>
    <n v="0"/>
    <n v="0"/>
    <n v="0"/>
    <n v="225"/>
    <n v="0"/>
    <n v="0"/>
    <n v="0"/>
  </r>
  <r>
    <x v="2"/>
    <m/>
    <m/>
    <n v="0"/>
    <n v="0"/>
    <n v="0"/>
    <n v="0"/>
    <n v="0"/>
    <n v="0"/>
    <n v="325"/>
    <n v="0"/>
    <n v="0"/>
    <n v="0"/>
  </r>
  <r>
    <x v="2"/>
    <m/>
    <m/>
    <n v="0"/>
    <n v="0"/>
    <n v="0"/>
    <n v="0"/>
    <n v="0"/>
    <n v="0"/>
    <n v="125"/>
    <n v="0"/>
    <n v="0"/>
    <n v="0"/>
  </r>
  <r>
    <x v="7"/>
    <m/>
    <m/>
    <n v="0"/>
    <n v="0"/>
    <n v="0"/>
    <n v="0"/>
    <n v="0"/>
    <n v="150"/>
    <n v="200"/>
    <n v="0"/>
    <n v="0"/>
    <n v="0"/>
  </r>
  <r>
    <x v="10"/>
    <m/>
    <m/>
    <n v="0"/>
    <n v="0"/>
    <n v="300"/>
    <n v="0"/>
    <n v="300"/>
    <n v="0"/>
    <n v="0"/>
    <n v="0"/>
    <n v="0"/>
    <n v="0"/>
  </r>
  <r>
    <x v="10"/>
    <m/>
    <m/>
    <n v="0"/>
    <n v="0"/>
    <n v="0"/>
    <n v="0"/>
    <n v="300"/>
    <n v="0"/>
    <n v="0"/>
    <n v="0"/>
    <n v="0"/>
    <n v="0"/>
  </r>
  <r>
    <x v="11"/>
    <m/>
    <n v="0"/>
    <n v="0"/>
    <n v="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Hoja21" cacheId="14" applyNumberFormats="0" applyBorderFormats="0" applyFontFormats="0" applyPatternFormats="0" applyAlignmentFormats="0" applyWidthHeightFormats="0" dataCaption="" updatedVersion="8" compact="0" compactData="0">
  <location ref="A3:M16" firstHeaderRow="1" firstDataRow="2" firstDataCol="1"/>
  <pivotFields count="13">
    <pivotField name="Origen" axis="axisRow" compact="0" outline="0" multipleItemSelectionAllowed="1" showAll="0" sortType="ascending">
      <items count="13">
        <item x="3"/>
        <item x="0"/>
        <item x="7"/>
        <item x="4"/>
        <item x="11"/>
        <item x="10"/>
        <item x="2"/>
        <item x="1"/>
        <item x="9"/>
        <item x="6"/>
        <item x="8"/>
        <item h="1" x="5"/>
        <item t="default"/>
      </items>
    </pivotField>
    <pivotField name="Infa 0.2/0.4" dataField="1" compact="0" outline="0" multipleItemSelectionAllowed="1" showAll="0"/>
    <pivotField name="Thalassa 0.5 -1.0" dataField="1" compact="0" outline="0" multipleItemSelectionAllowed="1" showAll="0"/>
    <pivotField name="Thalassa 0.9 -1.6" dataField="1" compact="0" outline="0" multipleItemSelectionAllowed="1" showAll="0"/>
    <pivotField name="Thalassa 1.3 - 2.0" dataField="1" compact="0" outline="0" multipleItemSelectionAllowed="1" showAll="0"/>
    <pivotField name="3 mm progress ex" dataField="1" compact="0" outline="0" multipleItemSelectionAllowed="1" showAll="0"/>
    <pivotField name="4.5 mm Progress" dataField="1" compact="0" outline="0" multipleItemSelectionAllowed="1" showAll="0"/>
    <pivotField name="6 mm Progress" dataField="1" compact="0" outline="0" multipleItemSelectionAllowed="1" showAll="0"/>
    <pivotField name="8 mm Progress" dataField="1" compact="0" outline="0" multipleItemSelectionAllowed="1" showAll="0"/>
    <pivotField name="8 mm Reproductor" dataField="1" compact="0" outline="0" multipleItemSelectionAllowed="1" showAll="0"/>
    <pivotField name="Ewos Micro PSZ LE 100 4.0 mm" dataField="1" compact="0" outline="0" multipleItemSelectionAllowed="1" showAll="0"/>
    <pivotField name="Ewos Micro PSZ LE 250 6.0 mm" dataField="1" compact="0" outline="0" multipleItemSelectionAllowed="1" showAll="0"/>
    <pivotField name="Ewos Breed 800 70A 9.5 mm" dataField="1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Infa 0.2/0.4" fld="1" baseField="0"/>
    <dataField name="Suma de Thalassa 0.5 -1.0" fld="2" baseField="0"/>
    <dataField name="Suma de Thalassa 0.9 -1.6" fld="3" baseField="0"/>
    <dataField name="Suma de Thalassa 1.3 - 2.0" fld="4" baseField="0"/>
    <dataField name="Suma de 3 mm progress ex" fld="5" baseField="0"/>
    <dataField name="Suma de 4.5 mm Progress" fld="6" baseField="0"/>
    <dataField name="Suma de 6 mm Progress" fld="7" baseField="0"/>
    <dataField name="Suma de 8 mm Progress" fld="8" baseField="0"/>
    <dataField name="Suma de 8 mm Reproductor" fld="9" baseField="0"/>
    <dataField name="Suma de Ewos Micro PSZ LE 100 4.0 mm" fld="10" baseField="0"/>
    <dataField name="Suma de Ewos Micro PSZ LE 250 6.0 mm" fld="11" baseField="0"/>
    <dataField name="Suma de Ewos Breed 800 70A 9.5 mm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view="pageBreakPreview" zoomScale="60" zoomScaleNormal="100" workbookViewId="0">
      <selection activeCell="W11" sqref="W11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6" width="3.85546875" customWidth="1"/>
    <col min="7" max="7" width="6" customWidth="1"/>
    <col min="8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6" t="s">
        <v>0</v>
      </c>
      <c r="C1" s="127"/>
      <c r="D1" s="126" t="s">
        <v>1</v>
      </c>
      <c r="E1" s="128"/>
      <c r="F1" s="127"/>
      <c r="G1" s="135" t="s">
        <v>2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29"/>
      <c r="T1" s="130"/>
      <c r="U1" s="130"/>
      <c r="V1" s="130"/>
      <c r="W1" s="130"/>
      <c r="X1" s="130"/>
      <c r="Y1" s="130"/>
      <c r="Z1" s="131"/>
      <c r="AA1" s="1"/>
    </row>
    <row r="2" spans="1:27" ht="11.25" customHeight="1" x14ac:dyDescent="0.25">
      <c r="B2" s="126" t="s">
        <v>3</v>
      </c>
      <c r="C2" s="127"/>
      <c r="D2" s="126">
        <v>2</v>
      </c>
      <c r="E2" s="128"/>
      <c r="F2" s="127"/>
      <c r="G2" s="132"/>
      <c r="H2" s="95"/>
      <c r="I2" s="95"/>
      <c r="J2" s="95"/>
      <c r="K2" s="95"/>
      <c r="L2" s="95"/>
      <c r="M2" s="95"/>
      <c r="N2" s="95"/>
      <c r="O2" s="95"/>
      <c r="P2" s="95"/>
      <c r="Q2" s="95"/>
      <c r="R2" s="133"/>
      <c r="S2" s="132"/>
      <c r="T2" s="95"/>
      <c r="U2" s="95"/>
      <c r="V2" s="95"/>
      <c r="W2" s="95"/>
      <c r="X2" s="95"/>
      <c r="Y2" s="95"/>
      <c r="Z2" s="133"/>
      <c r="AA2" s="1"/>
    </row>
    <row r="3" spans="1:27" ht="11.25" customHeight="1" x14ac:dyDescent="0.25">
      <c r="B3" s="126" t="s">
        <v>4</v>
      </c>
      <c r="C3" s="127"/>
      <c r="D3" s="134">
        <v>44701</v>
      </c>
      <c r="E3" s="128"/>
      <c r="F3" s="127"/>
      <c r="G3" s="132"/>
      <c r="H3" s="95"/>
      <c r="I3" s="95"/>
      <c r="J3" s="95"/>
      <c r="K3" s="95"/>
      <c r="L3" s="95"/>
      <c r="M3" s="95"/>
      <c r="N3" s="95"/>
      <c r="O3" s="95"/>
      <c r="P3" s="95"/>
      <c r="Q3" s="95"/>
      <c r="R3" s="133"/>
      <c r="S3" s="132"/>
      <c r="T3" s="95"/>
      <c r="U3" s="95"/>
      <c r="V3" s="95"/>
      <c r="W3" s="95"/>
      <c r="X3" s="95"/>
      <c r="Y3" s="95"/>
      <c r="Z3" s="133"/>
      <c r="AA3" s="1"/>
    </row>
    <row r="4" spans="1:27" ht="11.25" customHeight="1" x14ac:dyDescent="0.25">
      <c r="B4" s="126" t="s">
        <v>5</v>
      </c>
      <c r="C4" s="127"/>
      <c r="D4" s="126" t="s">
        <v>6</v>
      </c>
      <c r="E4" s="128"/>
      <c r="F4" s="127"/>
      <c r="G4" s="136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8"/>
      <c r="S4" s="132"/>
      <c r="T4" s="95"/>
      <c r="U4" s="95"/>
      <c r="V4" s="95"/>
      <c r="W4" s="95"/>
      <c r="X4" s="95"/>
      <c r="Y4" s="95"/>
      <c r="Z4" s="133"/>
      <c r="AA4" s="1"/>
    </row>
    <row r="5" spans="1:27" ht="11.25" customHeight="1" x14ac:dyDescent="0.25">
      <c r="B5" s="142" t="s">
        <v>7</v>
      </c>
      <c r="C5" s="127"/>
      <c r="D5" s="126" t="s">
        <v>8</v>
      </c>
      <c r="E5" s="128"/>
      <c r="F5" s="127"/>
      <c r="G5" s="139" t="s">
        <v>9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2"/>
      <c r="T5" s="95"/>
      <c r="U5" s="95"/>
      <c r="V5" s="95"/>
      <c r="W5" s="95"/>
      <c r="X5" s="95"/>
      <c r="Y5" s="95"/>
      <c r="Z5" s="133"/>
    </row>
    <row r="6" spans="1:27" ht="11.25" customHeight="1" x14ac:dyDescent="0.25">
      <c r="B6" s="126" t="s">
        <v>10</v>
      </c>
      <c r="C6" s="127"/>
      <c r="D6" s="126" t="s">
        <v>6</v>
      </c>
      <c r="E6" s="128"/>
      <c r="F6" s="127"/>
      <c r="G6" s="136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8"/>
      <c r="S6" s="2" t="s">
        <v>11</v>
      </c>
      <c r="T6" s="140" t="s">
        <v>125</v>
      </c>
      <c r="U6" s="95"/>
      <c r="V6" s="3" t="s">
        <v>12</v>
      </c>
      <c r="W6" s="143"/>
      <c r="X6" s="95"/>
      <c r="Y6" s="95"/>
      <c r="Z6" s="133"/>
    </row>
    <row r="7" spans="1:27" ht="11.25" customHeight="1" x14ac:dyDescent="0.25">
      <c r="B7" s="126" t="s">
        <v>13</v>
      </c>
      <c r="C7" s="127"/>
      <c r="D7" s="126" t="s">
        <v>14</v>
      </c>
      <c r="E7" s="128"/>
      <c r="F7" s="127"/>
      <c r="G7" s="144" t="s">
        <v>15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7"/>
      <c r="S7" s="4"/>
      <c r="T7" s="137"/>
      <c r="U7" s="137"/>
      <c r="V7" s="5"/>
      <c r="W7" s="137"/>
      <c r="X7" s="137"/>
      <c r="Y7" s="137"/>
      <c r="Z7" s="138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1" t="s">
        <v>126</v>
      </c>
      <c r="D9" s="114"/>
      <c r="E9" s="114"/>
      <c r="F9" s="114"/>
      <c r="G9" s="114"/>
      <c r="H9" s="114"/>
      <c r="I9" s="114"/>
      <c r="J9" s="114"/>
      <c r="K9" s="114"/>
      <c r="L9" s="114"/>
      <c r="M9" s="92"/>
      <c r="N9" s="7"/>
      <c r="O9" s="9" t="s">
        <v>16</v>
      </c>
      <c r="P9" s="141" t="s">
        <v>127</v>
      </c>
      <c r="Q9" s="114"/>
      <c r="R9" s="114"/>
      <c r="S9" s="114"/>
      <c r="T9" s="114"/>
      <c r="U9" s="114"/>
      <c r="V9" s="114"/>
      <c r="W9" s="114"/>
      <c r="X9" s="114"/>
      <c r="Y9" s="114"/>
      <c r="Z9" s="92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87"/>
      <c r="K10" s="87"/>
      <c r="L10" s="87"/>
      <c r="M10" s="13" t="s">
        <v>27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87"/>
      <c r="X10" s="87"/>
      <c r="Y10" s="87"/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2</v>
      </c>
      <c r="F11" s="18"/>
      <c r="G11" s="18"/>
      <c r="H11" s="18"/>
      <c r="I11" s="18"/>
      <c r="J11" s="18"/>
      <c r="K11" s="18"/>
      <c r="L11" s="18"/>
      <c r="M11" s="20">
        <f t="shared" ref="M11:M49" si="1">SUM(C11:L11)</f>
        <v>2</v>
      </c>
      <c r="O11" s="17" t="s">
        <v>29</v>
      </c>
      <c r="P11" s="18"/>
      <c r="Q11" s="18"/>
      <c r="R11" s="18">
        <v>2</v>
      </c>
      <c r="S11" s="18"/>
      <c r="T11" s="18"/>
      <c r="U11" s="18"/>
      <c r="V11" s="18"/>
      <c r="W11" s="18"/>
      <c r="X11" s="18"/>
      <c r="Y11" s="18"/>
      <c r="Z11" s="20">
        <f t="shared" ref="Z11:Z49" si="2">SUM(P11:Y11)</f>
        <v>2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/>
      <c r="G12" s="18">
        <v>2</v>
      </c>
      <c r="H12" s="18"/>
      <c r="I12" s="18"/>
      <c r="J12" s="18"/>
      <c r="K12" s="18"/>
      <c r="L12" s="18"/>
      <c r="M12" s="20">
        <f t="shared" si="1"/>
        <v>2</v>
      </c>
      <c r="O12" s="17" t="s">
        <v>31</v>
      </c>
      <c r="P12" s="18"/>
      <c r="Q12" s="18"/>
      <c r="R12" s="18"/>
      <c r="S12" s="18"/>
      <c r="T12" s="18">
        <v>2</v>
      </c>
      <c r="U12" s="18"/>
      <c r="V12" s="18">
        <v>3</v>
      </c>
      <c r="W12" s="18"/>
      <c r="X12" s="18"/>
      <c r="Y12" s="18"/>
      <c r="Z12" s="20">
        <f t="shared" si="2"/>
        <v>5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>
        <v>1</v>
      </c>
      <c r="H13" s="18"/>
      <c r="I13" s="18"/>
      <c r="J13" s="18"/>
      <c r="K13" s="18"/>
      <c r="L13" s="18"/>
      <c r="M13" s="20">
        <f t="shared" si="1"/>
        <v>1</v>
      </c>
      <c r="O13" s="17" t="s">
        <v>33</v>
      </c>
      <c r="P13" s="18"/>
      <c r="Q13" s="18"/>
      <c r="R13" s="18"/>
      <c r="S13" s="18"/>
      <c r="T13" s="18">
        <v>1</v>
      </c>
      <c r="U13" s="18"/>
      <c r="V13" s="18">
        <v>1</v>
      </c>
      <c r="W13" s="18"/>
      <c r="X13" s="18"/>
      <c r="Y13" s="18"/>
      <c r="Z13" s="20">
        <f t="shared" si="2"/>
        <v>2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>
        <v>2</v>
      </c>
      <c r="F14" s="18"/>
      <c r="G14" s="18">
        <v>1</v>
      </c>
      <c r="H14" s="18"/>
      <c r="I14" s="18"/>
      <c r="J14" s="18"/>
      <c r="K14" s="18"/>
      <c r="L14" s="18"/>
      <c r="M14" s="20">
        <f t="shared" si="1"/>
        <v>3</v>
      </c>
      <c r="O14" s="17" t="s">
        <v>35</v>
      </c>
      <c r="P14" s="18"/>
      <c r="Q14" s="18"/>
      <c r="R14" s="18">
        <v>2</v>
      </c>
      <c r="S14" s="18"/>
      <c r="T14" s="18">
        <v>2</v>
      </c>
      <c r="U14" s="18"/>
      <c r="V14" s="18"/>
      <c r="W14" s="18"/>
      <c r="X14" s="18"/>
      <c r="Y14" s="18"/>
      <c r="Z14" s="20">
        <f t="shared" si="2"/>
        <v>4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20">
        <f t="shared" si="1"/>
        <v>0</v>
      </c>
      <c r="O15" s="17" t="s">
        <v>37</v>
      </c>
      <c r="P15" s="18"/>
      <c r="Q15" s="18"/>
      <c r="R15" s="18"/>
      <c r="S15" s="18"/>
      <c r="T15" s="18"/>
      <c r="U15" s="18"/>
      <c r="V15" s="18">
        <v>1</v>
      </c>
      <c r="W15" s="18"/>
      <c r="X15" s="18"/>
      <c r="Y15" s="18"/>
      <c r="Z15" s="20">
        <f t="shared" si="2"/>
        <v>1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8"/>
      <c r="K16" s="18"/>
      <c r="L16" s="18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8"/>
      <c r="X16" s="18"/>
      <c r="Y16" s="18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>
        <v>3</v>
      </c>
      <c r="H23" s="18"/>
      <c r="I23" s="18"/>
      <c r="J23" s="18"/>
      <c r="K23" s="18"/>
      <c r="L23" s="18"/>
      <c r="M23" s="20">
        <f t="shared" si="1"/>
        <v>3</v>
      </c>
      <c r="O23" s="17" t="s">
        <v>46</v>
      </c>
      <c r="P23" s="18"/>
      <c r="Q23" s="18"/>
      <c r="R23" s="18"/>
      <c r="S23" s="18"/>
      <c r="T23" s="18">
        <v>2</v>
      </c>
      <c r="U23" s="18"/>
      <c r="V23" s="18"/>
      <c r="W23" s="18"/>
      <c r="X23" s="18"/>
      <c r="Y23" s="18"/>
      <c r="Z23" s="20">
        <f t="shared" si="2"/>
        <v>2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>
        <v>2</v>
      </c>
      <c r="H24" s="18"/>
      <c r="I24" s="18"/>
      <c r="J24" s="18"/>
      <c r="K24" s="18"/>
      <c r="L24" s="18"/>
      <c r="M24" s="20">
        <f t="shared" si="1"/>
        <v>2</v>
      </c>
      <c r="O24" s="17" t="s">
        <v>47</v>
      </c>
      <c r="P24" s="18"/>
      <c r="Q24" s="18"/>
      <c r="R24" s="18"/>
      <c r="S24" s="18"/>
      <c r="T24" s="18">
        <v>2</v>
      </c>
      <c r="U24" s="18"/>
      <c r="V24" s="18"/>
      <c r="W24" s="18"/>
      <c r="X24" s="18"/>
      <c r="Y24" s="18"/>
      <c r="Z24" s="20">
        <f t="shared" si="2"/>
        <v>2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>
        <v>2</v>
      </c>
      <c r="H25" s="18"/>
      <c r="I25" s="18"/>
      <c r="J25" s="18"/>
      <c r="K25" s="18"/>
      <c r="L25" s="18"/>
      <c r="M25" s="20">
        <f t="shared" si="1"/>
        <v>2</v>
      </c>
      <c r="O25" s="17" t="s">
        <v>48</v>
      </c>
      <c r="P25" s="18"/>
      <c r="Q25" s="18"/>
      <c r="R25" s="18"/>
      <c r="S25" s="18"/>
      <c r="T25" s="18">
        <v>2</v>
      </c>
      <c r="U25" s="18"/>
      <c r="V25" s="18"/>
      <c r="W25" s="18"/>
      <c r="X25" s="18"/>
      <c r="Y25" s="18"/>
      <c r="Z25" s="20">
        <f t="shared" si="2"/>
        <v>2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>
        <v>2</v>
      </c>
      <c r="H26" s="18"/>
      <c r="I26" s="18"/>
      <c r="J26" s="18"/>
      <c r="K26" s="18"/>
      <c r="L26" s="18"/>
      <c r="M26" s="20">
        <f t="shared" si="1"/>
        <v>2</v>
      </c>
      <c r="O26" s="17" t="s">
        <v>50</v>
      </c>
      <c r="P26" s="18"/>
      <c r="Q26" s="18"/>
      <c r="R26" s="18"/>
      <c r="S26" s="18"/>
      <c r="T26" s="18">
        <v>2</v>
      </c>
      <c r="U26" s="18"/>
      <c r="V26" s="18"/>
      <c r="W26" s="18"/>
      <c r="X26" s="18"/>
      <c r="Y26" s="18"/>
      <c r="Z26" s="20">
        <f t="shared" si="2"/>
        <v>2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>
        <v>2</v>
      </c>
      <c r="F27" s="18"/>
      <c r="G27" s="18">
        <v>1</v>
      </c>
      <c r="H27" s="18"/>
      <c r="I27" s="18"/>
      <c r="J27" s="18"/>
      <c r="K27" s="18"/>
      <c r="L27" s="18"/>
      <c r="M27" s="20">
        <f t="shared" si="1"/>
        <v>3</v>
      </c>
      <c r="O27" s="17" t="s">
        <v>52</v>
      </c>
      <c r="P27" s="18"/>
      <c r="Q27" s="18"/>
      <c r="R27" s="18">
        <v>2</v>
      </c>
      <c r="S27" s="18"/>
      <c r="T27" s="18">
        <v>2</v>
      </c>
      <c r="U27" s="18"/>
      <c r="V27" s="18"/>
      <c r="W27" s="18"/>
      <c r="X27" s="18"/>
      <c r="Y27" s="18"/>
      <c r="Z27" s="20">
        <f t="shared" si="2"/>
        <v>4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>
        <v>3</v>
      </c>
      <c r="H28" s="18"/>
      <c r="I28" s="18"/>
      <c r="J28" s="18"/>
      <c r="K28" s="18"/>
      <c r="L28" s="18"/>
      <c r="M28" s="20">
        <f t="shared" si="1"/>
        <v>3</v>
      </c>
      <c r="O28" s="17" t="s">
        <v>53</v>
      </c>
      <c r="P28" s="18"/>
      <c r="Q28" s="18"/>
      <c r="R28" s="18"/>
      <c r="S28" s="18"/>
      <c r="T28" s="18">
        <v>3</v>
      </c>
      <c r="U28" s="18"/>
      <c r="V28" s="18"/>
      <c r="W28" s="18"/>
      <c r="X28" s="18"/>
      <c r="Y28" s="18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1</v>
      </c>
      <c r="I29" s="18"/>
      <c r="J29" s="18"/>
      <c r="K29" s="18"/>
      <c r="L29" s="18"/>
      <c r="M29" s="20">
        <f t="shared" si="1"/>
        <v>1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/>
      <c r="W29" s="18"/>
      <c r="X29" s="18"/>
      <c r="Y29" s="18"/>
      <c r="Z29" s="20">
        <f t="shared" si="2"/>
        <v>1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/>
      <c r="I30" s="18"/>
      <c r="J30" s="18"/>
      <c r="K30" s="18"/>
      <c r="L30" s="18"/>
      <c r="M30" s="20">
        <f t="shared" si="1"/>
        <v>0</v>
      </c>
      <c r="O30" s="17" t="s">
        <v>55</v>
      </c>
      <c r="P30" s="18"/>
      <c r="Q30" s="18"/>
      <c r="R30" s="18"/>
      <c r="S30" s="18"/>
      <c r="T30" s="18"/>
      <c r="U30" s="19"/>
      <c r="V30" s="18"/>
      <c r="W30" s="18"/>
      <c r="X30" s="18"/>
      <c r="Y30" s="18"/>
      <c r="Z30" s="20">
        <f t="shared" si="2"/>
        <v>0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>
        <v>2</v>
      </c>
      <c r="H31" s="19"/>
      <c r="I31" s="18"/>
      <c r="J31" s="18"/>
      <c r="K31" s="18"/>
      <c r="L31" s="18"/>
      <c r="M31" s="20">
        <f t="shared" si="1"/>
        <v>2</v>
      </c>
      <c r="O31" s="17" t="s">
        <v>56</v>
      </c>
      <c r="P31" s="18"/>
      <c r="Q31" s="18"/>
      <c r="R31" s="18"/>
      <c r="S31" s="18"/>
      <c r="T31" s="18">
        <v>3</v>
      </c>
      <c r="U31" s="19"/>
      <c r="V31" s="18"/>
      <c r="W31" s="18"/>
      <c r="X31" s="18"/>
      <c r="Y31" s="18"/>
      <c r="Z31" s="20">
        <f t="shared" si="2"/>
        <v>3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>
        <v>1</v>
      </c>
      <c r="G32" s="18">
        <v>2</v>
      </c>
      <c r="H32" s="19">
        <v>0</v>
      </c>
      <c r="I32" s="18"/>
      <c r="J32" s="18"/>
      <c r="K32" s="18"/>
      <c r="L32" s="18"/>
      <c r="M32" s="20">
        <f t="shared" si="1"/>
        <v>3</v>
      </c>
      <c r="O32" s="17" t="s">
        <v>58</v>
      </c>
      <c r="P32" s="18"/>
      <c r="Q32" s="18"/>
      <c r="R32" s="18"/>
      <c r="S32" s="18">
        <v>1</v>
      </c>
      <c r="T32" s="18">
        <v>3</v>
      </c>
      <c r="U32" s="19">
        <v>0</v>
      </c>
      <c r="V32" s="18"/>
      <c r="W32" s="18"/>
      <c r="X32" s="18"/>
      <c r="Y32" s="18"/>
      <c r="Z32" s="20">
        <f t="shared" si="2"/>
        <v>4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/>
      <c r="I33" s="18"/>
      <c r="J33" s="18"/>
      <c r="K33" s="18"/>
      <c r="L33" s="18"/>
      <c r="M33" s="20">
        <f t="shared" si="1"/>
        <v>0</v>
      </c>
      <c r="O33" s="17" t="s">
        <v>59</v>
      </c>
      <c r="P33" s="18"/>
      <c r="Q33" s="18"/>
      <c r="R33" s="18"/>
      <c r="S33" s="18"/>
      <c r="T33" s="18"/>
      <c r="U33" s="19"/>
      <c r="V33" s="18"/>
      <c r="W33" s="18"/>
      <c r="X33" s="18"/>
      <c r="Y33" s="18"/>
      <c r="Z33" s="20">
        <f t="shared" si="2"/>
        <v>0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/>
      <c r="I34" s="18"/>
      <c r="J34" s="18"/>
      <c r="K34" s="18"/>
      <c r="L34" s="18"/>
      <c r="M34" s="20">
        <f t="shared" si="1"/>
        <v>0</v>
      </c>
      <c r="O34" s="17" t="s">
        <v>60</v>
      </c>
      <c r="P34" s="18"/>
      <c r="Q34" s="18"/>
      <c r="R34" s="18"/>
      <c r="S34" s="18"/>
      <c r="T34" s="18"/>
      <c r="U34" s="19"/>
      <c r="V34" s="18"/>
      <c r="W34" s="18"/>
      <c r="X34" s="18"/>
      <c r="Y34" s="18"/>
      <c r="Z34" s="20">
        <f t="shared" si="2"/>
        <v>0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/>
      <c r="I35" s="18"/>
      <c r="J35" s="18"/>
      <c r="K35" s="18"/>
      <c r="L35" s="18"/>
      <c r="M35" s="20">
        <f t="shared" si="1"/>
        <v>0</v>
      </c>
      <c r="O35" s="17" t="s">
        <v>61</v>
      </c>
      <c r="P35" s="18"/>
      <c r="Q35" s="18"/>
      <c r="R35" s="18"/>
      <c r="S35" s="18"/>
      <c r="T35" s="18"/>
      <c r="U35" s="19"/>
      <c r="V35" s="18"/>
      <c r="W35" s="18"/>
      <c r="X35" s="18"/>
      <c r="Y35" s="18"/>
      <c r="Z35" s="20">
        <f t="shared" si="2"/>
        <v>0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/>
      <c r="I36" s="18"/>
      <c r="J36" s="18"/>
      <c r="K36" s="18"/>
      <c r="L36" s="18"/>
      <c r="M36" s="20">
        <f t="shared" si="1"/>
        <v>0</v>
      </c>
      <c r="O36" s="17" t="s">
        <v>62</v>
      </c>
      <c r="P36" s="18"/>
      <c r="Q36" s="18"/>
      <c r="R36" s="18"/>
      <c r="S36" s="18"/>
      <c r="T36" s="18"/>
      <c r="U36" s="19">
        <v>1</v>
      </c>
      <c r="V36" s="18"/>
      <c r="W36" s="18"/>
      <c r="X36" s="18"/>
      <c r="Y36" s="18"/>
      <c r="Z36" s="20">
        <f t="shared" si="2"/>
        <v>1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>
        <v>2</v>
      </c>
      <c r="H37" s="19"/>
      <c r="I37" s="18"/>
      <c r="J37" s="18"/>
      <c r="K37" s="18"/>
      <c r="L37" s="18"/>
      <c r="M37" s="20">
        <f t="shared" si="1"/>
        <v>2</v>
      </c>
      <c r="O37" s="17" t="s">
        <v>63</v>
      </c>
      <c r="P37" s="18"/>
      <c r="Q37" s="18"/>
      <c r="R37" s="18"/>
      <c r="S37" s="18"/>
      <c r="T37" s="18">
        <v>2</v>
      </c>
      <c r="U37" s="19"/>
      <c r="V37" s="18"/>
      <c r="W37" s="18"/>
      <c r="X37" s="18"/>
      <c r="Y37" s="18"/>
      <c r="Z37" s="20">
        <f t="shared" si="2"/>
        <v>2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>
        <v>2</v>
      </c>
      <c r="H38" s="19"/>
      <c r="I38" s="18"/>
      <c r="J38" s="18"/>
      <c r="K38" s="18"/>
      <c r="L38" s="18"/>
      <c r="M38" s="20">
        <f t="shared" si="1"/>
        <v>2</v>
      </c>
      <c r="O38" s="17" t="s">
        <v>64</v>
      </c>
      <c r="P38" s="18"/>
      <c r="Q38" s="18"/>
      <c r="R38" s="18"/>
      <c r="S38" s="18"/>
      <c r="T38" s="18">
        <v>2</v>
      </c>
      <c r="U38" s="19"/>
      <c r="V38" s="18"/>
      <c r="W38" s="18"/>
      <c r="X38" s="18"/>
      <c r="Y38" s="18"/>
      <c r="Z38" s="20">
        <f t="shared" si="2"/>
        <v>2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/>
      <c r="J39" s="18"/>
      <c r="K39" s="18"/>
      <c r="L39" s="18"/>
      <c r="M39" s="20">
        <f t="shared" si="1"/>
        <v>0</v>
      </c>
      <c r="O39" s="17" t="s">
        <v>65</v>
      </c>
      <c r="P39" s="18"/>
      <c r="Q39" s="18"/>
      <c r="R39" s="18"/>
      <c r="S39" s="18"/>
      <c r="T39" s="18"/>
      <c r="U39" s="19"/>
      <c r="V39" s="18"/>
      <c r="W39" s="18"/>
      <c r="X39" s="18"/>
      <c r="Y39" s="18"/>
      <c r="Z39" s="20">
        <f t="shared" si="2"/>
        <v>0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/>
      <c r="I40" s="18"/>
      <c r="J40" s="18"/>
      <c r="K40" s="18"/>
      <c r="L40" s="18"/>
      <c r="M40" s="20">
        <f t="shared" si="1"/>
        <v>0</v>
      </c>
      <c r="O40" s="17" t="s">
        <v>66</v>
      </c>
      <c r="P40" s="18"/>
      <c r="Q40" s="18"/>
      <c r="R40" s="18"/>
      <c r="S40" s="18"/>
      <c r="T40" s="18"/>
      <c r="U40" s="19">
        <v>1</v>
      </c>
      <c r="V40" s="18"/>
      <c r="W40" s="18"/>
      <c r="X40" s="18"/>
      <c r="Y40" s="18"/>
      <c r="Z40" s="20">
        <f t="shared" si="2"/>
        <v>1</v>
      </c>
    </row>
    <row r="41" spans="1:26" ht="18" customHeight="1" x14ac:dyDescent="0.25">
      <c r="A41" s="16" t="s">
        <v>78</v>
      </c>
      <c r="B41" s="17" t="s">
        <v>67</v>
      </c>
      <c r="C41" s="18"/>
      <c r="D41" s="18"/>
      <c r="E41" s="18"/>
      <c r="F41" s="18"/>
      <c r="G41" s="18"/>
      <c r="H41" s="19"/>
      <c r="I41" s="18"/>
      <c r="J41" s="18"/>
      <c r="K41" s="18"/>
      <c r="L41" s="18"/>
      <c r="M41" s="20">
        <f t="shared" si="1"/>
        <v>0</v>
      </c>
      <c r="O41" s="17" t="s">
        <v>67</v>
      </c>
      <c r="P41" s="18"/>
      <c r="Q41" s="18"/>
      <c r="R41" s="18"/>
      <c r="S41" s="18"/>
      <c r="T41" s="18"/>
      <c r="U41" s="19"/>
      <c r="V41" s="18"/>
      <c r="W41" s="18"/>
      <c r="X41" s="18"/>
      <c r="Y41" s="18"/>
      <c r="Z41" s="20">
        <f t="shared" si="2"/>
        <v>0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/>
      <c r="G42" s="18"/>
      <c r="H42" s="19"/>
      <c r="I42" s="18"/>
      <c r="J42" s="18"/>
      <c r="K42" s="18"/>
      <c r="L42" s="18"/>
      <c r="M42" s="20">
        <f t="shared" si="1"/>
        <v>0</v>
      </c>
      <c r="O42" s="17" t="s">
        <v>68</v>
      </c>
      <c r="P42" s="18"/>
      <c r="Q42" s="18"/>
      <c r="R42" s="18"/>
      <c r="S42" s="18"/>
      <c r="T42" s="18"/>
      <c r="U42" s="19"/>
      <c r="V42" s="18">
        <v>1</v>
      </c>
      <c r="W42" s="18"/>
      <c r="X42" s="18"/>
      <c r="Y42" s="18"/>
      <c r="Z42" s="20">
        <f t="shared" si="2"/>
        <v>1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/>
      <c r="J43" s="18"/>
      <c r="K43" s="18"/>
      <c r="L43" s="18"/>
      <c r="M43" s="20">
        <f t="shared" si="1"/>
        <v>0</v>
      </c>
      <c r="O43" s="17" t="s">
        <v>69</v>
      </c>
      <c r="P43" s="18"/>
      <c r="Q43" s="18"/>
      <c r="R43" s="18"/>
      <c r="S43" s="18"/>
      <c r="T43" s="18"/>
      <c r="U43" s="19"/>
      <c r="V43" s="18">
        <v>5</v>
      </c>
      <c r="W43" s="18"/>
      <c r="X43" s="18"/>
      <c r="Y43" s="18"/>
      <c r="Z43" s="20">
        <f t="shared" si="2"/>
        <v>5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/>
      <c r="J44" s="18"/>
      <c r="K44" s="18"/>
      <c r="L44" s="18"/>
      <c r="M44" s="20">
        <f t="shared" si="1"/>
        <v>0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8"/>
      <c r="X44" s="18"/>
      <c r="Y44" s="18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>
        <v>1</v>
      </c>
      <c r="I45" s="18"/>
      <c r="J45" s="18"/>
      <c r="K45" s="18"/>
      <c r="L45" s="18"/>
      <c r="M45" s="20">
        <f t="shared" si="1"/>
        <v>1</v>
      </c>
      <c r="O45" s="17" t="s">
        <v>72</v>
      </c>
      <c r="P45" s="18"/>
      <c r="Q45" s="18"/>
      <c r="R45" s="18"/>
      <c r="S45" s="18"/>
      <c r="T45" s="18"/>
      <c r="U45" s="19">
        <v>1</v>
      </c>
      <c r="V45" s="18">
        <v>4</v>
      </c>
      <c r="W45" s="18"/>
      <c r="X45" s="18"/>
      <c r="Y45" s="18"/>
      <c r="Z45" s="20">
        <f t="shared" si="2"/>
        <v>5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>
        <v>2</v>
      </c>
      <c r="F46" s="18"/>
      <c r="G46" s="18">
        <v>2</v>
      </c>
      <c r="H46" s="19"/>
      <c r="I46" s="18"/>
      <c r="J46" s="18"/>
      <c r="K46" s="18"/>
      <c r="L46" s="18"/>
      <c r="M46" s="20">
        <f t="shared" si="1"/>
        <v>4</v>
      </c>
      <c r="O46" s="17" t="s">
        <v>74</v>
      </c>
      <c r="P46" s="18"/>
      <c r="Q46" s="18"/>
      <c r="R46" s="18">
        <v>2</v>
      </c>
      <c r="S46" s="18"/>
      <c r="T46" s="18">
        <v>2</v>
      </c>
      <c r="U46" s="19"/>
      <c r="V46" s="18"/>
      <c r="W46" s="18"/>
      <c r="X46" s="18"/>
      <c r="Y46" s="18"/>
      <c r="Z46" s="20">
        <f t="shared" si="2"/>
        <v>4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>
        <v>2</v>
      </c>
      <c r="H47" s="19"/>
      <c r="I47" s="18"/>
      <c r="J47" s="18"/>
      <c r="K47" s="18"/>
      <c r="L47" s="18"/>
      <c r="M47" s="20">
        <f t="shared" si="1"/>
        <v>2</v>
      </c>
      <c r="O47" s="17" t="s">
        <v>75</v>
      </c>
      <c r="P47" s="18"/>
      <c r="Q47" s="18"/>
      <c r="R47" s="18"/>
      <c r="S47" s="18"/>
      <c r="T47" s="18">
        <v>2</v>
      </c>
      <c r="U47" s="19"/>
      <c r="V47" s="18"/>
      <c r="W47" s="18"/>
      <c r="X47" s="18"/>
      <c r="Y47" s="18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8"/>
      <c r="K48" s="18"/>
      <c r="L48" s="18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3"/>
      <c r="K49" s="23"/>
      <c r="L49" s="23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3"/>
      <c r="X49" s="23"/>
      <c r="Y49" s="23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10</v>
      </c>
      <c r="F50" s="20">
        <f t="shared" si="3"/>
        <v>1</v>
      </c>
      <c r="G50" s="20">
        <f t="shared" si="3"/>
        <v>29</v>
      </c>
      <c r="H50" s="20">
        <f t="shared" si="3"/>
        <v>2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M50" s="20">
        <f t="shared" si="3"/>
        <v>42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10</v>
      </c>
      <c r="S50" s="20">
        <f t="shared" si="4"/>
        <v>1</v>
      </c>
      <c r="T50" s="20">
        <f t="shared" si="4"/>
        <v>32</v>
      </c>
      <c r="U50" s="20">
        <f t="shared" si="4"/>
        <v>4</v>
      </c>
      <c r="V50" s="20">
        <f t="shared" si="4"/>
        <v>16</v>
      </c>
      <c r="W50" s="20">
        <f t="shared" si="4"/>
        <v>0</v>
      </c>
      <c r="X50" s="20">
        <f t="shared" si="4"/>
        <v>0</v>
      </c>
      <c r="Y50" s="20">
        <f t="shared" si="4"/>
        <v>0</v>
      </c>
      <c r="Z50" s="20">
        <f t="shared" si="4"/>
        <v>63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1" t="s">
        <v>121</v>
      </c>
      <c r="D56" s="114"/>
      <c r="E56" s="114"/>
      <c r="F56" s="114"/>
      <c r="G56" s="114"/>
      <c r="H56" s="114"/>
      <c r="I56" s="114"/>
      <c r="J56" s="114"/>
      <c r="K56" s="114"/>
      <c r="L56" s="114"/>
      <c r="M56" s="92"/>
      <c r="N56" s="7"/>
      <c r="O56" s="9" t="s">
        <v>16</v>
      </c>
      <c r="P56" s="141" t="s">
        <v>122</v>
      </c>
      <c r="Q56" s="114"/>
      <c r="R56" s="114"/>
      <c r="S56" s="114"/>
      <c r="T56" s="114"/>
      <c r="U56" s="114"/>
      <c r="V56" s="114"/>
      <c r="W56" s="114"/>
      <c r="X56" s="114"/>
      <c r="Y56" s="114"/>
      <c r="Z56" s="92"/>
    </row>
    <row r="57" spans="1:26" ht="91.5" customHeight="1" x14ac:dyDescent="0.25">
      <c r="B57" s="10"/>
      <c r="C57" s="11" t="str">
        <f t="shared" ref="C57:I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87"/>
      <c r="K57" s="87"/>
      <c r="L57" s="87"/>
      <c r="M57" s="13" t="s">
        <v>27</v>
      </c>
      <c r="N57" s="14"/>
      <c r="O57" s="10"/>
      <c r="P57" s="11" t="str">
        <f t="shared" ref="P57:V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87"/>
      <c r="X57" s="87"/>
      <c r="Y57" s="87"/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>
        <v>2</v>
      </c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2</v>
      </c>
      <c r="O58" s="17" t="s">
        <v>29</v>
      </c>
      <c r="P58" s="18"/>
      <c r="Q58" s="18"/>
      <c r="R58" s="18">
        <v>2</v>
      </c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2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>
        <v>2</v>
      </c>
      <c r="H59" s="18"/>
      <c r="I59" s="18">
        <v>3</v>
      </c>
      <c r="J59" s="18"/>
      <c r="K59" s="18"/>
      <c r="L59" s="18"/>
      <c r="M59" s="20">
        <f t="shared" si="7"/>
        <v>5</v>
      </c>
      <c r="O59" s="17" t="s">
        <v>31</v>
      </c>
      <c r="P59" s="18"/>
      <c r="Q59" s="18"/>
      <c r="R59" s="18"/>
      <c r="S59" s="18"/>
      <c r="T59" s="18">
        <v>2</v>
      </c>
      <c r="U59" s="18"/>
      <c r="V59" s="18">
        <v>3</v>
      </c>
      <c r="W59" s="18"/>
      <c r="X59" s="18"/>
      <c r="Y59" s="18"/>
      <c r="Z59" s="20">
        <f t="shared" si="8"/>
        <v>5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>
        <v>1</v>
      </c>
      <c r="H60" s="18">
        <v>1</v>
      </c>
      <c r="I60" s="18">
        <v>1</v>
      </c>
      <c r="J60" s="18"/>
      <c r="K60" s="18"/>
      <c r="L60" s="18"/>
      <c r="M60" s="20">
        <f t="shared" si="7"/>
        <v>3</v>
      </c>
      <c r="O60" s="17" t="s">
        <v>33</v>
      </c>
      <c r="P60" s="18"/>
      <c r="Q60" s="18"/>
      <c r="R60" s="18"/>
      <c r="S60" s="18"/>
      <c r="T60" s="18">
        <v>1</v>
      </c>
      <c r="U60" s="18">
        <v>1</v>
      </c>
      <c r="V60" s="18">
        <v>1</v>
      </c>
      <c r="W60" s="18"/>
      <c r="X60" s="18"/>
      <c r="Y60" s="18"/>
      <c r="Z60" s="20">
        <f t="shared" si="8"/>
        <v>3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>
        <v>2</v>
      </c>
      <c r="F61" s="18"/>
      <c r="G61" s="18"/>
      <c r="H61" s="18"/>
      <c r="I61" s="18"/>
      <c r="J61" s="18"/>
      <c r="K61" s="18"/>
      <c r="L61" s="18"/>
      <c r="M61" s="20">
        <f t="shared" si="7"/>
        <v>2</v>
      </c>
      <c r="O61" s="17" t="s">
        <v>35</v>
      </c>
      <c r="P61" s="18"/>
      <c r="Q61" s="18"/>
      <c r="R61" s="18">
        <v>2</v>
      </c>
      <c r="S61" s="18"/>
      <c r="T61" s="18"/>
      <c r="U61" s="18"/>
      <c r="V61" s="18"/>
      <c r="W61" s="18"/>
      <c r="X61" s="18"/>
      <c r="Y61" s="18"/>
      <c r="Z61" s="20">
        <f t="shared" si="8"/>
        <v>2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>
        <v>1</v>
      </c>
      <c r="I62" s="18">
        <v>1</v>
      </c>
      <c r="J62" s="18"/>
      <c r="K62" s="18"/>
      <c r="L62" s="18"/>
      <c r="M62" s="20">
        <f t="shared" si="7"/>
        <v>2</v>
      </c>
      <c r="O62" s="17" t="s">
        <v>37</v>
      </c>
      <c r="P62" s="18"/>
      <c r="Q62" s="18"/>
      <c r="R62" s="18"/>
      <c r="S62" s="18"/>
      <c r="T62" s="18"/>
      <c r="U62" s="18">
        <v>1</v>
      </c>
      <c r="V62" s="18">
        <v>1</v>
      </c>
      <c r="W62" s="18"/>
      <c r="X62" s="18"/>
      <c r="Y62" s="18"/>
      <c r="Z62" s="20">
        <f t="shared" si="8"/>
        <v>2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>
        <v>2</v>
      </c>
      <c r="F63" s="18"/>
      <c r="G63" s="18"/>
      <c r="H63" s="18"/>
      <c r="I63" s="18"/>
      <c r="J63" s="18"/>
      <c r="K63" s="18"/>
      <c r="L63" s="18"/>
      <c r="M63" s="20">
        <f t="shared" si="7"/>
        <v>2</v>
      </c>
      <c r="O63" s="17" t="s">
        <v>38</v>
      </c>
      <c r="P63" s="18"/>
      <c r="Q63" s="18"/>
      <c r="R63" s="18">
        <v>2</v>
      </c>
      <c r="S63" s="18"/>
      <c r="T63" s="18"/>
      <c r="U63" s="18"/>
      <c r="V63" s="18"/>
      <c r="W63" s="18"/>
      <c r="X63" s="18"/>
      <c r="Y63" s="18"/>
      <c r="Z63" s="20">
        <f t="shared" si="8"/>
        <v>2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>
        <v>2</v>
      </c>
      <c r="H70" s="18">
        <v>1</v>
      </c>
      <c r="I70" s="18"/>
      <c r="J70" s="18"/>
      <c r="K70" s="18"/>
      <c r="L70" s="18"/>
      <c r="M70" s="20">
        <f t="shared" si="7"/>
        <v>3</v>
      </c>
      <c r="O70" s="17" t="s">
        <v>46</v>
      </c>
      <c r="P70" s="18"/>
      <c r="Q70" s="18"/>
      <c r="R70" s="18"/>
      <c r="S70" s="18"/>
      <c r="T70" s="18">
        <v>2</v>
      </c>
      <c r="U70" s="18">
        <v>1</v>
      </c>
      <c r="V70" s="18"/>
      <c r="W70" s="18"/>
      <c r="X70" s="18"/>
      <c r="Y70" s="18"/>
      <c r="Z70" s="20">
        <f t="shared" si="8"/>
        <v>3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>
        <v>2</v>
      </c>
      <c r="H71" s="18"/>
      <c r="I71" s="18"/>
      <c r="J71" s="18"/>
      <c r="K71" s="18"/>
      <c r="L71" s="18"/>
      <c r="M71" s="20">
        <f t="shared" si="7"/>
        <v>2</v>
      </c>
      <c r="O71" s="17" t="s">
        <v>47</v>
      </c>
      <c r="P71" s="18"/>
      <c r="Q71" s="18"/>
      <c r="R71" s="18"/>
      <c r="S71" s="18"/>
      <c r="T71" s="18">
        <v>2</v>
      </c>
      <c r="U71" s="18"/>
      <c r="V71" s="18"/>
      <c r="W71" s="18"/>
      <c r="X71" s="18"/>
      <c r="Y71" s="18"/>
      <c r="Z71" s="20">
        <f t="shared" si="8"/>
        <v>2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>
        <v>2</v>
      </c>
      <c r="H72" s="18"/>
      <c r="I72" s="18"/>
      <c r="J72" s="18"/>
      <c r="K72" s="18"/>
      <c r="L72" s="18"/>
      <c r="M72" s="20">
        <f t="shared" si="7"/>
        <v>2</v>
      </c>
      <c r="O72" s="17" t="s">
        <v>48</v>
      </c>
      <c r="P72" s="18"/>
      <c r="Q72" s="18"/>
      <c r="R72" s="18"/>
      <c r="S72" s="18"/>
      <c r="T72" s="18">
        <v>2</v>
      </c>
      <c r="U72" s="18"/>
      <c r="V72" s="18"/>
      <c r="W72" s="18"/>
      <c r="X72" s="18"/>
      <c r="Y72" s="18"/>
      <c r="Z72" s="20">
        <f t="shared" si="8"/>
        <v>2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>
        <v>2</v>
      </c>
      <c r="H73" s="18"/>
      <c r="I73" s="18"/>
      <c r="J73" s="18"/>
      <c r="K73" s="18"/>
      <c r="L73" s="18"/>
      <c r="M73" s="20">
        <f t="shared" si="7"/>
        <v>2</v>
      </c>
      <c r="O73" s="17" t="s">
        <v>50</v>
      </c>
      <c r="P73" s="18"/>
      <c r="Q73" s="18"/>
      <c r="R73" s="18"/>
      <c r="S73" s="18"/>
      <c r="T73" s="18">
        <v>2</v>
      </c>
      <c r="U73" s="18"/>
      <c r="V73" s="18"/>
      <c r="W73" s="18"/>
      <c r="X73" s="18"/>
      <c r="Y73" s="18"/>
      <c r="Z73" s="20">
        <f t="shared" si="8"/>
        <v>2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>
        <v>2</v>
      </c>
      <c r="F74" s="18"/>
      <c r="G74" s="18"/>
      <c r="H74" s="18"/>
      <c r="I74" s="18"/>
      <c r="J74" s="18"/>
      <c r="K74" s="18"/>
      <c r="L74" s="18"/>
      <c r="M74" s="20">
        <f t="shared" si="7"/>
        <v>2</v>
      </c>
      <c r="O74" s="17" t="s">
        <v>52</v>
      </c>
      <c r="P74" s="18"/>
      <c r="Q74" s="18"/>
      <c r="R74" s="18">
        <v>2</v>
      </c>
      <c r="S74" s="18"/>
      <c r="T74" s="18"/>
      <c r="U74" s="18"/>
      <c r="V74" s="18"/>
      <c r="W74" s="18"/>
      <c r="X74" s="18"/>
      <c r="Y74" s="18"/>
      <c r="Z74" s="20">
        <f t="shared" si="8"/>
        <v>2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>
        <v>2</v>
      </c>
      <c r="H75" s="18">
        <v>1</v>
      </c>
      <c r="I75" s="18"/>
      <c r="J75" s="18"/>
      <c r="K75" s="18"/>
      <c r="L75" s="18"/>
      <c r="M75" s="20">
        <f t="shared" si="7"/>
        <v>3</v>
      </c>
      <c r="O75" s="17" t="s">
        <v>53</v>
      </c>
      <c r="P75" s="18"/>
      <c r="Q75" s="18"/>
      <c r="R75" s="18"/>
      <c r="S75" s="18"/>
      <c r="T75" s="18">
        <v>2</v>
      </c>
      <c r="U75" s="18">
        <v>1</v>
      </c>
      <c r="V75" s="18"/>
      <c r="W75" s="18"/>
      <c r="X75" s="18"/>
      <c r="Y75" s="18"/>
      <c r="Z75" s="20">
        <f t="shared" si="8"/>
        <v>3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>
        <v>1</v>
      </c>
      <c r="I76" s="18">
        <v>3</v>
      </c>
      <c r="J76" s="18"/>
      <c r="K76" s="18"/>
      <c r="L76" s="18"/>
      <c r="M76" s="20">
        <f t="shared" si="7"/>
        <v>4</v>
      </c>
      <c r="O76" s="17" t="s">
        <v>54</v>
      </c>
      <c r="P76" s="18"/>
      <c r="Q76" s="18"/>
      <c r="R76" s="18"/>
      <c r="S76" s="18"/>
      <c r="T76" s="18"/>
      <c r="U76" s="19">
        <v>1</v>
      </c>
      <c r="V76" s="18">
        <v>3</v>
      </c>
      <c r="W76" s="18"/>
      <c r="X76" s="18"/>
      <c r="Y76" s="18"/>
      <c r="Z76" s="20">
        <f t="shared" si="8"/>
        <v>4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>
        <v>2</v>
      </c>
      <c r="I77" s="18">
        <v>6</v>
      </c>
      <c r="J77" s="18"/>
      <c r="K77" s="18"/>
      <c r="L77" s="18"/>
      <c r="M77" s="20">
        <f t="shared" si="7"/>
        <v>8</v>
      </c>
      <c r="O77" s="17" t="s">
        <v>55</v>
      </c>
      <c r="P77" s="18"/>
      <c r="Q77" s="18"/>
      <c r="R77" s="18"/>
      <c r="S77" s="18"/>
      <c r="T77" s="18"/>
      <c r="U77" s="19">
        <v>2</v>
      </c>
      <c r="V77" s="18">
        <v>6</v>
      </c>
      <c r="W77" s="18"/>
      <c r="X77" s="18"/>
      <c r="Y77" s="18"/>
      <c r="Z77" s="20">
        <f t="shared" si="8"/>
        <v>8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>
        <v>3</v>
      </c>
      <c r="H78" s="19">
        <v>2</v>
      </c>
      <c r="I78" s="18">
        <v>2</v>
      </c>
      <c r="J78" s="18"/>
      <c r="K78" s="18"/>
      <c r="L78" s="18"/>
      <c r="M78" s="20">
        <f t="shared" si="7"/>
        <v>7</v>
      </c>
      <c r="O78" s="17" t="s">
        <v>56</v>
      </c>
      <c r="P78" s="18"/>
      <c r="Q78" s="18"/>
      <c r="R78" s="18"/>
      <c r="S78" s="18"/>
      <c r="T78" s="18">
        <v>3</v>
      </c>
      <c r="U78" s="19">
        <v>2</v>
      </c>
      <c r="V78" s="18">
        <v>2</v>
      </c>
      <c r="W78" s="18"/>
      <c r="X78" s="18"/>
      <c r="Y78" s="18"/>
      <c r="Z78" s="20">
        <f t="shared" si="8"/>
        <v>7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>
        <v>1</v>
      </c>
      <c r="G79" s="18">
        <v>3</v>
      </c>
      <c r="H79" s="19">
        <v>0</v>
      </c>
      <c r="I79" s="18"/>
      <c r="J79" s="18"/>
      <c r="K79" s="18"/>
      <c r="L79" s="18"/>
      <c r="M79" s="20">
        <f t="shared" si="7"/>
        <v>4</v>
      </c>
      <c r="O79" s="17" t="s">
        <v>58</v>
      </c>
      <c r="P79" s="18"/>
      <c r="Q79" s="18"/>
      <c r="R79" s="18"/>
      <c r="S79" s="18">
        <v>0</v>
      </c>
      <c r="T79" s="18">
        <v>3</v>
      </c>
      <c r="U79" s="19">
        <v>0</v>
      </c>
      <c r="V79" s="18"/>
      <c r="W79" s="18"/>
      <c r="X79" s="18"/>
      <c r="Y79" s="18"/>
      <c r="Z79" s="20">
        <f t="shared" si="8"/>
        <v>3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>
        <v>1</v>
      </c>
      <c r="I80" s="18">
        <v>1</v>
      </c>
      <c r="J80" s="18"/>
      <c r="K80" s="18"/>
      <c r="L80" s="18"/>
      <c r="M80" s="20">
        <f t="shared" si="7"/>
        <v>2</v>
      </c>
      <c r="O80" s="17" t="s">
        <v>59</v>
      </c>
      <c r="P80" s="18"/>
      <c r="Q80" s="18"/>
      <c r="R80" s="18"/>
      <c r="S80" s="18"/>
      <c r="T80" s="18"/>
      <c r="U80" s="19">
        <v>1</v>
      </c>
      <c r="V80" s="18">
        <v>6</v>
      </c>
      <c r="W80" s="18"/>
      <c r="X80" s="18"/>
      <c r="Y80" s="18"/>
      <c r="Z80" s="20">
        <f t="shared" si="8"/>
        <v>7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/>
      <c r="I81" s="18">
        <v>1</v>
      </c>
      <c r="J81" s="18"/>
      <c r="K81" s="18"/>
      <c r="L81" s="18"/>
      <c r="M81" s="20">
        <f t="shared" si="7"/>
        <v>1</v>
      </c>
      <c r="O81" s="17" t="s">
        <v>60</v>
      </c>
      <c r="P81" s="18"/>
      <c r="Q81" s="18"/>
      <c r="R81" s="18"/>
      <c r="S81" s="18"/>
      <c r="T81" s="18"/>
      <c r="U81" s="19"/>
      <c r="V81" s="18">
        <v>6</v>
      </c>
      <c r="W81" s="18"/>
      <c r="X81" s="18"/>
      <c r="Y81" s="18"/>
      <c r="Z81" s="20">
        <f t="shared" si="8"/>
        <v>6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>
        <v>1</v>
      </c>
      <c r="I82" s="18">
        <v>1</v>
      </c>
      <c r="J82" s="18"/>
      <c r="K82" s="18"/>
      <c r="L82" s="18"/>
      <c r="M82" s="20">
        <f t="shared" si="7"/>
        <v>2</v>
      </c>
      <c r="O82" s="17" t="s">
        <v>61</v>
      </c>
      <c r="P82" s="18"/>
      <c r="Q82" s="18"/>
      <c r="R82" s="18"/>
      <c r="S82" s="18"/>
      <c r="T82" s="18"/>
      <c r="U82" s="19">
        <v>1</v>
      </c>
      <c r="V82" s="18">
        <v>1</v>
      </c>
      <c r="W82" s="18"/>
      <c r="X82" s="18"/>
      <c r="Y82" s="18"/>
      <c r="Z82" s="20">
        <f t="shared" si="8"/>
        <v>2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>
        <v>2</v>
      </c>
      <c r="I83" s="18">
        <v>1</v>
      </c>
      <c r="J83" s="18"/>
      <c r="K83" s="18"/>
      <c r="L83" s="18"/>
      <c r="M83" s="20">
        <f t="shared" si="7"/>
        <v>3</v>
      </c>
      <c r="O83" s="17" t="s">
        <v>62</v>
      </c>
      <c r="P83" s="18"/>
      <c r="Q83" s="18"/>
      <c r="R83" s="18"/>
      <c r="S83" s="18"/>
      <c r="T83" s="18"/>
      <c r="U83" s="19">
        <v>2</v>
      </c>
      <c r="V83" s="18">
        <v>1</v>
      </c>
      <c r="W83" s="18"/>
      <c r="X83" s="18"/>
      <c r="Y83" s="18"/>
      <c r="Z83" s="20">
        <f t="shared" si="8"/>
        <v>3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>
        <v>2</v>
      </c>
      <c r="H84" s="19"/>
      <c r="I84" s="18">
        <v>1</v>
      </c>
      <c r="J84" s="18"/>
      <c r="K84" s="18"/>
      <c r="L84" s="18"/>
      <c r="M84" s="20">
        <f t="shared" si="7"/>
        <v>3</v>
      </c>
      <c r="O84" s="17" t="s">
        <v>63</v>
      </c>
      <c r="P84" s="18"/>
      <c r="Q84" s="18"/>
      <c r="R84" s="18"/>
      <c r="S84" s="18"/>
      <c r="T84" s="18">
        <v>2</v>
      </c>
      <c r="U84" s="19"/>
      <c r="V84" s="18">
        <v>1</v>
      </c>
      <c r="W84" s="18"/>
      <c r="X84" s="18"/>
      <c r="Y84" s="18"/>
      <c r="Z84" s="20">
        <f t="shared" si="8"/>
        <v>3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>
        <v>2</v>
      </c>
      <c r="H85" s="19"/>
      <c r="I85" s="18">
        <v>1</v>
      </c>
      <c r="J85" s="18"/>
      <c r="K85" s="18"/>
      <c r="L85" s="18"/>
      <c r="M85" s="20">
        <f t="shared" si="7"/>
        <v>3</v>
      </c>
      <c r="O85" s="17" t="s">
        <v>64</v>
      </c>
      <c r="P85" s="18"/>
      <c r="Q85" s="18"/>
      <c r="R85" s="18"/>
      <c r="S85" s="18"/>
      <c r="T85" s="18">
        <v>2</v>
      </c>
      <c r="U85" s="19"/>
      <c r="V85" s="18">
        <v>1</v>
      </c>
      <c r="W85" s="18"/>
      <c r="X85" s="18"/>
      <c r="Y85" s="18"/>
      <c r="Z85" s="20">
        <f t="shared" si="8"/>
        <v>3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/>
      <c r="I86" s="18">
        <v>2</v>
      </c>
      <c r="J86" s="18"/>
      <c r="K86" s="18"/>
      <c r="L86" s="18"/>
      <c r="M86" s="20">
        <f t="shared" si="7"/>
        <v>2</v>
      </c>
      <c r="O86" s="17" t="s">
        <v>65</v>
      </c>
      <c r="P86" s="18"/>
      <c r="Q86" s="18"/>
      <c r="R86" s="18"/>
      <c r="S86" s="18"/>
      <c r="T86" s="18"/>
      <c r="U86" s="19"/>
      <c r="V86" s="18">
        <v>2</v>
      </c>
      <c r="W86" s="18"/>
      <c r="X86" s="18"/>
      <c r="Y86" s="18"/>
      <c r="Z86" s="20">
        <f t="shared" si="8"/>
        <v>2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>
        <v>1</v>
      </c>
      <c r="I87" s="18"/>
      <c r="J87" s="18"/>
      <c r="K87" s="18"/>
      <c r="L87" s="18"/>
      <c r="M87" s="20">
        <f t="shared" si="7"/>
        <v>1</v>
      </c>
      <c r="O87" s="17" t="s">
        <v>66</v>
      </c>
      <c r="P87" s="18"/>
      <c r="Q87" s="18"/>
      <c r="R87" s="18"/>
      <c r="S87" s="18"/>
      <c r="T87" s="18"/>
      <c r="U87" s="19">
        <v>1</v>
      </c>
      <c r="V87" s="18"/>
      <c r="W87" s="18"/>
      <c r="X87" s="18"/>
      <c r="Y87" s="18"/>
      <c r="Z87" s="20">
        <f t="shared" si="8"/>
        <v>1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9"/>
      <c r="I88" s="18">
        <v>1</v>
      </c>
      <c r="J88" s="18"/>
      <c r="K88" s="18"/>
      <c r="L88" s="18"/>
      <c r="M88" s="20">
        <f t="shared" si="7"/>
        <v>1</v>
      </c>
      <c r="O88" s="17" t="s">
        <v>67</v>
      </c>
      <c r="P88" s="18"/>
      <c r="Q88" s="18"/>
      <c r="R88" s="18"/>
      <c r="S88" s="18"/>
      <c r="T88" s="18"/>
      <c r="U88" s="19"/>
      <c r="V88" s="18">
        <v>1</v>
      </c>
      <c r="W88" s="18"/>
      <c r="X88" s="18"/>
      <c r="Y88" s="18"/>
      <c r="Z88" s="20">
        <f t="shared" si="8"/>
        <v>1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9"/>
      <c r="I89" s="18">
        <v>2</v>
      </c>
      <c r="J89" s="18"/>
      <c r="K89" s="18"/>
      <c r="L89" s="18"/>
      <c r="M89" s="20">
        <f t="shared" si="7"/>
        <v>2</v>
      </c>
      <c r="O89" s="17" t="s">
        <v>68</v>
      </c>
      <c r="P89" s="18"/>
      <c r="Q89" s="18"/>
      <c r="R89" s="18"/>
      <c r="S89" s="18"/>
      <c r="T89" s="18"/>
      <c r="U89" s="19"/>
      <c r="V89" s="18">
        <v>2</v>
      </c>
      <c r="W89" s="18"/>
      <c r="X89" s="18"/>
      <c r="Y89" s="18"/>
      <c r="Z89" s="20">
        <f t="shared" si="8"/>
        <v>2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9"/>
      <c r="I90" s="18">
        <v>2</v>
      </c>
      <c r="J90" s="18"/>
      <c r="K90" s="18"/>
      <c r="L90" s="18"/>
      <c r="M90" s="20">
        <f t="shared" si="7"/>
        <v>2</v>
      </c>
      <c r="O90" s="17" t="s">
        <v>69</v>
      </c>
      <c r="P90" s="18"/>
      <c r="Q90" s="18"/>
      <c r="R90" s="18"/>
      <c r="S90" s="18"/>
      <c r="T90" s="18"/>
      <c r="U90" s="19"/>
      <c r="V90" s="18">
        <v>2</v>
      </c>
      <c r="W90" s="18"/>
      <c r="X90" s="18"/>
      <c r="Y90" s="18"/>
      <c r="Z90" s="20">
        <f t="shared" si="8"/>
        <v>2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9"/>
      <c r="I91" s="18">
        <v>1</v>
      </c>
      <c r="J91" s="18"/>
      <c r="K91" s="18"/>
      <c r="L91" s="18"/>
      <c r="M91" s="20">
        <f t="shared" si="7"/>
        <v>1</v>
      </c>
      <c r="O91" s="17" t="s">
        <v>70</v>
      </c>
      <c r="P91" s="18"/>
      <c r="Q91" s="18"/>
      <c r="R91" s="18"/>
      <c r="S91" s="18"/>
      <c r="T91" s="18"/>
      <c r="U91" s="19"/>
      <c r="V91" s="18">
        <v>1</v>
      </c>
      <c r="W91" s="18"/>
      <c r="X91" s="18"/>
      <c r="Y91" s="18"/>
      <c r="Z91" s="20">
        <f t="shared" si="8"/>
        <v>1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9">
        <v>1</v>
      </c>
      <c r="I92" s="18">
        <v>1</v>
      </c>
      <c r="J92" s="18"/>
      <c r="K92" s="18"/>
      <c r="L92" s="18"/>
      <c r="M92" s="20">
        <f t="shared" si="7"/>
        <v>2</v>
      </c>
      <c r="O92" s="17" t="s">
        <v>72</v>
      </c>
      <c r="P92" s="18"/>
      <c r="Q92" s="18"/>
      <c r="R92" s="18"/>
      <c r="S92" s="18"/>
      <c r="T92" s="18"/>
      <c r="U92" s="19">
        <v>1</v>
      </c>
      <c r="V92" s="18">
        <v>1</v>
      </c>
      <c r="W92" s="18"/>
      <c r="X92" s="18"/>
      <c r="Y92" s="18"/>
      <c r="Z92" s="20">
        <f t="shared" si="8"/>
        <v>2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>
        <v>2</v>
      </c>
      <c r="F93" s="18"/>
      <c r="G93" s="18">
        <v>2</v>
      </c>
      <c r="H93" s="19"/>
      <c r="I93" s="18"/>
      <c r="J93" s="18"/>
      <c r="K93" s="18"/>
      <c r="L93" s="18"/>
      <c r="M93" s="20">
        <f t="shared" si="7"/>
        <v>4</v>
      </c>
      <c r="O93" s="17" t="s">
        <v>74</v>
      </c>
      <c r="P93" s="18"/>
      <c r="Q93" s="18"/>
      <c r="R93" s="18">
        <v>2</v>
      </c>
      <c r="S93" s="18"/>
      <c r="T93" s="18">
        <v>2</v>
      </c>
      <c r="U93" s="19"/>
      <c r="V93" s="18"/>
      <c r="W93" s="18"/>
      <c r="X93" s="18"/>
      <c r="Y93" s="18"/>
      <c r="Z93" s="20">
        <f t="shared" si="8"/>
        <v>4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>
        <v>2</v>
      </c>
      <c r="H94" s="19"/>
      <c r="I94" s="18"/>
      <c r="J94" s="18"/>
      <c r="K94" s="18"/>
      <c r="L94" s="18"/>
      <c r="M94" s="20">
        <f t="shared" si="7"/>
        <v>2</v>
      </c>
      <c r="O94" s="17" t="s">
        <v>75</v>
      </c>
      <c r="P94" s="18"/>
      <c r="Q94" s="18"/>
      <c r="R94" s="18"/>
      <c r="S94" s="18"/>
      <c r="T94" s="18">
        <v>2</v>
      </c>
      <c r="U94" s="19"/>
      <c r="V94" s="18"/>
      <c r="W94" s="18"/>
      <c r="X94" s="18"/>
      <c r="Y94" s="18"/>
      <c r="Z94" s="20">
        <f t="shared" si="8"/>
        <v>2</v>
      </c>
    </row>
    <row r="95" spans="1:26" ht="15.75" customHeight="1" x14ac:dyDescent="0.25">
      <c r="A95" s="16" t="s">
        <v>76</v>
      </c>
      <c r="B95" s="22" t="s">
        <v>77</v>
      </c>
      <c r="C95" s="18">
        <v>1</v>
      </c>
      <c r="D95" s="18"/>
      <c r="E95" s="18"/>
      <c r="F95" s="18"/>
      <c r="G95" s="18"/>
      <c r="H95" s="19"/>
      <c r="I95" s="18"/>
      <c r="J95" s="18"/>
      <c r="K95" s="18"/>
      <c r="L95" s="18"/>
      <c r="M95" s="20">
        <f t="shared" si="7"/>
        <v>1</v>
      </c>
      <c r="O95" s="22" t="s">
        <v>77</v>
      </c>
      <c r="P95" s="18"/>
      <c r="Q95" s="18"/>
      <c r="R95" s="18"/>
      <c r="S95" s="18"/>
      <c r="T95" s="18"/>
      <c r="U95" s="19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4"/>
      <c r="I96" s="23"/>
      <c r="J96" s="23"/>
      <c r="K96" s="23"/>
      <c r="L96" s="23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4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1</v>
      </c>
      <c r="D97" s="20">
        <f t="shared" si="9"/>
        <v>0</v>
      </c>
      <c r="E97" s="20">
        <f t="shared" si="9"/>
        <v>10</v>
      </c>
      <c r="F97" s="20">
        <f t="shared" si="9"/>
        <v>1</v>
      </c>
      <c r="G97" s="20">
        <f t="shared" si="9"/>
        <v>27</v>
      </c>
      <c r="H97" s="20">
        <f t="shared" si="9"/>
        <v>15</v>
      </c>
      <c r="I97" s="20">
        <f t="shared" si="9"/>
        <v>31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85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10</v>
      </c>
      <c r="S97" s="20">
        <f t="shared" si="10"/>
        <v>0</v>
      </c>
      <c r="T97" s="20">
        <f t="shared" si="10"/>
        <v>27</v>
      </c>
      <c r="U97" s="20">
        <f t="shared" si="10"/>
        <v>15</v>
      </c>
      <c r="V97" s="20">
        <f t="shared" si="10"/>
        <v>41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93</v>
      </c>
    </row>
    <row r="98" spans="2:26" ht="15.75" customHeight="1" x14ac:dyDescent="0.25"/>
    <row r="99" spans="2:26" ht="15.75" customHeight="1" x14ac:dyDescent="0.25">
      <c r="F99" s="26">
        <f>E97+I97</f>
        <v>41</v>
      </c>
      <c r="G99" s="26">
        <f>J97+K97+L97</f>
        <v>0</v>
      </c>
    </row>
    <row r="100" spans="2:26" ht="15.75" customHeight="1" x14ac:dyDescent="0.25">
      <c r="F100" s="26">
        <f>F99*25</f>
        <v>1025</v>
      </c>
      <c r="G100" s="26">
        <f>G99*20</f>
        <v>0</v>
      </c>
    </row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71" priority="1" operator="equal">
      <formula>0</formula>
    </cfRule>
  </conditionalFormatting>
  <conditionalFormatting sqref="C97:M97">
    <cfRule type="cellIs" dxfId="70" priority="2" operator="equal">
      <formula>0</formula>
    </cfRule>
  </conditionalFormatting>
  <conditionalFormatting sqref="M11:M49">
    <cfRule type="cellIs" dxfId="69" priority="3" operator="equal">
      <formula>0</formula>
    </cfRule>
  </conditionalFormatting>
  <conditionalFormatting sqref="M58:M96">
    <cfRule type="cellIs" dxfId="68" priority="4" operator="equal">
      <formula>0</formula>
    </cfRule>
  </conditionalFormatting>
  <conditionalFormatting sqref="P50:Z50">
    <cfRule type="cellIs" dxfId="67" priority="5" operator="equal">
      <formula>0</formula>
    </cfRule>
  </conditionalFormatting>
  <conditionalFormatting sqref="P97:Z97">
    <cfRule type="cellIs" dxfId="66" priority="6" operator="equal">
      <formula>0</formula>
    </cfRule>
  </conditionalFormatting>
  <conditionalFormatting sqref="Z11:Z49">
    <cfRule type="cellIs" dxfId="65" priority="7" operator="equal">
      <formula>0</formula>
    </cfRule>
  </conditionalFormatting>
  <conditionalFormatting sqref="Z58:Z96">
    <cfRule type="cellIs" dxfId="64" priority="8" operator="equal">
      <formula>0</formula>
    </cfRule>
  </conditionalFormatting>
  <pageMargins left="0.19791666666666666" right="5.2083333333333336E-2" top="9.375E-2" bottom="8.3333333333333329E-2" header="0" footer="0"/>
  <pageSetup scale="83" orientation="portrait" r:id="rId1"/>
  <rowBreaks count="1" manualBreakCount="1">
    <brk id="5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40" workbookViewId="0">
      <selection activeCell="S35" sqref="S35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6" t="s">
        <v>0</v>
      </c>
      <c r="C1" s="127"/>
      <c r="D1" s="126" t="s">
        <v>1</v>
      </c>
      <c r="E1" s="128"/>
      <c r="F1" s="127"/>
      <c r="G1" s="135" t="s">
        <v>2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29"/>
      <c r="T1" s="130"/>
      <c r="U1" s="130"/>
      <c r="V1" s="130"/>
      <c r="W1" s="130"/>
      <c r="X1" s="130"/>
      <c r="Y1" s="130"/>
      <c r="Z1" s="131"/>
      <c r="AA1" s="1"/>
    </row>
    <row r="2" spans="1:27" ht="11.25" customHeight="1" x14ac:dyDescent="0.25">
      <c r="B2" s="126" t="s">
        <v>3</v>
      </c>
      <c r="C2" s="127"/>
      <c r="D2" s="126">
        <v>2</v>
      </c>
      <c r="E2" s="128"/>
      <c r="F2" s="127"/>
      <c r="G2" s="132"/>
      <c r="H2" s="95"/>
      <c r="I2" s="95"/>
      <c r="J2" s="95"/>
      <c r="K2" s="95"/>
      <c r="L2" s="95"/>
      <c r="M2" s="95"/>
      <c r="N2" s="95"/>
      <c r="O2" s="95"/>
      <c r="P2" s="95"/>
      <c r="Q2" s="95"/>
      <c r="R2" s="133"/>
      <c r="S2" s="132"/>
      <c r="T2" s="95"/>
      <c r="U2" s="95"/>
      <c r="V2" s="95"/>
      <c r="W2" s="95"/>
      <c r="X2" s="95"/>
      <c r="Y2" s="95"/>
      <c r="Z2" s="133"/>
      <c r="AA2" s="1"/>
    </row>
    <row r="3" spans="1:27" ht="11.25" customHeight="1" x14ac:dyDescent="0.25">
      <c r="B3" s="126" t="s">
        <v>4</v>
      </c>
      <c r="C3" s="127"/>
      <c r="D3" s="134">
        <v>44701</v>
      </c>
      <c r="E3" s="128"/>
      <c r="F3" s="127"/>
      <c r="G3" s="132"/>
      <c r="H3" s="95"/>
      <c r="I3" s="95"/>
      <c r="J3" s="95"/>
      <c r="K3" s="95"/>
      <c r="L3" s="95"/>
      <c r="M3" s="95"/>
      <c r="N3" s="95"/>
      <c r="O3" s="95"/>
      <c r="P3" s="95"/>
      <c r="Q3" s="95"/>
      <c r="R3" s="133"/>
      <c r="S3" s="132"/>
      <c r="T3" s="95"/>
      <c r="U3" s="95"/>
      <c r="V3" s="95"/>
      <c r="W3" s="95"/>
      <c r="X3" s="95"/>
      <c r="Y3" s="95"/>
      <c r="Z3" s="133"/>
      <c r="AA3" s="1"/>
    </row>
    <row r="4" spans="1:27" ht="11.25" customHeight="1" x14ac:dyDescent="0.25">
      <c r="B4" s="126" t="s">
        <v>5</v>
      </c>
      <c r="C4" s="127"/>
      <c r="D4" s="126" t="s">
        <v>6</v>
      </c>
      <c r="E4" s="128"/>
      <c r="F4" s="127"/>
      <c r="G4" s="136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8"/>
      <c r="S4" s="132"/>
      <c r="T4" s="95"/>
      <c r="U4" s="95"/>
      <c r="V4" s="95"/>
      <c r="W4" s="95"/>
      <c r="X4" s="95"/>
      <c r="Y4" s="95"/>
      <c r="Z4" s="133"/>
      <c r="AA4" s="1"/>
    </row>
    <row r="5" spans="1:27" ht="11.25" customHeight="1" x14ac:dyDescent="0.25">
      <c r="B5" s="142" t="s">
        <v>7</v>
      </c>
      <c r="C5" s="127"/>
      <c r="D5" s="126" t="s">
        <v>8</v>
      </c>
      <c r="E5" s="128"/>
      <c r="F5" s="127"/>
      <c r="G5" s="139" t="s">
        <v>9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2"/>
      <c r="T5" s="95"/>
      <c r="U5" s="95"/>
      <c r="V5" s="95"/>
      <c r="W5" s="95"/>
      <c r="X5" s="95"/>
      <c r="Y5" s="95"/>
      <c r="Z5" s="133"/>
    </row>
    <row r="6" spans="1:27" ht="11.25" customHeight="1" x14ac:dyDescent="0.25">
      <c r="B6" s="126" t="s">
        <v>10</v>
      </c>
      <c r="C6" s="127"/>
      <c r="D6" s="126" t="s">
        <v>6</v>
      </c>
      <c r="E6" s="128"/>
      <c r="F6" s="127"/>
      <c r="G6" s="136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8"/>
      <c r="S6" s="2" t="s">
        <v>11</v>
      </c>
      <c r="T6" s="140" t="str">
        <f>'01'!T6</f>
        <v>Abril</v>
      </c>
      <c r="U6" s="95"/>
      <c r="V6" s="3" t="s">
        <v>12</v>
      </c>
      <c r="W6" s="143"/>
      <c r="X6" s="95"/>
      <c r="Y6" s="95"/>
      <c r="Z6" s="133"/>
    </row>
    <row r="7" spans="1:27" ht="11.25" customHeight="1" x14ac:dyDescent="0.25">
      <c r="B7" s="126" t="s">
        <v>13</v>
      </c>
      <c r="C7" s="127"/>
      <c r="D7" s="126" t="s">
        <v>14</v>
      </c>
      <c r="E7" s="128"/>
      <c r="F7" s="127"/>
      <c r="G7" s="144" t="s">
        <v>15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7"/>
      <c r="S7" s="4"/>
      <c r="T7" s="137"/>
      <c r="U7" s="137"/>
      <c r="V7" s="5"/>
      <c r="W7" s="137"/>
      <c r="X7" s="137"/>
      <c r="Y7" s="137"/>
      <c r="Z7" s="138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1" t="s">
        <v>123</v>
      </c>
      <c r="D9" s="114"/>
      <c r="E9" s="114"/>
      <c r="F9" s="114"/>
      <c r="G9" s="114"/>
      <c r="H9" s="114"/>
      <c r="I9" s="114"/>
      <c r="J9" s="114"/>
      <c r="K9" s="114"/>
      <c r="L9" s="114"/>
      <c r="M9" s="92"/>
      <c r="N9" s="7"/>
      <c r="O9" s="9" t="s">
        <v>16</v>
      </c>
      <c r="P9" s="141" t="s">
        <v>124</v>
      </c>
      <c r="Q9" s="114"/>
      <c r="R9" s="114"/>
      <c r="S9" s="114"/>
      <c r="T9" s="114"/>
      <c r="U9" s="114"/>
      <c r="V9" s="114"/>
      <c r="W9" s="114"/>
      <c r="X9" s="114"/>
      <c r="Y9" s="114"/>
      <c r="Z9" s="92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87"/>
      <c r="K10" s="87"/>
      <c r="L10" s="87"/>
      <c r="M10" s="13" t="s">
        <v>27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88"/>
      <c r="X10" s="88"/>
      <c r="Y10" s="88"/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2</v>
      </c>
      <c r="F11" s="18"/>
      <c r="G11" s="18"/>
      <c r="H11" s="18"/>
      <c r="I11" s="18"/>
      <c r="J11" s="18"/>
      <c r="K11" s="18"/>
      <c r="L11" s="18"/>
      <c r="M11" s="20">
        <f t="shared" ref="M11:M49" si="1">SUM(C11:L11)</f>
        <v>2</v>
      </c>
      <c r="O11" s="17" t="s">
        <v>29</v>
      </c>
      <c r="P11" s="18"/>
      <c r="Q11" s="18"/>
      <c r="R11" s="18">
        <v>2</v>
      </c>
      <c r="S11" s="18"/>
      <c r="T11" s="18"/>
      <c r="U11" s="18"/>
      <c r="V11" s="18"/>
      <c r="W11" s="18"/>
      <c r="X11" s="18"/>
      <c r="Y11" s="18"/>
      <c r="Z11" s="20">
        <f t="shared" ref="Z11:Z49" si="2">SUM(P11:Y11)</f>
        <v>2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/>
      <c r="G12" s="18">
        <v>2</v>
      </c>
      <c r="H12" s="18"/>
      <c r="I12" s="18"/>
      <c r="J12" s="18"/>
      <c r="K12" s="18"/>
      <c r="L12" s="18"/>
      <c r="M12" s="20">
        <f t="shared" si="1"/>
        <v>2</v>
      </c>
      <c r="O12" s="17" t="s">
        <v>31</v>
      </c>
      <c r="P12" s="18"/>
      <c r="Q12" s="18"/>
      <c r="R12" s="18"/>
      <c r="S12" s="18"/>
      <c r="T12" s="18">
        <v>2</v>
      </c>
      <c r="U12" s="18"/>
      <c r="V12" s="18"/>
      <c r="W12" s="18"/>
      <c r="X12" s="18"/>
      <c r="Y12" s="18"/>
      <c r="Z12" s="20">
        <f t="shared" si="2"/>
        <v>2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>
        <v>1</v>
      </c>
      <c r="H13" s="18">
        <v>1</v>
      </c>
      <c r="I13" s="18">
        <v>1</v>
      </c>
      <c r="J13" s="18"/>
      <c r="K13" s="18"/>
      <c r="L13" s="18"/>
      <c r="M13" s="20">
        <f t="shared" si="1"/>
        <v>3</v>
      </c>
      <c r="O13" s="17" t="s">
        <v>33</v>
      </c>
      <c r="P13" s="18"/>
      <c r="Q13" s="18"/>
      <c r="R13" s="18"/>
      <c r="S13" s="18"/>
      <c r="T13" s="18">
        <v>1</v>
      </c>
      <c r="U13" s="18">
        <v>1</v>
      </c>
      <c r="V13" s="18">
        <v>1</v>
      </c>
      <c r="W13" s="18"/>
      <c r="X13" s="18"/>
      <c r="Y13" s="18"/>
      <c r="Z13" s="20">
        <f t="shared" si="2"/>
        <v>3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>
        <v>2</v>
      </c>
      <c r="F14" s="18"/>
      <c r="G14" s="18"/>
      <c r="H14" s="18"/>
      <c r="I14" s="18"/>
      <c r="J14" s="18"/>
      <c r="K14" s="18"/>
      <c r="L14" s="18"/>
      <c r="M14" s="20">
        <f t="shared" si="1"/>
        <v>2</v>
      </c>
      <c r="O14" s="17" t="s">
        <v>35</v>
      </c>
      <c r="P14" s="18"/>
      <c r="Q14" s="18"/>
      <c r="R14" s="18">
        <v>2</v>
      </c>
      <c r="S14" s="18"/>
      <c r="T14" s="18"/>
      <c r="U14" s="18"/>
      <c r="V14" s="18"/>
      <c r="W14" s="18"/>
      <c r="X14" s="18"/>
      <c r="Y14" s="18"/>
      <c r="Z14" s="20">
        <f t="shared" si="2"/>
        <v>2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>
        <v>1</v>
      </c>
      <c r="I15" s="18">
        <v>1</v>
      </c>
      <c r="J15" s="18"/>
      <c r="K15" s="18"/>
      <c r="L15" s="18"/>
      <c r="M15" s="20">
        <f t="shared" si="1"/>
        <v>2</v>
      </c>
      <c r="O15" s="17" t="s">
        <v>37</v>
      </c>
      <c r="P15" s="18"/>
      <c r="Q15" s="18"/>
      <c r="R15" s="18"/>
      <c r="S15" s="18"/>
      <c r="T15" s="18"/>
      <c r="U15" s="18">
        <v>1</v>
      </c>
      <c r="V15" s="18">
        <v>1</v>
      </c>
      <c r="W15" s="18"/>
      <c r="X15" s="18"/>
      <c r="Y15" s="18"/>
      <c r="Z15" s="20">
        <f t="shared" si="2"/>
        <v>2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8"/>
      <c r="K16" s="18"/>
      <c r="L16" s="18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8"/>
      <c r="X16" s="18"/>
      <c r="Y16" s="18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>
        <v>2</v>
      </c>
      <c r="H23" s="18">
        <v>1</v>
      </c>
      <c r="I23" s="18"/>
      <c r="J23" s="18"/>
      <c r="K23" s="18"/>
      <c r="L23" s="18"/>
      <c r="M23" s="20">
        <f t="shared" si="1"/>
        <v>3</v>
      </c>
      <c r="O23" s="17" t="s">
        <v>46</v>
      </c>
      <c r="P23" s="18"/>
      <c r="Q23" s="18"/>
      <c r="R23" s="18"/>
      <c r="S23" s="18"/>
      <c r="T23" s="18">
        <v>2</v>
      </c>
      <c r="U23" s="18">
        <v>1</v>
      </c>
      <c r="V23" s="18"/>
      <c r="W23" s="18"/>
      <c r="X23" s="18"/>
      <c r="Y23" s="18"/>
      <c r="Z23" s="20">
        <f t="shared" si="2"/>
        <v>3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>
        <v>2</v>
      </c>
      <c r="H24" s="18"/>
      <c r="I24" s="18"/>
      <c r="J24" s="18"/>
      <c r="K24" s="18"/>
      <c r="L24" s="18"/>
      <c r="M24" s="20">
        <f t="shared" si="1"/>
        <v>2</v>
      </c>
      <c r="O24" s="17" t="s">
        <v>47</v>
      </c>
      <c r="P24" s="18"/>
      <c r="Q24" s="18"/>
      <c r="R24" s="18"/>
      <c r="S24" s="18"/>
      <c r="T24" s="18">
        <v>2</v>
      </c>
      <c r="U24" s="18"/>
      <c r="V24" s="18"/>
      <c r="W24" s="18"/>
      <c r="X24" s="18"/>
      <c r="Y24" s="18"/>
      <c r="Z24" s="20">
        <f t="shared" si="2"/>
        <v>2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>
        <v>2</v>
      </c>
      <c r="H25" s="18"/>
      <c r="I25" s="18"/>
      <c r="J25" s="18"/>
      <c r="K25" s="18"/>
      <c r="L25" s="18"/>
      <c r="M25" s="20">
        <f t="shared" si="1"/>
        <v>2</v>
      </c>
      <c r="O25" s="17" t="s">
        <v>48</v>
      </c>
      <c r="P25" s="18"/>
      <c r="Q25" s="18"/>
      <c r="R25" s="18"/>
      <c r="S25" s="18"/>
      <c r="T25" s="18">
        <v>2</v>
      </c>
      <c r="U25" s="18"/>
      <c r="V25" s="18"/>
      <c r="W25" s="18"/>
      <c r="X25" s="18"/>
      <c r="Y25" s="18"/>
      <c r="Z25" s="20">
        <f t="shared" si="2"/>
        <v>2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>
        <v>2</v>
      </c>
      <c r="H26" s="18"/>
      <c r="I26" s="18"/>
      <c r="J26" s="18"/>
      <c r="K26" s="18"/>
      <c r="L26" s="18"/>
      <c r="M26" s="20">
        <f t="shared" si="1"/>
        <v>2</v>
      </c>
      <c r="O26" s="17" t="s">
        <v>50</v>
      </c>
      <c r="P26" s="18"/>
      <c r="Q26" s="18"/>
      <c r="R26" s="18"/>
      <c r="S26" s="18"/>
      <c r="T26" s="18">
        <v>2</v>
      </c>
      <c r="U26" s="18"/>
      <c r="V26" s="18"/>
      <c r="W26" s="18"/>
      <c r="X26" s="18"/>
      <c r="Y26" s="18"/>
      <c r="Z26" s="20">
        <f t="shared" si="2"/>
        <v>2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>
        <v>2</v>
      </c>
      <c r="F27" s="18"/>
      <c r="G27" s="18"/>
      <c r="H27" s="18"/>
      <c r="I27" s="18"/>
      <c r="J27" s="18"/>
      <c r="K27" s="18"/>
      <c r="L27" s="18"/>
      <c r="M27" s="20">
        <f t="shared" si="1"/>
        <v>2</v>
      </c>
      <c r="O27" s="17" t="s">
        <v>52</v>
      </c>
      <c r="P27" s="18"/>
      <c r="Q27" s="18"/>
      <c r="R27" s="18">
        <v>2</v>
      </c>
      <c r="S27" s="18"/>
      <c r="T27" s="18"/>
      <c r="U27" s="18"/>
      <c r="V27" s="18"/>
      <c r="W27" s="18"/>
      <c r="X27" s="18"/>
      <c r="Y27" s="18"/>
      <c r="Z27" s="20">
        <f t="shared" si="2"/>
        <v>2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>
        <v>2</v>
      </c>
      <c r="H28" s="18">
        <v>1</v>
      </c>
      <c r="I28" s="18"/>
      <c r="J28" s="18"/>
      <c r="K28" s="18"/>
      <c r="L28" s="18"/>
      <c r="M28" s="20">
        <f t="shared" si="1"/>
        <v>3</v>
      </c>
      <c r="O28" s="17" t="s">
        <v>53</v>
      </c>
      <c r="P28" s="18"/>
      <c r="Q28" s="18"/>
      <c r="R28" s="18"/>
      <c r="S28" s="18"/>
      <c r="T28" s="18">
        <v>2</v>
      </c>
      <c r="U28" s="18">
        <v>1</v>
      </c>
      <c r="V28" s="18"/>
      <c r="W28" s="18"/>
      <c r="X28" s="18"/>
      <c r="Y28" s="18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2</v>
      </c>
      <c r="I29" s="18">
        <v>2</v>
      </c>
      <c r="J29" s="18"/>
      <c r="K29" s="18"/>
      <c r="L29" s="18"/>
      <c r="M29" s="20">
        <f t="shared" si="1"/>
        <v>4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>
        <v>2</v>
      </c>
      <c r="W29" s="18"/>
      <c r="X29" s="18"/>
      <c r="Y29" s="18"/>
      <c r="Z29" s="20">
        <f t="shared" si="2"/>
        <v>3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>
        <v>2</v>
      </c>
      <c r="I30" s="18">
        <v>2</v>
      </c>
      <c r="J30" s="18"/>
      <c r="K30" s="18"/>
      <c r="L30" s="18"/>
      <c r="M30" s="20">
        <f t="shared" si="1"/>
        <v>4</v>
      </c>
      <c r="O30" s="17" t="s">
        <v>55</v>
      </c>
      <c r="P30" s="18"/>
      <c r="Q30" s="18"/>
      <c r="R30" s="18"/>
      <c r="S30" s="18"/>
      <c r="T30" s="18"/>
      <c r="U30" s="19"/>
      <c r="V30" s="18">
        <v>2</v>
      </c>
      <c r="W30" s="18"/>
      <c r="X30" s="18"/>
      <c r="Y30" s="18"/>
      <c r="Z30" s="20">
        <f t="shared" si="2"/>
        <v>2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>
        <v>3</v>
      </c>
      <c r="H31" s="19">
        <v>1</v>
      </c>
      <c r="I31" s="18">
        <v>2</v>
      </c>
      <c r="J31" s="18"/>
      <c r="K31" s="18"/>
      <c r="L31" s="18"/>
      <c r="M31" s="20">
        <f t="shared" si="1"/>
        <v>6</v>
      </c>
      <c r="O31" s="17" t="s">
        <v>56</v>
      </c>
      <c r="P31" s="18"/>
      <c r="Q31" s="18"/>
      <c r="R31" s="18"/>
      <c r="S31" s="18"/>
      <c r="T31" s="18">
        <v>3</v>
      </c>
      <c r="U31" s="19"/>
      <c r="V31" s="18">
        <v>2</v>
      </c>
      <c r="W31" s="18"/>
      <c r="X31" s="18"/>
      <c r="Y31" s="18"/>
      <c r="Z31" s="20">
        <f t="shared" si="2"/>
        <v>5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>
        <v>1</v>
      </c>
      <c r="G32" s="18">
        <v>3</v>
      </c>
      <c r="H32" s="19">
        <v>0</v>
      </c>
      <c r="I32" s="18"/>
      <c r="J32" s="18"/>
      <c r="K32" s="18"/>
      <c r="L32" s="18"/>
      <c r="M32" s="20">
        <f t="shared" si="1"/>
        <v>4</v>
      </c>
      <c r="O32" s="17" t="s">
        <v>58</v>
      </c>
      <c r="P32" s="18"/>
      <c r="Q32" s="18"/>
      <c r="R32" s="18"/>
      <c r="S32" s="18">
        <v>1</v>
      </c>
      <c r="T32" s="18">
        <v>3</v>
      </c>
      <c r="U32" s="19">
        <v>0</v>
      </c>
      <c r="V32" s="18"/>
      <c r="W32" s="18"/>
      <c r="X32" s="18"/>
      <c r="Y32" s="18"/>
      <c r="Z32" s="20">
        <f t="shared" si="2"/>
        <v>4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1</v>
      </c>
      <c r="J33" s="18"/>
      <c r="K33" s="18"/>
      <c r="L33" s="18"/>
      <c r="M33" s="20">
        <f t="shared" si="1"/>
        <v>2</v>
      </c>
      <c r="O33" s="17" t="s">
        <v>59</v>
      </c>
      <c r="P33" s="18"/>
      <c r="Q33" s="18"/>
      <c r="R33" s="18"/>
      <c r="S33" s="18"/>
      <c r="T33" s="18"/>
      <c r="U33" s="19">
        <v>1</v>
      </c>
      <c r="V33" s="18">
        <v>1</v>
      </c>
      <c r="W33" s="18"/>
      <c r="X33" s="18"/>
      <c r="Y33" s="18"/>
      <c r="Z33" s="20">
        <f t="shared" si="2"/>
        <v>2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/>
      <c r="I34" s="18">
        <v>1</v>
      </c>
      <c r="J34" s="18"/>
      <c r="K34" s="18"/>
      <c r="L34" s="18"/>
      <c r="M34" s="20">
        <f t="shared" si="1"/>
        <v>1</v>
      </c>
      <c r="O34" s="17" t="s">
        <v>60</v>
      </c>
      <c r="P34" s="18"/>
      <c r="Q34" s="18"/>
      <c r="R34" s="18"/>
      <c r="S34" s="18"/>
      <c r="T34" s="18"/>
      <c r="U34" s="19"/>
      <c r="V34" s="18">
        <v>1</v>
      </c>
      <c r="W34" s="18"/>
      <c r="X34" s="18"/>
      <c r="Y34" s="18"/>
      <c r="Z34" s="20">
        <f t="shared" si="2"/>
        <v>1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1</v>
      </c>
      <c r="I35" s="18">
        <v>1</v>
      </c>
      <c r="J35" s="18"/>
      <c r="K35" s="18"/>
      <c r="L35" s="18"/>
      <c r="M35" s="20">
        <f t="shared" si="1"/>
        <v>2</v>
      </c>
      <c r="O35" s="17" t="s">
        <v>61</v>
      </c>
      <c r="P35" s="18"/>
      <c r="Q35" s="18"/>
      <c r="R35" s="18"/>
      <c r="S35" s="18"/>
      <c r="T35" s="18"/>
      <c r="U35" s="19">
        <v>1</v>
      </c>
      <c r="V35" s="18">
        <v>6</v>
      </c>
      <c r="W35" s="18"/>
      <c r="X35" s="18"/>
      <c r="Y35" s="18"/>
      <c r="Z35" s="20">
        <f t="shared" si="2"/>
        <v>7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2</v>
      </c>
      <c r="I36" s="18">
        <v>1</v>
      </c>
      <c r="J36" s="18"/>
      <c r="K36" s="18"/>
      <c r="L36" s="18"/>
      <c r="M36" s="20">
        <f t="shared" si="1"/>
        <v>3</v>
      </c>
      <c r="O36" s="17" t="s">
        <v>62</v>
      </c>
      <c r="P36" s="18"/>
      <c r="Q36" s="18"/>
      <c r="R36" s="18"/>
      <c r="S36" s="18"/>
      <c r="T36" s="18"/>
      <c r="U36" s="19">
        <v>2</v>
      </c>
      <c r="V36" s="18">
        <v>5</v>
      </c>
      <c r="W36" s="18"/>
      <c r="X36" s="18"/>
      <c r="Y36" s="18"/>
      <c r="Z36" s="20">
        <f t="shared" si="2"/>
        <v>7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>
        <v>2</v>
      </c>
      <c r="H37" s="19"/>
      <c r="I37" s="18">
        <v>1</v>
      </c>
      <c r="J37" s="18"/>
      <c r="K37" s="18"/>
      <c r="L37" s="18"/>
      <c r="M37" s="20">
        <f t="shared" si="1"/>
        <v>3</v>
      </c>
      <c r="O37" s="17" t="s">
        <v>63</v>
      </c>
      <c r="P37" s="18"/>
      <c r="Q37" s="18"/>
      <c r="R37" s="18"/>
      <c r="S37" s="18"/>
      <c r="T37" s="18">
        <v>2</v>
      </c>
      <c r="U37" s="19"/>
      <c r="V37" s="18">
        <v>1</v>
      </c>
      <c r="W37" s="18"/>
      <c r="X37" s="18"/>
      <c r="Y37" s="18"/>
      <c r="Z37" s="20">
        <f t="shared" si="2"/>
        <v>3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>
        <v>2</v>
      </c>
      <c r="H38" s="19"/>
      <c r="I38" s="18">
        <v>1</v>
      </c>
      <c r="J38" s="18"/>
      <c r="K38" s="18"/>
      <c r="L38" s="18"/>
      <c r="M38" s="20">
        <f t="shared" si="1"/>
        <v>3</v>
      </c>
      <c r="O38" s="17" t="s">
        <v>64</v>
      </c>
      <c r="P38" s="18"/>
      <c r="Q38" s="18"/>
      <c r="R38" s="18"/>
      <c r="S38" s="18"/>
      <c r="T38" s="18">
        <v>2</v>
      </c>
      <c r="U38" s="19"/>
      <c r="V38" s="18">
        <v>1</v>
      </c>
      <c r="W38" s="18"/>
      <c r="X38" s="18"/>
      <c r="Y38" s="18"/>
      <c r="Z38" s="20">
        <f t="shared" si="2"/>
        <v>3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>
        <v>2</v>
      </c>
      <c r="J39" s="18"/>
      <c r="K39" s="18"/>
      <c r="L39" s="18"/>
      <c r="M39" s="20">
        <f t="shared" si="1"/>
        <v>2</v>
      </c>
      <c r="O39" s="17" t="s">
        <v>65</v>
      </c>
      <c r="P39" s="18"/>
      <c r="Q39" s="18"/>
      <c r="R39" s="18"/>
      <c r="S39" s="18"/>
      <c r="T39" s="18"/>
      <c r="U39" s="19"/>
      <c r="V39" s="18">
        <v>2</v>
      </c>
      <c r="W39" s="18"/>
      <c r="X39" s="18"/>
      <c r="Y39" s="18"/>
      <c r="Z39" s="20">
        <f t="shared" si="2"/>
        <v>2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1</v>
      </c>
      <c r="I40" s="18"/>
      <c r="J40" s="18"/>
      <c r="K40" s="18"/>
      <c r="L40" s="18"/>
      <c r="M40" s="20">
        <f t="shared" si="1"/>
        <v>1</v>
      </c>
      <c r="O40" s="17" t="s">
        <v>66</v>
      </c>
      <c r="P40" s="18"/>
      <c r="Q40" s="18"/>
      <c r="R40" s="18"/>
      <c r="S40" s="18"/>
      <c r="T40" s="18"/>
      <c r="U40" s="19">
        <v>1</v>
      </c>
      <c r="V40" s="18"/>
      <c r="W40" s="18"/>
      <c r="X40" s="18"/>
      <c r="Y40" s="18"/>
      <c r="Z40" s="20">
        <f t="shared" si="2"/>
        <v>1</v>
      </c>
    </row>
    <row r="41" spans="1:26" ht="18" customHeight="1" x14ac:dyDescent="0.25">
      <c r="A41" s="16" t="s">
        <v>36</v>
      </c>
      <c r="B41" s="17" t="s">
        <v>67</v>
      </c>
      <c r="C41" s="18"/>
      <c r="D41" s="18"/>
      <c r="E41" s="18"/>
      <c r="F41" s="18"/>
      <c r="G41" s="18"/>
      <c r="H41" s="19"/>
      <c r="I41" s="18">
        <v>1</v>
      </c>
      <c r="J41" s="18"/>
      <c r="K41" s="18"/>
      <c r="L41" s="18"/>
      <c r="M41" s="20">
        <f t="shared" si="1"/>
        <v>1</v>
      </c>
      <c r="O41" s="17" t="s">
        <v>67</v>
      </c>
      <c r="P41" s="18"/>
      <c r="Q41" s="18"/>
      <c r="R41" s="18"/>
      <c r="S41" s="18"/>
      <c r="T41" s="18"/>
      <c r="U41" s="19"/>
      <c r="V41" s="18">
        <v>1</v>
      </c>
      <c r="W41" s="18"/>
      <c r="X41" s="18"/>
      <c r="Y41" s="18"/>
      <c r="Z41" s="20">
        <f t="shared" si="2"/>
        <v>1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/>
      <c r="G42" s="18"/>
      <c r="H42" s="19"/>
      <c r="I42" s="18">
        <v>2</v>
      </c>
      <c r="J42" s="18"/>
      <c r="K42" s="18"/>
      <c r="L42" s="18"/>
      <c r="M42" s="20">
        <f t="shared" si="1"/>
        <v>2</v>
      </c>
      <c r="O42" s="17" t="s">
        <v>68</v>
      </c>
      <c r="P42" s="18"/>
      <c r="Q42" s="18"/>
      <c r="R42" s="18"/>
      <c r="S42" s="18"/>
      <c r="T42" s="18"/>
      <c r="U42" s="19"/>
      <c r="V42" s="18">
        <v>2</v>
      </c>
      <c r="W42" s="18"/>
      <c r="X42" s="18"/>
      <c r="Y42" s="18"/>
      <c r="Z42" s="20">
        <f t="shared" si="2"/>
        <v>2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>
        <v>2</v>
      </c>
      <c r="J43" s="18"/>
      <c r="K43" s="18"/>
      <c r="L43" s="18"/>
      <c r="M43" s="20">
        <f t="shared" si="1"/>
        <v>2</v>
      </c>
      <c r="O43" s="17" t="s">
        <v>69</v>
      </c>
      <c r="P43" s="18"/>
      <c r="Q43" s="18"/>
      <c r="R43" s="18"/>
      <c r="S43" s="18"/>
      <c r="T43" s="18"/>
      <c r="U43" s="19"/>
      <c r="V43" s="18">
        <v>2</v>
      </c>
      <c r="W43" s="18"/>
      <c r="X43" s="18"/>
      <c r="Y43" s="18"/>
      <c r="Z43" s="20">
        <f t="shared" si="2"/>
        <v>2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8"/>
      <c r="K44" s="18"/>
      <c r="L44" s="18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8"/>
      <c r="X44" s="18"/>
      <c r="Y44" s="18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>
        <v>1</v>
      </c>
      <c r="I45" s="18">
        <v>1</v>
      </c>
      <c r="J45" s="18"/>
      <c r="K45" s="18"/>
      <c r="L45" s="18"/>
      <c r="M45" s="20">
        <f t="shared" si="1"/>
        <v>2</v>
      </c>
      <c r="O45" s="17" t="s">
        <v>72</v>
      </c>
      <c r="P45" s="18"/>
      <c r="Q45" s="18"/>
      <c r="R45" s="18"/>
      <c r="S45" s="18"/>
      <c r="T45" s="18"/>
      <c r="U45" s="19">
        <v>1</v>
      </c>
      <c r="V45" s="18">
        <v>1</v>
      </c>
      <c r="W45" s="18"/>
      <c r="X45" s="18"/>
      <c r="Y45" s="18"/>
      <c r="Z45" s="20">
        <f t="shared" si="2"/>
        <v>2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>
        <v>2</v>
      </c>
      <c r="F46" s="18"/>
      <c r="G46" s="18">
        <v>2</v>
      </c>
      <c r="H46" s="19"/>
      <c r="I46" s="18"/>
      <c r="J46" s="18"/>
      <c r="K46" s="18"/>
      <c r="L46" s="18"/>
      <c r="M46" s="20">
        <f t="shared" si="1"/>
        <v>4</v>
      </c>
      <c r="O46" s="17" t="s">
        <v>74</v>
      </c>
      <c r="P46" s="18"/>
      <c r="Q46" s="18"/>
      <c r="R46" s="18">
        <v>2</v>
      </c>
      <c r="S46" s="18"/>
      <c r="T46" s="18">
        <v>2</v>
      </c>
      <c r="U46" s="19"/>
      <c r="V46" s="18"/>
      <c r="W46" s="18"/>
      <c r="X46" s="18"/>
      <c r="Y46" s="18"/>
      <c r="Z46" s="20">
        <f t="shared" si="2"/>
        <v>4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>
        <v>2</v>
      </c>
      <c r="H47" s="19"/>
      <c r="I47" s="18"/>
      <c r="J47" s="18"/>
      <c r="K47" s="18"/>
      <c r="L47" s="18"/>
      <c r="M47" s="20">
        <f t="shared" si="1"/>
        <v>2</v>
      </c>
      <c r="O47" s="17" t="s">
        <v>75</v>
      </c>
      <c r="P47" s="18"/>
      <c r="Q47" s="18"/>
      <c r="R47" s="18"/>
      <c r="S47" s="18"/>
      <c r="T47" s="18">
        <v>2</v>
      </c>
      <c r="U47" s="19"/>
      <c r="V47" s="18"/>
      <c r="W47" s="18"/>
      <c r="X47" s="18"/>
      <c r="Y47" s="18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8"/>
      <c r="K48" s="18"/>
      <c r="L48" s="18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3"/>
      <c r="K49" s="23"/>
      <c r="L49" s="23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3"/>
      <c r="X49" s="23"/>
      <c r="Y49" s="23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10</v>
      </c>
      <c r="F50" s="20">
        <f t="shared" si="3"/>
        <v>1</v>
      </c>
      <c r="G50" s="20">
        <f t="shared" si="3"/>
        <v>27</v>
      </c>
      <c r="H50" s="20">
        <f t="shared" si="3"/>
        <v>15</v>
      </c>
      <c r="I50" s="20">
        <f t="shared" si="3"/>
        <v>23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M50" s="20">
        <f t="shared" si="3"/>
        <v>76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10</v>
      </c>
      <c r="S50" s="20">
        <f t="shared" si="4"/>
        <v>1</v>
      </c>
      <c r="T50" s="20">
        <f t="shared" si="4"/>
        <v>27</v>
      </c>
      <c r="U50" s="20">
        <f t="shared" si="4"/>
        <v>11</v>
      </c>
      <c r="V50" s="20">
        <f t="shared" si="4"/>
        <v>32</v>
      </c>
      <c r="W50" s="20">
        <f t="shared" si="4"/>
        <v>0</v>
      </c>
      <c r="X50" s="20">
        <f t="shared" si="4"/>
        <v>0</v>
      </c>
      <c r="Y50" s="20">
        <f t="shared" si="4"/>
        <v>0</v>
      </c>
      <c r="Z50" s="20">
        <f t="shared" si="4"/>
        <v>81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1"/>
      <c r="D56" s="114"/>
      <c r="E56" s="114"/>
      <c r="F56" s="114"/>
      <c r="G56" s="114"/>
      <c r="H56" s="114"/>
      <c r="I56" s="114"/>
      <c r="J56" s="114"/>
      <c r="K56" s="114"/>
      <c r="L56" s="114"/>
      <c r="M56" s="92"/>
      <c r="N56" s="7"/>
      <c r="O56" s="9" t="s">
        <v>16</v>
      </c>
      <c r="P56" s="141"/>
      <c r="Q56" s="114"/>
      <c r="R56" s="114"/>
      <c r="S56" s="114"/>
      <c r="T56" s="114"/>
      <c r="U56" s="114"/>
      <c r="V56" s="114"/>
      <c r="W56" s="114"/>
      <c r="X56" s="114"/>
      <c r="Y56" s="114"/>
      <c r="Z56" s="92"/>
    </row>
    <row r="57" spans="1:26" ht="127.5" customHeight="1" x14ac:dyDescent="0.25">
      <c r="B57" s="10"/>
      <c r="C57" s="11" t="str">
        <f t="shared" ref="C57:L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11">
        <f t="shared" si="5"/>
        <v>0</v>
      </c>
      <c r="K57" s="11">
        <f t="shared" si="5"/>
        <v>0</v>
      </c>
      <c r="L57" s="11">
        <f t="shared" si="5"/>
        <v>0</v>
      </c>
      <c r="M57" s="13" t="s">
        <v>27</v>
      </c>
      <c r="N57" s="14"/>
      <c r="O57" s="10"/>
      <c r="P57" s="11" t="str">
        <f t="shared" ref="P57:Y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11">
        <f t="shared" si="6"/>
        <v>0</v>
      </c>
      <c r="X57" s="11">
        <f t="shared" si="6"/>
        <v>0</v>
      </c>
      <c r="Y57" s="11">
        <f t="shared" si="6"/>
        <v>0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0</v>
      </c>
      <c r="O58" s="17" t="s">
        <v>29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0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>
        <f t="shared" si="7"/>
        <v>0</v>
      </c>
      <c r="O59" s="17" t="s">
        <v>31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0">
        <f t="shared" si="8"/>
        <v>0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0">
        <f t="shared" si="7"/>
        <v>0</v>
      </c>
      <c r="O60" s="17" t="s">
        <v>33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0">
        <f t="shared" si="8"/>
        <v>0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20">
        <f t="shared" si="7"/>
        <v>0</v>
      </c>
      <c r="O61" s="17" t="s">
        <v>35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0">
        <f t="shared" si="8"/>
        <v>0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20">
        <f t="shared" si="7"/>
        <v>0</v>
      </c>
      <c r="O62" s="17" t="s">
        <v>37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0">
        <f t="shared" si="8"/>
        <v>0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0">
        <f t="shared" si="7"/>
        <v>0</v>
      </c>
      <c r="O63" s="17" t="s">
        <v>38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0">
        <f t="shared" si="8"/>
        <v>0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0">
        <f t="shared" si="7"/>
        <v>0</v>
      </c>
      <c r="O70" s="17" t="s">
        <v>46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0">
        <f t="shared" si="8"/>
        <v>0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0">
        <f t="shared" si="7"/>
        <v>0</v>
      </c>
      <c r="O71" s="17" t="s">
        <v>47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0">
        <f t="shared" si="8"/>
        <v>0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20">
        <f t="shared" si="7"/>
        <v>0</v>
      </c>
      <c r="O74" s="17" t="s">
        <v>52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0">
        <f t="shared" si="8"/>
        <v>0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20">
        <f t="shared" si="7"/>
        <v>0</v>
      </c>
      <c r="O75" s="17" t="s">
        <v>53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0">
        <f t="shared" si="8"/>
        <v>0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/>
      <c r="I76" s="18"/>
      <c r="J76" s="18"/>
      <c r="K76" s="18"/>
      <c r="L76" s="18"/>
      <c r="M76" s="20">
        <f t="shared" si="7"/>
        <v>0</v>
      </c>
      <c r="O76" s="17" t="s">
        <v>54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0">
        <f t="shared" si="8"/>
        <v>0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/>
      <c r="I77" s="18"/>
      <c r="J77" s="18"/>
      <c r="K77" s="18"/>
      <c r="L77" s="18"/>
      <c r="M77" s="20">
        <f t="shared" si="7"/>
        <v>0</v>
      </c>
      <c r="O77" s="17" t="s">
        <v>55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0">
        <f t="shared" si="8"/>
        <v>0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/>
      <c r="H78" s="19"/>
      <c r="I78" s="18"/>
      <c r="J78" s="18"/>
      <c r="K78" s="18"/>
      <c r="L78" s="18"/>
      <c r="M78" s="20">
        <f t="shared" si="7"/>
        <v>0</v>
      </c>
      <c r="O78" s="17" t="s">
        <v>56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0">
        <f t="shared" si="8"/>
        <v>0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/>
      <c r="G79" s="18"/>
      <c r="H79" s="19"/>
      <c r="I79" s="18"/>
      <c r="J79" s="18"/>
      <c r="K79" s="18"/>
      <c r="L79" s="18"/>
      <c r="M79" s="20">
        <f t="shared" si="7"/>
        <v>0</v>
      </c>
      <c r="O79" s="17" t="s">
        <v>58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0">
        <f t="shared" si="8"/>
        <v>0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/>
      <c r="I80" s="18"/>
      <c r="J80" s="18"/>
      <c r="K80" s="18"/>
      <c r="L80" s="18"/>
      <c r="M80" s="20">
        <f t="shared" si="7"/>
        <v>0</v>
      </c>
      <c r="O80" s="17" t="s">
        <v>59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0">
        <f t="shared" si="8"/>
        <v>0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/>
      <c r="I81" s="18"/>
      <c r="J81" s="18"/>
      <c r="K81" s="18"/>
      <c r="L81" s="18"/>
      <c r="M81" s="20">
        <f t="shared" si="7"/>
        <v>0</v>
      </c>
      <c r="O81" s="17" t="s">
        <v>60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0">
        <f t="shared" si="8"/>
        <v>0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/>
      <c r="I82" s="18"/>
      <c r="J82" s="18"/>
      <c r="K82" s="18"/>
      <c r="L82" s="18"/>
      <c r="M82" s="20">
        <f t="shared" si="7"/>
        <v>0</v>
      </c>
      <c r="O82" s="17" t="s">
        <v>61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0">
        <f t="shared" si="8"/>
        <v>0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/>
      <c r="I83" s="18"/>
      <c r="J83" s="18"/>
      <c r="K83" s="18"/>
      <c r="L83" s="18"/>
      <c r="M83" s="20">
        <f t="shared" si="7"/>
        <v>0</v>
      </c>
      <c r="O83" s="17" t="s">
        <v>62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0">
        <f t="shared" si="8"/>
        <v>0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/>
      <c r="H84" s="19"/>
      <c r="I84" s="18"/>
      <c r="J84" s="18"/>
      <c r="K84" s="18"/>
      <c r="L84" s="18"/>
      <c r="M84" s="20">
        <f t="shared" si="7"/>
        <v>0</v>
      </c>
      <c r="O84" s="17" t="s">
        <v>63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0">
        <f t="shared" si="8"/>
        <v>0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/>
      <c r="H85" s="19"/>
      <c r="I85" s="18"/>
      <c r="J85" s="18"/>
      <c r="K85" s="18"/>
      <c r="L85" s="18"/>
      <c r="M85" s="20">
        <f t="shared" si="7"/>
        <v>0</v>
      </c>
      <c r="O85" s="17" t="s">
        <v>64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0">
        <f t="shared" si="8"/>
        <v>0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/>
      <c r="I86" s="18"/>
      <c r="J86" s="18"/>
      <c r="K86" s="18"/>
      <c r="L86" s="18"/>
      <c r="M86" s="20">
        <f t="shared" si="7"/>
        <v>0</v>
      </c>
      <c r="O86" s="17" t="s">
        <v>65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0">
        <f t="shared" si="8"/>
        <v>0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/>
      <c r="I87" s="18"/>
      <c r="J87" s="18"/>
      <c r="K87" s="18"/>
      <c r="L87" s="18"/>
      <c r="M87" s="20">
        <f t="shared" si="7"/>
        <v>0</v>
      </c>
      <c r="O87" s="17" t="s">
        <v>66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0">
        <f t="shared" si="8"/>
        <v>0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20">
        <f t="shared" si="7"/>
        <v>0</v>
      </c>
      <c r="O88" s="17" t="s">
        <v>67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0">
        <f t="shared" si="8"/>
        <v>0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20">
        <f t="shared" si="7"/>
        <v>0</v>
      </c>
      <c r="O89" s="17" t="s">
        <v>68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0">
        <f t="shared" si="8"/>
        <v>0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20">
        <f t="shared" si="7"/>
        <v>0</v>
      </c>
      <c r="O90" s="17" t="s">
        <v>69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0">
        <f t="shared" si="8"/>
        <v>0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20">
        <f t="shared" si="7"/>
        <v>0</v>
      </c>
      <c r="O91" s="17" t="s">
        <v>70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0">
        <f t="shared" si="8"/>
        <v>0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20">
        <f t="shared" si="7"/>
        <v>0</v>
      </c>
      <c r="O92" s="17" t="s">
        <v>72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0">
        <f t="shared" si="8"/>
        <v>0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20">
        <f t="shared" si="7"/>
        <v>0</v>
      </c>
      <c r="O93" s="17" t="s">
        <v>74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0">
        <f t="shared" si="8"/>
        <v>0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20">
        <f t="shared" si="7"/>
        <v>0</v>
      </c>
      <c r="O94" s="17" t="s">
        <v>75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0">
        <f t="shared" si="8"/>
        <v>0</v>
      </c>
    </row>
    <row r="95" spans="1:26" ht="15.75" customHeight="1" x14ac:dyDescent="0.25">
      <c r="A95" s="16" t="s">
        <v>76</v>
      </c>
      <c r="B95" s="22" t="s">
        <v>77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20">
        <f t="shared" si="7"/>
        <v>0</v>
      </c>
      <c r="O95" s="22" t="s">
        <v>77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0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0</v>
      </c>
    </row>
    <row r="98" spans="2:26" ht="15.75" customHeight="1" x14ac:dyDescent="0.25"/>
    <row r="99" spans="2:26" ht="15.75" customHeight="1" x14ac:dyDescent="0.25"/>
    <row r="100" spans="2:26" ht="15.75" customHeight="1" x14ac:dyDescent="0.25"/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63" priority="1" operator="equal">
      <formula>0</formula>
    </cfRule>
  </conditionalFormatting>
  <conditionalFormatting sqref="C97:M97">
    <cfRule type="cellIs" dxfId="62" priority="2" operator="equal">
      <formula>0</formula>
    </cfRule>
  </conditionalFormatting>
  <conditionalFormatting sqref="M11:M49">
    <cfRule type="cellIs" dxfId="61" priority="3" operator="equal">
      <formula>0</formula>
    </cfRule>
  </conditionalFormatting>
  <conditionalFormatting sqref="M58:M96">
    <cfRule type="cellIs" dxfId="60" priority="4" operator="equal">
      <formula>0</formula>
    </cfRule>
  </conditionalFormatting>
  <conditionalFormatting sqref="P50:Z50">
    <cfRule type="cellIs" dxfId="59" priority="5" operator="equal">
      <formula>0</formula>
    </cfRule>
  </conditionalFormatting>
  <conditionalFormatting sqref="P97:Z97">
    <cfRule type="cellIs" dxfId="58" priority="6" operator="equal">
      <formula>0</formula>
    </cfRule>
  </conditionalFormatting>
  <conditionalFormatting sqref="Z11:Z49">
    <cfRule type="cellIs" dxfId="57" priority="7" operator="equal">
      <formula>0</formula>
    </cfRule>
  </conditionalFormatting>
  <conditionalFormatting sqref="Z58:Z96">
    <cfRule type="cellIs" dxfId="5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Abril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 t="s">
        <v>80</v>
      </c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 t="s">
        <v>81</v>
      </c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55" priority="1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3" operator="equal">
      <formula>0</formula>
    </cfRule>
  </conditionalFormatting>
  <conditionalFormatting sqref="L58:L96">
    <cfRule type="cellIs" dxfId="52" priority="4" operator="equal">
      <formula>0</formula>
    </cfRule>
  </conditionalFormatting>
  <conditionalFormatting sqref="O50:Y50">
    <cfRule type="cellIs" dxfId="51" priority="5" operator="equal">
      <formula>0</formula>
    </cfRule>
  </conditionalFormatting>
  <conditionalFormatting sqref="O97:Y97">
    <cfRule type="cellIs" dxfId="50" priority="6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Abril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 t="s">
        <v>82</v>
      </c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 t="s">
        <v>83</v>
      </c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47" priority="1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3" operator="equal">
      <formula>0</formula>
    </cfRule>
  </conditionalFormatting>
  <conditionalFormatting sqref="L58:L96">
    <cfRule type="cellIs" dxfId="44" priority="4" operator="equal">
      <formula>0</formula>
    </cfRule>
  </conditionalFormatting>
  <conditionalFormatting sqref="O50:Y50">
    <cfRule type="cellIs" dxfId="43" priority="5" operator="equal">
      <formula>0</formula>
    </cfRule>
  </conditionalFormatting>
  <conditionalFormatting sqref="O97:Y97">
    <cfRule type="cellIs" dxfId="42" priority="6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85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Abril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 t="s">
        <v>84</v>
      </c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9" priority="1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3" operator="equal">
      <formula>0</formula>
    </cfRule>
  </conditionalFormatting>
  <conditionalFormatting sqref="L58:L96">
    <cfRule type="cellIs" dxfId="36" priority="4" operator="equal">
      <formula>0</formula>
    </cfRule>
  </conditionalFormatting>
  <conditionalFormatting sqref="O50:Y50">
    <cfRule type="cellIs" dxfId="35" priority="5" operator="equal">
      <formula>0</formula>
    </cfRule>
  </conditionalFormatting>
  <conditionalFormatting sqref="O97:Y97">
    <cfRule type="cellIs" dxfId="34" priority="6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2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Abril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1" priority="1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3" operator="equal">
      <formula>0</formula>
    </cfRule>
  </conditionalFormatting>
  <conditionalFormatting sqref="L58:L96">
    <cfRule type="cellIs" dxfId="28" priority="4" operator="equal">
      <formula>0</formula>
    </cfRule>
  </conditionalFormatting>
  <conditionalFormatting sqref="O50:Y50">
    <cfRule type="cellIs" dxfId="27" priority="5" operator="equal">
      <formula>0</formula>
    </cfRule>
  </conditionalFormatting>
  <conditionalFormatting sqref="O97:Y97">
    <cfRule type="cellIs" dxfId="26" priority="6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1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Abril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23" priority="1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3" operator="equal">
      <formula>0</formula>
    </cfRule>
  </conditionalFormatting>
  <conditionalFormatting sqref="L58:L96">
    <cfRule type="cellIs" dxfId="20" priority="4" operator="equal">
      <formula>0</formula>
    </cfRule>
  </conditionalFormatting>
  <conditionalFormatting sqref="O50:Y50">
    <cfRule type="cellIs" dxfId="19" priority="5" operator="equal">
      <formula>0</formula>
    </cfRule>
  </conditionalFormatting>
  <conditionalFormatting sqref="O97:Y97">
    <cfRule type="cellIs" dxfId="18" priority="6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3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Abril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15" priority="1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3" operator="equal">
      <formula>0</formula>
    </cfRule>
  </conditionalFormatting>
  <conditionalFormatting sqref="L58:L96">
    <cfRule type="cellIs" dxfId="12" priority="4" operator="equal">
      <formula>0</formula>
    </cfRule>
  </conditionalFormatting>
  <conditionalFormatting sqref="O50:Y50">
    <cfRule type="cellIs" dxfId="11" priority="5" operator="equal">
      <formula>0</formula>
    </cfRule>
  </conditionalFormatting>
  <conditionalFormatting sqref="O97:Y97">
    <cfRule type="cellIs" dxfId="10" priority="6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94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Abril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7" priority="1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3" operator="equal">
      <formula>0</formula>
    </cfRule>
  </conditionalFormatting>
  <conditionalFormatting sqref="L58:L96">
    <cfRule type="cellIs" dxfId="4" priority="4" operator="equal">
      <formula>0</formula>
    </cfRule>
  </conditionalFormatting>
  <conditionalFormatting sqref="O50:Y50">
    <cfRule type="cellIs" dxfId="3" priority="5" operator="equal">
      <formula>0</formula>
    </cfRule>
  </conditionalFormatting>
  <conditionalFormatting sqref="O97:Y97">
    <cfRule type="cellIs" dxfId="2" priority="6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N1000"/>
  <sheetViews>
    <sheetView workbookViewId="0">
      <selection activeCell="I8" sqref="I8"/>
    </sheetView>
  </sheetViews>
  <sheetFormatPr baseColWidth="10" defaultColWidth="14.42578125" defaultRowHeight="15" customHeight="1" x14ac:dyDescent="0.25"/>
  <cols>
    <col min="1" max="2" width="10.7109375" customWidth="1"/>
    <col min="3" max="12" width="7.42578125" customWidth="1"/>
    <col min="13" max="26" width="10.7109375" customWidth="1"/>
  </cols>
  <sheetData>
    <row r="2" spans="2:14" ht="94.5" customHeight="1" x14ac:dyDescent="0.25">
      <c r="B2" s="27"/>
      <c r="C2" s="28" t="s">
        <v>17</v>
      </c>
      <c r="D2" s="28" t="s">
        <v>18</v>
      </c>
      <c r="E2" s="28" t="s">
        <v>19</v>
      </c>
      <c r="F2" s="28" t="s">
        <v>20</v>
      </c>
      <c r="G2" s="28" t="s">
        <v>21</v>
      </c>
      <c r="H2" s="28" t="s">
        <v>22</v>
      </c>
      <c r="I2" s="28" t="s">
        <v>23</v>
      </c>
      <c r="J2" s="28" t="s">
        <v>24</v>
      </c>
      <c r="K2" s="28" t="s">
        <v>25</v>
      </c>
      <c r="L2" s="28" t="s">
        <v>26</v>
      </c>
    </row>
    <row r="3" spans="2:14" ht="19.5" customHeight="1" x14ac:dyDescent="0.25">
      <c r="B3" s="29" t="s">
        <v>29</v>
      </c>
      <c r="C3" s="30">
        <f>('01'!C11+'01'!P11+'01'!C58+'01'!P58)+('02'!C11+'02'!P11+'02'!C58+'02'!P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0">
        <f>('01'!D11+'01'!Q11+'01'!D58+'01'!Q58)+('02'!D11+'02'!Q11+'02'!D58+'02'!Q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0">
        <f>('01'!E11+'01'!R11+'01'!E58+'01'!R58)+('02'!E11+'02'!R11+'02'!E58+'02'!R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12</v>
      </c>
      <c r="F3" s="30">
        <f>('01'!F11+'01'!S11+'01'!F58+'01'!S58)+('02'!F11+'02'!S11+'02'!F58+'02'!S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0">
        <f>('01'!G11+'01'!T11+'01'!G58+'01'!T58)+('02'!G11+'02'!T11+'02'!G58+'02'!T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0">
        <f>('01'!H11+'01'!U11+'01'!H58+'01'!U58)+('02'!H11+'02'!U11+'02'!H58+'02'!U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0">
        <f>('01'!I11+'01'!V11+'01'!I58+'01'!V58)+('02'!I11+'02'!V11+'02'!I58+'02'!V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0">
        <f>('01'!J11+'01'!W11+'01'!J58+'01'!W58)+('02'!J11+'02'!W11+'02'!J58+'02'!W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0">
        <f>('01'!K11+'01'!X11+'01'!K58+'01'!X58)+('02'!K11+'02'!X11+'02'!K58+'02'!X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0">
        <f>('01'!L11+'01'!Y11+'01'!L58+'01'!Y58)+('02'!L11+'02'!Y11+'02'!L58+'02'!Y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1">
        <f t="shared" ref="M3:M41" si="0">SUM(C3:L3)</f>
        <v>12</v>
      </c>
      <c r="N3" s="32">
        <f t="shared" ref="N3:N41" si="1">M3*25</f>
        <v>300</v>
      </c>
    </row>
    <row r="4" spans="2:14" ht="19.5" customHeight="1" x14ac:dyDescent="0.25">
      <c r="B4" s="33" t="s">
        <v>31</v>
      </c>
      <c r="C4" s="18">
        <f>('01'!C12+'01'!P12+'01'!C59+'01'!P59)+('02'!C12+'02'!P12+'02'!C59+'02'!P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8">
        <f>('01'!D12+'01'!Q12+'01'!D59+'01'!Q59)+('02'!D12+'02'!Q12+'02'!D59+'02'!Q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8">
        <f>('01'!E12+'01'!R12+'01'!E59+'01'!R59)+('02'!E12+'02'!R12+'02'!E59+'02'!R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8">
        <f>('01'!F12+'01'!S12+'01'!F59+'01'!S59)+('02'!F12+'02'!S12+'02'!F59+'02'!S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8">
        <f>('01'!G12+'01'!T12+'01'!G59+'01'!T59)+('02'!G12+'02'!T12+'02'!G59+'02'!T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12</v>
      </c>
      <c r="H4" s="18">
        <f>('01'!H12+'01'!U12+'01'!H59+'01'!U59)+('02'!H12+'02'!U12+'02'!H59+'02'!U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8">
        <f>('01'!I12+'01'!V12+'01'!I59+'01'!V59)+('02'!I12+'02'!V12+'02'!I59+'02'!V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9</v>
      </c>
      <c r="J4" s="18">
        <f>('01'!J12+'01'!W12+'01'!J59+'01'!W59)+('02'!J12+'02'!W12+'02'!J59+'02'!W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8">
        <f>('01'!K12+'01'!X12+'01'!K59+'01'!X59)+('02'!K12+'02'!X12+'02'!K59+'02'!X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8">
        <f>('01'!L12+'01'!Y12+'01'!L59+'01'!Y59)+('02'!L12+'02'!Y12+'02'!L59+'02'!Y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 s="26">
        <f t="shared" si="0"/>
        <v>21</v>
      </c>
      <c r="N4" s="34">
        <f t="shared" si="1"/>
        <v>525</v>
      </c>
    </row>
    <row r="5" spans="2:14" ht="19.5" customHeight="1" x14ac:dyDescent="0.25">
      <c r="B5" s="33" t="s">
        <v>33</v>
      </c>
      <c r="C5" s="18">
        <f>('01'!C13+'01'!P13+'01'!C60+'01'!P60)+('02'!C13+'02'!P13+'02'!C60+'02'!P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8">
        <f>('01'!D13+'01'!Q13+'01'!D60+'01'!Q60)+('02'!D13+'02'!Q13+'02'!D60+'02'!Q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8">
        <f>('01'!E13+'01'!R13+'01'!E60+'01'!R60)+('02'!E13+'02'!R13+'02'!E60+'02'!R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8">
        <f>('01'!F13+'01'!S13+'01'!F60+'01'!S60)+('02'!F13+'02'!S13+'02'!F60+'02'!S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8">
        <f>('01'!G13+'01'!T13+'01'!G60+'01'!T60)+('02'!G13+'02'!T13+'02'!G60+'02'!T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6</v>
      </c>
      <c r="H5" s="18">
        <f>('01'!H13+'01'!U13+'01'!H60+'01'!U60)+('02'!H13+'02'!U13+'02'!H60+'02'!U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4</v>
      </c>
      <c r="I5" s="18">
        <f>('01'!I13+'01'!V13+'01'!I60+'01'!V60)+('02'!I13+'02'!V13+'02'!I60+'02'!V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5</v>
      </c>
      <c r="J5" s="18">
        <f>('01'!J13+'01'!W13+'01'!J60+'01'!W60)+('02'!J13+'02'!W13+'02'!J60+'02'!W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8">
        <f>('01'!K13+'01'!X13+'01'!K60+'01'!X60)+('02'!K13+'02'!X13+'02'!K60+'02'!X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8">
        <f>('01'!L13+'01'!Y13+'01'!L60+'01'!Y60)+('02'!L13+'02'!Y13+'02'!L60+'02'!Y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 s="26">
        <f t="shared" si="0"/>
        <v>15</v>
      </c>
      <c r="N5" s="34">
        <f t="shared" si="1"/>
        <v>375</v>
      </c>
    </row>
    <row r="6" spans="2:14" ht="19.5" customHeight="1" x14ac:dyDescent="0.25">
      <c r="B6" s="33" t="s">
        <v>35</v>
      </c>
      <c r="C6" s="18">
        <f>('01'!C14+'01'!P14+'01'!C61+'01'!P61)+('02'!C14+'02'!P14+'02'!C61+'02'!P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8">
        <f>('01'!D14+'01'!Q14+'01'!D61+'01'!Q61)+('02'!D14+'02'!Q14+'02'!D61+'02'!Q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8">
        <f>('01'!E14+'01'!R14+'01'!E61+'01'!R61)+('02'!E14+'02'!R14+'02'!E61+'02'!R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12</v>
      </c>
      <c r="F6" s="18">
        <f>('01'!F14+'01'!S14+'01'!F61+'01'!S61)+('02'!F14+'02'!S14+'02'!F61+'02'!S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8">
        <f>('01'!G14+'01'!T14+'01'!G61+'01'!T61)+('02'!G14+'02'!T14+'02'!G61+'02'!T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3</v>
      </c>
      <c r="H6" s="18">
        <f>('01'!H14+'01'!U14+'01'!H61+'01'!U61)+('02'!H14+'02'!U14+'02'!H61+'02'!U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8">
        <f>('01'!I14+'01'!V14+'01'!I61+'01'!V61)+('02'!I14+'02'!V14+'02'!I61+'02'!V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8">
        <f>('01'!J14+'01'!W14+'01'!J61+'01'!W61)+('02'!J14+'02'!W14+'02'!J61+'02'!W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8">
        <f>('01'!K14+'01'!X14+'01'!K61+'01'!X61)+('02'!K14+'02'!X14+'02'!K61+'02'!X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8">
        <f>('01'!L14+'01'!Y14+'01'!L61+'01'!Y61)+('02'!L14+'02'!Y14+'02'!L61+'02'!Y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 s="26">
        <f t="shared" si="0"/>
        <v>15</v>
      </c>
      <c r="N6" s="34">
        <f t="shared" si="1"/>
        <v>375</v>
      </c>
    </row>
    <row r="7" spans="2:14" ht="19.5" customHeight="1" x14ac:dyDescent="0.25">
      <c r="B7" s="33" t="s">
        <v>37</v>
      </c>
      <c r="C7" s="18">
        <f>('01'!C15+'01'!P15+'01'!C62+'01'!P62)+('02'!C15+'02'!P15+'02'!C62+'02'!P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8">
        <f>('01'!D15+'01'!Q15+'01'!D62+'01'!Q62)+('02'!D15+'02'!Q15+'02'!D62+'02'!Q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8">
        <f>('01'!E15+'01'!R15+'01'!E62+'01'!R62)+('02'!E15+'02'!R15+'02'!E62+'02'!R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8">
        <f>('01'!F15+'01'!S15+'01'!F62+'01'!S62)+('02'!F15+'02'!S15+'02'!F62+'02'!S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8">
        <f>('01'!G15+'01'!T15+'01'!G62+'01'!T62)+('02'!G15+'02'!T15+'02'!G62+'02'!T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8">
        <f>('01'!H15+'01'!U15+'01'!H62+'01'!U62)+('02'!H15+'02'!U15+'02'!H62+'02'!U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4</v>
      </c>
      <c r="I7" s="18">
        <f>('01'!I15+'01'!V15+'01'!I62+'01'!V62)+('02'!I15+'02'!V15+'02'!I62+'02'!V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5</v>
      </c>
      <c r="J7" s="18">
        <f>('01'!J15+'01'!W15+'01'!J62+'01'!W62)+('02'!J15+'02'!W15+'02'!J62+'02'!W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8">
        <f>('01'!K15+'01'!X15+'01'!K62+'01'!X62)+('02'!K15+'02'!X15+'02'!K62+'02'!X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8">
        <f>('01'!L15+'01'!Y15+'01'!L62+'01'!Y62)+('02'!L15+'02'!Y15+'02'!L62+'02'!Y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 s="26">
        <f t="shared" si="0"/>
        <v>9</v>
      </c>
      <c r="N7" s="34">
        <f t="shared" si="1"/>
        <v>225</v>
      </c>
    </row>
    <row r="8" spans="2:14" ht="19.5" customHeight="1" x14ac:dyDescent="0.25">
      <c r="B8" s="35" t="s">
        <v>38</v>
      </c>
      <c r="C8" s="36">
        <f>('01'!C16+'01'!P16+'01'!C63+'01'!P63)+('02'!C16+'02'!P16+'02'!C63+'02'!P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36">
        <f>('01'!D16+'01'!Q16+'01'!D63+'01'!Q63)+('02'!D16+'02'!Q16+'02'!D63+'02'!Q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36">
        <f>('01'!E16+'01'!R16+'01'!E63+'01'!R63)+('02'!E16+'02'!R16+'02'!E63+'02'!R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12</v>
      </c>
      <c r="F8" s="36">
        <f>('01'!F16+'01'!S16+'01'!F63+'01'!S63)+('02'!F16+'02'!S16+'02'!F63+'02'!S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36">
        <f>('01'!G16+'01'!T16+'01'!G63+'01'!T63)+('02'!G16+'02'!T16+'02'!G63+'02'!T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36">
        <f>('01'!H16+'01'!U16+'01'!H63+'01'!U63)+('02'!H16+'02'!U16+'02'!H63+'02'!U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36">
        <f>('01'!I16+'01'!V16+'01'!I63+'01'!V63)+('02'!I16+'02'!V16+'02'!I63+'02'!V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36">
        <f>('01'!J16+'01'!W16+'01'!J63+'01'!W63)+('02'!J16+'02'!W16+'02'!J63+'02'!W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36">
        <f>('01'!K16+'01'!X16+'01'!K63+'01'!X63)+('02'!K16+'02'!X16+'02'!K63+'02'!X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36">
        <f>('01'!L16+'01'!Y16+'01'!L63+'01'!Y63)+('02'!L16+'02'!Y16+'02'!L63+'02'!Y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37">
        <f t="shared" si="0"/>
        <v>12</v>
      </c>
      <c r="N8" s="38">
        <f t="shared" si="1"/>
        <v>300</v>
      </c>
    </row>
    <row r="9" spans="2:14" ht="19.5" customHeight="1" x14ac:dyDescent="0.25">
      <c r="B9" s="29" t="s">
        <v>39</v>
      </c>
      <c r="C9" s="30">
        <f>('01'!C17+'01'!P17+'01'!C64+'01'!P64)+('02'!C17+'02'!P17+'02'!C64+'02'!P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0">
        <f>('01'!D17+'01'!Q17+'01'!D64+'01'!Q64)+('02'!D17+'02'!Q17+'02'!D64+'02'!Q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0">
        <f>('01'!E17+'01'!R17+'01'!E64+'01'!R64)+('02'!E17+'02'!R17+'02'!E64+'02'!R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0">
        <f>('01'!F17+'01'!S17+'01'!F64+'01'!S64)+('02'!F17+'02'!S17+'02'!F64+'02'!S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0">
        <f>('01'!G17+'01'!T17+'01'!G64+'01'!T64)+('02'!G17+'02'!T17+'02'!G64+'02'!T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0">
        <f>('01'!H17+'01'!U17+'01'!H64+'01'!U64)+('02'!H17+'02'!U17+'02'!H64+'02'!U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0">
        <f>('01'!I17+'01'!V17+'01'!I64+'01'!V64)+('02'!I17+'02'!V17+'02'!I64+'02'!V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0">
        <f>('01'!J17+'01'!W17+'01'!J64+'01'!W64)+('02'!J17+'02'!W17+'02'!J64+'02'!W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0">
        <f>('01'!K17+'01'!X17+'01'!K64+'01'!X64)+('02'!K17+'02'!X17+'02'!K64+'02'!X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0">
        <f>('01'!L17+'01'!Y17+'01'!L64+'01'!Y64)+('02'!L17+'02'!Y17+'02'!L64+'02'!Y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1">
        <f t="shared" si="0"/>
        <v>0</v>
      </c>
      <c r="N9" s="32">
        <f t="shared" si="1"/>
        <v>0</v>
      </c>
    </row>
    <row r="10" spans="2:14" ht="19.5" customHeight="1" x14ac:dyDescent="0.25">
      <c r="B10" s="33" t="s">
        <v>40</v>
      </c>
      <c r="C10" s="18">
        <f>('01'!C18+'01'!P18+'01'!C65+'01'!P65)+('02'!C18+'02'!P18+'02'!C65+'02'!P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8">
        <f>('01'!D18+'01'!Q18+'01'!D65+'01'!Q65)+('02'!D18+'02'!Q18+'02'!D65+'02'!Q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8">
        <f>('01'!E18+'01'!R18+'01'!E65+'01'!R65)+('02'!E18+'02'!R18+'02'!E65+'02'!R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8">
        <f>('01'!F18+'01'!S18+'01'!F65+'01'!S65)+('02'!F18+'02'!S18+'02'!F65+'02'!S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8">
        <f>('01'!G18+'01'!T18+'01'!G65+'01'!T65)+('02'!G18+'02'!T18+'02'!G65+'02'!T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8">
        <f>('01'!H18+'01'!U18+'01'!H65+'01'!U65)+('02'!H18+'02'!U18+'02'!H65+'02'!U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8">
        <f>('01'!I18+'01'!V18+'01'!I65+'01'!V65)+('02'!I18+'02'!V18+'02'!I65+'02'!V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8">
        <f>('01'!J18+'01'!W18+'01'!J65+'01'!W65)+('02'!J18+'02'!W18+'02'!J65+'02'!W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8">
        <f>('01'!K18+'01'!X18+'01'!K65+'01'!X65)+('02'!K18+'02'!X18+'02'!K65+'02'!X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8">
        <f>('01'!L18+'01'!Y18+'01'!L65+'01'!Y65)+('02'!L18+'02'!Y18+'02'!L65+'02'!Y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 s="26">
        <f t="shared" si="0"/>
        <v>0</v>
      </c>
      <c r="N10" s="34">
        <f t="shared" si="1"/>
        <v>0</v>
      </c>
    </row>
    <row r="11" spans="2:14" ht="19.5" customHeight="1" x14ac:dyDescent="0.25">
      <c r="B11" s="33" t="s">
        <v>41</v>
      </c>
      <c r="C11" s="18">
        <f>('01'!C19+'01'!P19+'01'!C66+'01'!P66)+('02'!C19+'02'!P19+'02'!C66+'02'!P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8">
        <f>('01'!D19+'01'!Q19+'01'!D66+'01'!Q66)+('02'!D19+'02'!Q19+'02'!D66+'02'!Q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8">
        <f>('01'!E19+'01'!R19+'01'!E66+'01'!R66)+('02'!E19+'02'!R19+'02'!E66+'02'!R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8">
        <f>('01'!F19+'01'!S19+'01'!F66+'01'!S66)+('02'!F19+'02'!S19+'02'!F66+'02'!S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8">
        <f>('01'!G19+'01'!T19+'01'!G66+'01'!T66)+('02'!G19+'02'!T19+'02'!G66+'02'!T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8">
        <f>('01'!H19+'01'!U19+'01'!H66+'01'!U66)+('02'!H19+'02'!U19+'02'!H66+'02'!U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8">
        <f>('01'!I19+'01'!V19+'01'!I66+'01'!V66)+('02'!I19+'02'!V19+'02'!I66+'02'!V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8">
        <f>('01'!J19+'01'!W19+'01'!J66+'01'!W66)+('02'!J19+'02'!W19+'02'!J66+'02'!W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8">
        <f>('01'!K19+'01'!X19+'01'!K66+'01'!X66)+('02'!K19+'02'!X19+'02'!K66+'02'!X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8">
        <f>('01'!L19+'01'!Y19+'01'!L66+'01'!Y66)+('02'!L19+'02'!Y19+'02'!L66+'02'!Y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 s="26">
        <f t="shared" si="0"/>
        <v>0</v>
      </c>
      <c r="N11" s="34">
        <f t="shared" si="1"/>
        <v>0</v>
      </c>
    </row>
    <row r="12" spans="2:14" ht="19.5" customHeight="1" x14ac:dyDescent="0.25">
      <c r="B12" s="33" t="s">
        <v>42</v>
      </c>
      <c r="C12" s="18">
        <f>('01'!C20+'01'!P20+'01'!C67+'01'!P67)+('02'!C20+'02'!P20+'02'!C67+'02'!P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8">
        <f>('01'!D20+'01'!Q20+'01'!D67+'01'!Q67)+('02'!D20+'02'!Q20+'02'!D67+'02'!Q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8">
        <f>('01'!E20+'01'!R20+'01'!E67+'01'!R67)+('02'!E20+'02'!R20+'02'!E67+'02'!R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8">
        <f>('01'!F20+'01'!S20+'01'!F67+'01'!S67)+('02'!F20+'02'!S20+'02'!F67+'02'!S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8">
        <f>('01'!G20+'01'!T20+'01'!G67+'01'!T67)+('02'!G20+'02'!T20+'02'!G67+'02'!T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8">
        <f>('01'!H20+'01'!U20+'01'!H67+'01'!U67)+('02'!H20+'02'!U20+'02'!H67+'02'!U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8">
        <f>('01'!I20+'01'!V20+'01'!I67+'01'!V67)+('02'!I20+'02'!V20+'02'!I67+'02'!V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8">
        <f>('01'!J20+'01'!W20+'01'!J67+'01'!W67)+('02'!J20+'02'!W20+'02'!J67+'02'!W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8">
        <f>('01'!K20+'01'!X20+'01'!K67+'01'!X67)+('02'!K20+'02'!X20+'02'!K67+'02'!X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8">
        <f>('01'!L20+'01'!Y20+'01'!L67+'01'!Y67)+('02'!L20+'02'!Y20+'02'!L67+'02'!Y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 s="26">
        <f t="shared" si="0"/>
        <v>0</v>
      </c>
      <c r="N12" s="34">
        <f t="shared" si="1"/>
        <v>0</v>
      </c>
    </row>
    <row r="13" spans="2:14" ht="19.5" customHeight="1" x14ac:dyDescent="0.25">
      <c r="B13" s="33" t="s">
        <v>43</v>
      </c>
      <c r="C13" s="18">
        <f>('01'!C21+'01'!P21+'01'!C68+'01'!P68)+('02'!C21+'02'!P21+'02'!C68+'02'!P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8">
        <f>('01'!D21+'01'!Q21+'01'!D68+'01'!Q68)+('02'!D21+'02'!Q21+'02'!D68+'02'!Q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8">
        <f>('01'!E21+'01'!R21+'01'!E68+'01'!R68)+('02'!E21+'02'!R21+'02'!E68+'02'!R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8">
        <f>('01'!F21+'01'!S21+'01'!F68+'01'!S68)+('02'!F21+'02'!S21+'02'!F68+'02'!S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8">
        <f>('01'!G21+'01'!T21+'01'!G68+'01'!T68)+('02'!G21+'02'!T21+'02'!G68+'02'!T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8">
        <f>('01'!H21+'01'!U21+'01'!H68+'01'!U68)+('02'!H21+'02'!U21+'02'!H68+'02'!U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8">
        <f>('01'!I21+'01'!V21+'01'!I68+'01'!V68)+('02'!I21+'02'!V21+'02'!I68+'02'!V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8">
        <f>('01'!J21+'01'!W21+'01'!J68+'01'!W68)+('02'!J21+'02'!W21+'02'!J68+'02'!W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8">
        <f>('01'!K21+'01'!X21+'01'!K68+'01'!X68)+('02'!K21+'02'!X21+'02'!K68+'02'!X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8">
        <f>('01'!L21+'01'!Y21+'01'!L68+'01'!Y68)+('02'!L21+'02'!Y21+'02'!L68+'02'!Y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 s="26">
        <f t="shared" si="0"/>
        <v>0</v>
      </c>
      <c r="N13" s="34">
        <f t="shared" si="1"/>
        <v>0</v>
      </c>
    </row>
    <row r="14" spans="2:14" ht="19.5" customHeight="1" x14ac:dyDescent="0.25">
      <c r="B14" s="35" t="s">
        <v>44</v>
      </c>
      <c r="C14" s="36">
        <f>('01'!C22+'01'!P22+'01'!C69+'01'!P69)+('02'!C22+'02'!P22+'02'!C69+'02'!P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36">
        <f>('01'!D22+'01'!Q22+'01'!D69+'01'!Q69)+('02'!D22+'02'!Q22+'02'!D69+'02'!Q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36">
        <f>('01'!E22+'01'!R22+'01'!E69+'01'!R69)+('02'!E22+'02'!R22+'02'!E69+'02'!R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36">
        <f>('01'!F22+'01'!S22+'01'!F69+'01'!S69)+('02'!F22+'02'!S22+'02'!F69+'02'!S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36">
        <f>('01'!G22+'01'!T22+'01'!G69+'01'!T69)+('02'!G22+'02'!T22+'02'!G69+'02'!T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36">
        <f>('01'!H22+'01'!U22+'01'!H69+'01'!U69)+('02'!H22+'02'!U22+'02'!H69+'02'!U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36">
        <f>('01'!I22+'01'!V22+'01'!I69+'01'!V69)+('02'!I22+'02'!V22+'02'!I69+'02'!V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36">
        <f>('01'!J22+'01'!W22+'01'!J69+'01'!W69)+('02'!J22+'02'!W22+'02'!J69+'02'!W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36">
        <f>('01'!K22+'01'!X22+'01'!K69+'01'!X69)+('02'!K22+'02'!X22+'02'!K69+'02'!X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36">
        <f>('01'!L22+'01'!Y22+'01'!L69+'01'!Y69)+('02'!L22+'02'!Y22+'02'!L69+'02'!Y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37">
        <f t="shared" si="0"/>
        <v>0</v>
      </c>
      <c r="N14" s="38">
        <f t="shared" si="1"/>
        <v>0</v>
      </c>
    </row>
    <row r="15" spans="2:14" ht="19.5" customHeight="1" x14ac:dyDescent="0.25">
      <c r="B15" s="29" t="s">
        <v>46</v>
      </c>
      <c r="C15" s="30">
        <f>('01'!C23+'01'!P23+'01'!C70+'01'!P70)+('02'!C23+'02'!P23+'02'!C70+'02'!P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0">
        <f>('01'!D23+'01'!Q23+'01'!D70+'01'!Q70)+('02'!D23+'02'!Q23+'02'!D70+'02'!Q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0">
        <f>('01'!E23+'01'!R23+'01'!E70+'01'!R70)+('02'!E23+'02'!R23+'02'!E70+'02'!R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0">
        <f>('01'!F23+'01'!S23+'01'!F70+'01'!S70)+('02'!F23+'02'!S23+'02'!F70+'02'!S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0">
        <f>('01'!G23+'01'!T23+'01'!G70+'01'!T70)+('02'!G23+'02'!T23+'02'!G70+'02'!T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13</v>
      </c>
      <c r="H15" s="30">
        <f>('01'!H23+'01'!U23+'01'!H70+'01'!U70)+('02'!H23+'02'!U23+'02'!H70+'02'!U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4</v>
      </c>
      <c r="I15" s="30">
        <f>('01'!I23+'01'!V23+'01'!I70+'01'!V70)+('02'!I23+'02'!V23+'02'!I70+'02'!V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0">
        <f>('01'!J23+'01'!W23+'01'!J70+'01'!W70)+('02'!J23+'02'!W23+'02'!J70+'02'!W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0">
        <f>('01'!K23+'01'!X23+'01'!K70+'01'!X70)+('02'!K23+'02'!X23+'02'!K70+'02'!X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0">
        <f>('01'!L23+'01'!Y23+'01'!L70+'01'!Y70)+('02'!L23+'02'!Y23+'02'!L70+'02'!Y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1">
        <f t="shared" si="0"/>
        <v>17</v>
      </c>
      <c r="N15" s="32">
        <f t="shared" si="1"/>
        <v>425</v>
      </c>
    </row>
    <row r="16" spans="2:14" ht="19.5" customHeight="1" x14ac:dyDescent="0.25">
      <c r="B16" s="33" t="s">
        <v>47</v>
      </c>
      <c r="C16" s="18">
        <f>('01'!C24+'01'!P24+'01'!C71+'01'!P71)+('02'!C24+'02'!P24+'02'!C71+'02'!P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8">
        <f>('01'!D24+'01'!Q24+'01'!D71+'01'!Q71)+('02'!D24+'02'!Q24+'02'!D71+'02'!Q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8">
        <f>('01'!E24+'01'!R24+'01'!E71+'01'!R71)+('02'!E24+'02'!R24+'02'!E71+'02'!R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8">
        <f>('01'!F24+'01'!S24+'01'!F71+'01'!S71)+('02'!F24+'02'!S24+'02'!F71+'02'!S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8">
        <f>('01'!G24+'01'!T24+'01'!G71+'01'!T71)+('02'!G24+'02'!T24+'02'!G71+'02'!T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12</v>
      </c>
      <c r="H16" s="18">
        <f>('01'!H24+'01'!U24+'01'!H71+'01'!U71)+('02'!H24+'02'!U24+'02'!H71+'02'!U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8">
        <f>('01'!I24+'01'!V24+'01'!I71+'01'!V71)+('02'!I24+'02'!V24+'02'!I71+'02'!V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8">
        <f>('01'!J24+'01'!W24+'01'!J71+'01'!W71)+('02'!J24+'02'!W24+'02'!J71+'02'!W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8">
        <f>('01'!K24+'01'!X24+'01'!K71+'01'!X71)+('02'!K24+'02'!X24+'02'!K71+'02'!X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8">
        <f>('01'!L24+'01'!Y24+'01'!L71+'01'!Y71)+('02'!L24+'02'!Y24+'02'!L71+'02'!Y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 s="26">
        <f t="shared" si="0"/>
        <v>12</v>
      </c>
      <c r="N16" s="34">
        <f t="shared" si="1"/>
        <v>300</v>
      </c>
    </row>
    <row r="17" spans="2:14" ht="19.5" customHeight="1" x14ac:dyDescent="0.25">
      <c r="B17" s="33" t="s">
        <v>48</v>
      </c>
      <c r="C17" s="18">
        <f>('01'!C25+'01'!P25+'01'!C72+'01'!P72)+('02'!C25+'02'!P25+'02'!C72+'02'!P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8">
        <f>('01'!D25+'01'!Q25+'01'!D72+'01'!Q72)+('02'!D25+'02'!Q25+'02'!D72+'02'!Q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8">
        <f>('01'!E25+'01'!R25+'01'!E72+'01'!R72)+('02'!E25+'02'!R25+'02'!E72+'02'!R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8">
        <f>('01'!F25+'01'!S25+'01'!F72+'01'!S72)+('02'!F25+'02'!S25+'02'!F72+'02'!S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8">
        <f>('01'!G25+'01'!T25+'01'!G72+'01'!T72)+('02'!G25+'02'!T25+'02'!G72+'02'!T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12</v>
      </c>
      <c r="H17" s="18">
        <f>('01'!H25+'01'!U25+'01'!H72+'01'!U72)+('02'!H25+'02'!U25+'02'!H72+'02'!U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8">
        <f>('01'!I25+'01'!V25+'01'!I72+'01'!V72)+('02'!I25+'02'!V25+'02'!I72+'02'!V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8">
        <f>('01'!J25+'01'!W25+'01'!J72+'01'!W72)+('02'!J25+'02'!W25+'02'!J72+'02'!W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8">
        <f>('01'!K25+'01'!X25+'01'!K72+'01'!X72)+('02'!K25+'02'!X25+'02'!K72+'02'!X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8">
        <f>('01'!L25+'01'!Y25+'01'!L72+'01'!Y72)+('02'!L25+'02'!Y25+'02'!L72+'02'!Y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 s="26">
        <f t="shared" si="0"/>
        <v>12</v>
      </c>
      <c r="N17" s="34">
        <f t="shared" si="1"/>
        <v>300</v>
      </c>
    </row>
    <row r="18" spans="2:14" ht="19.5" customHeight="1" x14ac:dyDescent="0.25">
      <c r="B18" s="33" t="s">
        <v>50</v>
      </c>
      <c r="C18" s="18">
        <f>('01'!C26+'01'!P26+'01'!C73+'01'!P73)+('02'!C26+'02'!P26+'02'!C73+'02'!P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8">
        <f>('01'!D26+'01'!Q26+'01'!D73+'01'!Q73)+('02'!D26+'02'!Q26+'02'!D73+'02'!Q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8">
        <f>('01'!E26+'01'!R26+'01'!E73+'01'!R73)+('02'!E26+'02'!R26+'02'!E73+'02'!R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8">
        <f>('01'!F26+'01'!S26+'01'!F73+'01'!S73)+('02'!F26+'02'!S26+'02'!F73+'02'!S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8">
        <f>('01'!G26+'01'!T26+'01'!G73+'01'!T73)+('02'!G26+'02'!T26+'02'!G73+'02'!T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12</v>
      </c>
      <c r="H18" s="18">
        <f>('01'!H26+'01'!U26+'01'!H73+'01'!U73)+('02'!H26+'02'!U26+'02'!H73+'02'!U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8">
        <f>('01'!I26+'01'!V26+'01'!I73+'01'!V73)+('02'!I26+'02'!V26+'02'!I73+'02'!V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8">
        <f>('01'!J26+'01'!W26+'01'!J73+'01'!W73)+('02'!J26+'02'!W26+'02'!J73+'02'!W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8">
        <f>('01'!K26+'01'!X26+'01'!K73+'01'!X73)+('02'!K26+'02'!X26+'02'!K73+'02'!X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8">
        <f>('01'!L26+'01'!Y26+'01'!L73+'01'!Y73)+('02'!L26+'02'!Y26+'02'!L73+'02'!Y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 s="26">
        <f t="shared" si="0"/>
        <v>12</v>
      </c>
      <c r="N18" s="34">
        <f t="shared" si="1"/>
        <v>300</v>
      </c>
    </row>
    <row r="19" spans="2:14" ht="19.5" customHeight="1" x14ac:dyDescent="0.25">
      <c r="B19" s="33" t="s">
        <v>52</v>
      </c>
      <c r="C19" s="18">
        <f>('01'!C27+'01'!P27+'01'!C74+'01'!P74)+('02'!C27+'02'!P27+'02'!C74+'02'!P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8">
        <f>('01'!D27+'01'!Q27+'01'!D74+'01'!Q74)+('02'!D27+'02'!Q27+'02'!D74+'02'!Q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8">
        <f>('01'!E27+'01'!R27+'01'!E74+'01'!R74)+('02'!E27+'02'!R27+'02'!E74+'02'!R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12</v>
      </c>
      <c r="F19" s="18">
        <f>('01'!F27+'01'!S27+'01'!F74+'01'!S74)+('02'!F27+'02'!S27+'02'!F74+'02'!S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0</v>
      </c>
      <c r="G19" s="18">
        <f>('01'!G27+'01'!T27+'01'!G74+'01'!T74)+('02'!G27+'02'!T27+'02'!G74+'02'!T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3</v>
      </c>
      <c r="H19" s="18">
        <f>('01'!H27+'01'!U27+'01'!H74+'01'!U74)+('02'!H27+'02'!U27+'02'!H74+'02'!U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8">
        <f>('01'!I27+'01'!V27+'01'!I74+'01'!V74)+('02'!I27+'02'!V27+'02'!I74+'02'!V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8">
        <f>('01'!J27+'01'!W27+'01'!J74+'01'!W74)+('02'!J27+'02'!W27+'02'!J74+'02'!W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8">
        <f>('01'!K27+'01'!X27+'01'!K74+'01'!X74)+('02'!K27+'02'!X27+'02'!K74+'02'!X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8">
        <f>('01'!L27+'01'!Y27+'01'!L74+'01'!Y74)+('02'!L27+'02'!Y27+'02'!L74+'02'!Y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 s="26">
        <f t="shared" si="0"/>
        <v>15</v>
      </c>
      <c r="N19" s="34">
        <f t="shared" si="1"/>
        <v>375</v>
      </c>
    </row>
    <row r="20" spans="2:14" ht="19.5" customHeight="1" x14ac:dyDescent="0.25">
      <c r="B20" s="35" t="s">
        <v>53</v>
      </c>
      <c r="C20" s="36">
        <f>('01'!C28+'01'!P28+'01'!C75+'01'!P75)+('02'!C28+'02'!P28+'02'!C75+'02'!P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36">
        <f>('01'!D28+'01'!Q28+'01'!D75+'01'!Q75)+('02'!D28+'02'!Q28+'02'!D75+'02'!Q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36">
        <f>('01'!E28+'01'!R28+'01'!E75+'01'!R75)+('02'!E28+'02'!R28+'02'!E75+'02'!R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36">
        <f>('01'!F28+'01'!S28+'01'!F75+'01'!S75)+('02'!F28+'02'!S28+'02'!F75+'02'!S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36">
        <f>('01'!G28+'01'!T28+'01'!G75+'01'!T75)+('02'!G28+'02'!T28+'02'!G75+'02'!T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14</v>
      </c>
      <c r="H20" s="36">
        <f>('01'!H28+'01'!U28+'01'!H75+'01'!U75)+('02'!H28+'02'!U28+'02'!H75+'02'!U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4</v>
      </c>
      <c r="I20" s="36">
        <f>('01'!I28+'01'!V28+'01'!I75+'01'!V75)+('02'!I28+'02'!V28+'02'!I75+'02'!V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36">
        <f>('01'!J28+'01'!W28+'01'!J75+'01'!W75)+('02'!J28+'02'!W28+'02'!J75+'02'!W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36">
        <f>('01'!K28+'01'!X28+'01'!K75+'01'!X75)+('02'!K28+'02'!X28+'02'!K75+'02'!X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36">
        <f>('01'!L28+'01'!Y28+'01'!L75+'01'!Y75)+('02'!L28+'02'!Y28+'02'!L75+'02'!Y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37">
        <f t="shared" si="0"/>
        <v>18</v>
      </c>
      <c r="N20" s="38">
        <f t="shared" si="1"/>
        <v>450</v>
      </c>
    </row>
    <row r="21" spans="2:14" ht="19.5" customHeight="1" x14ac:dyDescent="0.25">
      <c r="B21" s="29" t="s">
        <v>54</v>
      </c>
      <c r="C21" s="30">
        <f>('01'!C29+'01'!P29+'01'!C76+'01'!P76)+('02'!C29+'02'!P29+'02'!C76+'02'!P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0">
        <f>('01'!D29+'01'!Q29+'01'!D76+'01'!Q76)+('02'!D29+'02'!Q29+'02'!D76+'02'!Q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0">
        <f>('01'!E29+'01'!R29+'01'!E76+'01'!R76)+('02'!E29+'02'!R29+'02'!E76+'02'!R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0">
        <f>('01'!F29+'01'!S29+'01'!F76+'01'!S76)+('02'!F29+'02'!S29+'02'!F76+'02'!S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0">
        <f>('01'!G29+'01'!T29+'01'!G76+'01'!T76)+('02'!G29+'02'!T29+'02'!G76+'02'!T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0</v>
      </c>
      <c r="H21" s="30">
        <f>('01'!H29+'01'!U29+'01'!H76+'01'!U76)+('02'!H29+'02'!U29+'02'!H76+'02'!U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7</v>
      </c>
      <c r="I21" s="30">
        <f>('01'!I29+'01'!V29+'01'!I76+'01'!V76)+('02'!I29+'02'!V29+'02'!I76+'02'!V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10</v>
      </c>
      <c r="J21" s="30">
        <f>('01'!J29+'01'!W29+'01'!J76+'01'!W76)+('02'!J29+'02'!W29+'02'!J76+'02'!W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0">
        <f>('01'!K29+'01'!X29+'01'!K76+'01'!X76)+('02'!K29+'02'!X29+'02'!K76+'02'!X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0</v>
      </c>
      <c r="L21" s="30">
        <f>('01'!L29+'01'!Y29+'01'!L76+'01'!Y76)+('02'!L29+'02'!Y29+'02'!L76+'02'!Y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1">
        <f t="shared" si="0"/>
        <v>17</v>
      </c>
      <c r="N21" s="32">
        <f t="shared" si="1"/>
        <v>425</v>
      </c>
    </row>
    <row r="22" spans="2:14" ht="19.5" customHeight="1" x14ac:dyDescent="0.25">
      <c r="B22" s="33" t="s">
        <v>55</v>
      </c>
      <c r="C22" s="18">
        <f>('01'!C30+'01'!P30+'01'!C77+'01'!P77)+('02'!C30+'02'!P30+'02'!C77+'02'!P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8">
        <f>('01'!D30+'01'!Q30+'01'!D77+'01'!Q77)+('02'!D30+'02'!Q30+'02'!D77+'02'!Q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8">
        <f>('01'!E30+'01'!R30+'01'!E77+'01'!R77)+('02'!E30+'02'!R30+'02'!E77+'02'!R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8">
        <f>('01'!F30+'01'!S30+'01'!F77+'01'!S77)+('02'!F30+'02'!S30+'02'!F77+'02'!S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8">
        <f>('01'!G30+'01'!T30+'01'!G77+'01'!T77)+('02'!G30+'02'!T30+'02'!G77+'02'!T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0</v>
      </c>
      <c r="H22" s="18">
        <f>('01'!H30+'01'!U30+'01'!H77+'01'!U77)+('02'!H30+'02'!U30+'02'!H77+'02'!U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6</v>
      </c>
      <c r="I22" s="18">
        <f>('01'!I30+'01'!V30+'01'!I77+'01'!V77)+('02'!I30+'02'!V30+'02'!I77+'02'!V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16</v>
      </c>
      <c r="J22" s="18">
        <f>('01'!J30+'01'!W30+'01'!J77+'01'!W77)+('02'!J30+'02'!W30+'02'!J77+'02'!W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8">
        <f>('01'!K30+'01'!X30+'01'!K77+'01'!X77)+('02'!K30+'02'!X30+'02'!K77+'02'!X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0</v>
      </c>
      <c r="L22" s="18">
        <f>('01'!L30+'01'!Y30+'01'!L77+'01'!Y77)+('02'!L30+'02'!Y30+'02'!L77+'02'!Y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 s="26">
        <f t="shared" si="0"/>
        <v>22</v>
      </c>
      <c r="N22" s="34">
        <f t="shared" si="1"/>
        <v>550</v>
      </c>
    </row>
    <row r="23" spans="2:14" ht="19.5" customHeight="1" x14ac:dyDescent="0.25">
      <c r="B23" s="33" t="s">
        <v>56</v>
      </c>
      <c r="C23" s="18">
        <f>('01'!C31+'01'!P31+'01'!C78+'01'!P78)+('02'!C31+'02'!P31+'02'!C78+'02'!P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8">
        <f>('01'!D31+'01'!Q31+'01'!D78+'01'!Q78)+('02'!D31+'02'!Q31+'02'!D78+'02'!Q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8">
        <f>('01'!E31+'01'!R31+'01'!E78+'01'!R78)+('02'!E31+'02'!R31+'02'!E78+'02'!R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8">
        <f>('01'!F31+'01'!S31+'01'!F78+'01'!S78)+('02'!F31+'02'!S31+'02'!F78+'02'!S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8">
        <f>('01'!G31+'01'!T31+'01'!G78+'01'!T78)+('02'!G31+'02'!T31+'02'!G78+'02'!T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17</v>
      </c>
      <c r="H23" s="18">
        <f>('01'!H31+'01'!U31+'01'!H78+'01'!U78)+('02'!H31+'02'!U31+'02'!H78+'02'!U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5</v>
      </c>
      <c r="I23" s="18">
        <f>('01'!I31+'01'!V31+'01'!I78+'01'!V78)+('02'!I31+'02'!V31+'02'!I78+'02'!V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8</v>
      </c>
      <c r="J23" s="18">
        <f>('01'!J31+'01'!W31+'01'!J78+'01'!W78)+('02'!J31+'02'!W31+'02'!J78+'02'!W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8">
        <f>('01'!K31+'01'!X31+'01'!K78+'01'!X78)+('02'!K31+'02'!X31+'02'!K78+'02'!X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0</v>
      </c>
      <c r="L23" s="18">
        <f>('01'!L31+'01'!Y31+'01'!L78+'01'!Y78)+('02'!L31+'02'!Y31+'02'!L78+'02'!Y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 s="26">
        <f t="shared" si="0"/>
        <v>30</v>
      </c>
      <c r="N23" s="34">
        <f t="shared" si="1"/>
        <v>750</v>
      </c>
    </row>
    <row r="24" spans="2:14" ht="19.5" customHeight="1" x14ac:dyDescent="0.25">
      <c r="B24" s="33" t="s">
        <v>58</v>
      </c>
      <c r="C24" s="18">
        <f>('01'!C32+'01'!P32+'01'!C79+'01'!P79)+('02'!C32+'02'!P32+'02'!C79+'02'!P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8">
        <f>('01'!D32+'01'!Q32+'01'!D79+'01'!Q79)+('02'!D32+'02'!Q32+'02'!D79+'02'!Q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8">
        <f>('01'!E32+'01'!R32+'01'!E79+'01'!R79)+('02'!E32+'02'!R32+'02'!E79+'02'!R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8">
        <f>('01'!F32+'01'!S32+'01'!F79+'01'!S79)+('02'!F32+'02'!S32+'02'!F79+'02'!S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5</v>
      </c>
      <c r="G24" s="18">
        <f>('01'!G32+'01'!T32+'01'!G79+'01'!T79)+('02'!G32+'02'!T32+'02'!G79+'02'!T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17</v>
      </c>
      <c r="H24" s="18">
        <f>('01'!H32+'01'!U32+'01'!H79+'01'!U79)+('02'!H32+'02'!U32+'02'!H79+'02'!U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8">
        <f>('01'!I32+'01'!V32+'01'!I79+'01'!V79)+('02'!I32+'02'!V32+'02'!I79+'02'!V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8">
        <f>('01'!J32+'01'!W32+'01'!J79+'01'!W79)+('02'!J32+'02'!W32+'02'!J79+'02'!W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8">
        <f>('01'!K32+'01'!X32+'01'!K79+'01'!X79)+('02'!K32+'02'!X32+'02'!K79+'02'!X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0</v>
      </c>
      <c r="L24" s="18">
        <f>('01'!L32+'01'!Y32+'01'!L79+'01'!Y79)+('02'!L32+'02'!Y32+'02'!L79+'02'!Y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 s="26">
        <f t="shared" si="0"/>
        <v>22</v>
      </c>
      <c r="N24" s="34">
        <f t="shared" si="1"/>
        <v>550</v>
      </c>
    </row>
    <row r="25" spans="2:14" ht="19.5" customHeight="1" x14ac:dyDescent="0.25">
      <c r="B25" s="33" t="s">
        <v>59</v>
      </c>
      <c r="C25" s="18">
        <f>('01'!C33+'01'!P33+'01'!C80+'01'!P80)+('02'!C33+'02'!P33+'02'!C80+'02'!P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8">
        <f>('01'!D33+'01'!Q33+'01'!D80+'01'!Q80)+('02'!D33+'02'!Q33+'02'!D80+'02'!Q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8">
        <f>('01'!E33+'01'!R33+'01'!E80+'01'!R80)+('02'!E33+'02'!R33+'02'!E80+'02'!R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8">
        <f>('01'!F33+'01'!S33+'01'!F80+'01'!S80)+('02'!F33+'02'!S33+'02'!F80+'02'!S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8">
        <f>('01'!G33+'01'!T33+'01'!G80+'01'!T80)+('02'!G33+'02'!T33+'02'!G80+'02'!T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8">
        <f>('01'!H33+'01'!U33+'01'!H80+'01'!U80)+('02'!H33+'02'!U33+'02'!H80+'02'!U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4</v>
      </c>
      <c r="I25" s="18">
        <f>('01'!I33+'01'!V33+'01'!I80+'01'!V80)+('02'!I33+'02'!V33+'02'!I80+'02'!V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9</v>
      </c>
      <c r="J25" s="18">
        <f>('01'!J33+'01'!W33+'01'!J80+'01'!W80)+('02'!J33+'02'!W33+'02'!J80+'02'!W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8">
        <f>('01'!K33+'01'!X33+'01'!K80+'01'!X80)+('02'!K33+'02'!X33+'02'!K80+'02'!X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0</v>
      </c>
      <c r="L25" s="18">
        <f>('01'!L33+'01'!Y33+'01'!L80+'01'!Y80)+('02'!L33+'02'!Y33+'02'!L80+'02'!Y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 s="26">
        <f t="shared" si="0"/>
        <v>13</v>
      </c>
      <c r="N25" s="34">
        <f t="shared" si="1"/>
        <v>325</v>
      </c>
    </row>
    <row r="26" spans="2:14" ht="19.5" customHeight="1" x14ac:dyDescent="0.25">
      <c r="B26" s="35" t="s">
        <v>60</v>
      </c>
      <c r="C26" s="36">
        <f>('01'!C34+'01'!P34+'01'!C81+'01'!P81)+('02'!C34+'02'!P34+'02'!C81+'02'!P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36">
        <f>('01'!D34+'01'!Q34+'01'!D81+'01'!Q81)+('02'!D34+'02'!Q34+'02'!D81+'02'!Q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36">
        <f>('01'!E34+'01'!R34+'01'!E81+'01'!R81)+('02'!E34+'02'!R34+'02'!E81+'02'!R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36">
        <f>('01'!F34+'01'!S34+'01'!F81+'01'!S81)+('02'!F34+'02'!S34+'02'!F81+'02'!S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36">
        <f>('01'!G34+'01'!T34+'01'!G81+'01'!T81)+('02'!G34+'02'!T34+'02'!G81+'02'!T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36">
        <f>('01'!H34+'01'!U34+'01'!H81+'01'!U81)+('02'!H34+'02'!U34+'02'!H81+'02'!U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0</v>
      </c>
      <c r="I26" s="36">
        <f>('01'!I34+'01'!V34+'01'!I81+'01'!V81)+('02'!I34+'02'!V34+'02'!I81+'02'!V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9</v>
      </c>
      <c r="J26" s="36">
        <f>('01'!J34+'01'!W34+'01'!J81+'01'!W81)+('02'!J34+'02'!W34+'02'!J81+'02'!W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36">
        <f>('01'!K34+'01'!X34+'01'!K81+'01'!X81)+('02'!K34+'02'!X34+'02'!K81+'02'!X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0</v>
      </c>
      <c r="L26" s="36">
        <f>('01'!L34+'01'!Y34+'01'!L81+'01'!Y81)+('02'!L34+'02'!Y34+'02'!L81+'02'!Y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37">
        <f t="shared" si="0"/>
        <v>9</v>
      </c>
      <c r="N26" s="38">
        <f t="shared" si="1"/>
        <v>225</v>
      </c>
    </row>
    <row r="27" spans="2:14" ht="19.5" customHeight="1" x14ac:dyDescent="0.25">
      <c r="B27" s="29" t="s">
        <v>61</v>
      </c>
      <c r="C27" s="30">
        <f>('01'!C35+'01'!P35+'01'!C82+'01'!P82)+('02'!C35+'02'!P35+'02'!C82+'02'!P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0">
        <f>('01'!D35+'01'!Q35+'01'!D82+'01'!Q82)+('02'!D35+'02'!Q35+'02'!D82+'02'!Q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0">
        <f>('01'!E35+'01'!R35+'01'!E82+'01'!R82)+('02'!E35+'02'!R35+'02'!E82+'02'!R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0">
        <f>('01'!F35+'01'!S35+'01'!F82+'01'!S82)+('02'!F35+'02'!S35+'02'!F82+'02'!S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0">
        <f>('01'!G35+'01'!T35+'01'!G82+'01'!T82)+('02'!G35+'02'!T35+'02'!G82+'02'!T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0</v>
      </c>
      <c r="H27" s="30">
        <f>('01'!H35+'01'!U35+'01'!H82+'01'!U82)+('02'!H35+'02'!U35+'02'!H82+'02'!U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4</v>
      </c>
      <c r="I27" s="30">
        <f>('01'!I35+'01'!V35+'01'!I82+'01'!V82)+('02'!I35+'02'!V35+'02'!I82+'02'!V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9</v>
      </c>
      <c r="J27" s="30">
        <f>('01'!J35+'01'!W35+'01'!J82+'01'!W82)+('02'!J35+'02'!W35+'02'!J82+'02'!W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0">
        <f>('01'!K35+'01'!X35+'01'!K82+'01'!X82)+('02'!K35+'02'!X35+'02'!K82+'02'!X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0</v>
      </c>
      <c r="L27" s="30">
        <f>('01'!L35+'01'!Y35+'01'!L82+'01'!Y82)+('02'!L35+'02'!Y35+'02'!L82+'02'!Y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1">
        <f t="shared" si="0"/>
        <v>13</v>
      </c>
      <c r="N27" s="32">
        <f t="shared" si="1"/>
        <v>325</v>
      </c>
    </row>
    <row r="28" spans="2:14" ht="19.5" customHeight="1" x14ac:dyDescent="0.25">
      <c r="B28" s="33" t="s">
        <v>62</v>
      </c>
      <c r="C28" s="18">
        <f>('01'!C36+'01'!P36+'01'!C83+'01'!P83)+('02'!C36+'02'!P36+'02'!C83+'02'!P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8">
        <f>('01'!D36+'01'!Q36+'01'!D83+'01'!Q83)+('02'!D36+'02'!Q36+'02'!D83+'02'!Q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8">
        <f>('01'!E36+'01'!R36+'01'!E83+'01'!R83)+('02'!E36+'02'!R36+'02'!E83+'02'!R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8">
        <f>('01'!F36+'01'!S36+'01'!F83+'01'!S83)+('02'!F36+'02'!S36+'02'!F83+'02'!S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8">
        <f>('01'!G36+'01'!T36+'01'!G83+'01'!T83)+('02'!G36+'02'!T36+'02'!G83+'02'!T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0</v>
      </c>
      <c r="H28" s="18">
        <f>('01'!H36+'01'!U36+'01'!H83+'01'!U83)+('02'!H36+'02'!U36+'02'!H83+'02'!U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9</v>
      </c>
      <c r="I28" s="18">
        <f>('01'!I36+'01'!V36+'01'!I83+'01'!V83)+('02'!I36+'02'!V36+'02'!I83+'02'!V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8</v>
      </c>
      <c r="J28" s="18">
        <f>('01'!J36+'01'!W36+'01'!J83+'01'!W83)+('02'!J36+'02'!W36+'02'!J83+'02'!W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8">
        <f>('01'!K36+'01'!X36+'01'!K83+'01'!X83)+('02'!K36+'02'!X36+'02'!K83+'02'!X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0</v>
      </c>
      <c r="L28" s="18">
        <f>('01'!L36+'01'!Y36+'01'!L83+'01'!Y83)+('02'!L36+'02'!Y36+'02'!L83+'02'!Y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 s="26">
        <f t="shared" si="0"/>
        <v>17</v>
      </c>
      <c r="N28" s="34">
        <f t="shared" si="1"/>
        <v>425</v>
      </c>
    </row>
    <row r="29" spans="2:14" ht="19.5" customHeight="1" x14ac:dyDescent="0.25">
      <c r="B29" s="33" t="s">
        <v>63</v>
      </c>
      <c r="C29" s="18">
        <f>('01'!C37+'01'!P37+'01'!C84+'01'!P84)+('02'!C37+'02'!P37+'02'!C84+'02'!P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8">
        <f>('01'!D37+'01'!Q37+'01'!D84+'01'!Q84)+('02'!D37+'02'!Q37+'02'!D84+'02'!Q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8">
        <f>('01'!E37+'01'!R37+'01'!E84+'01'!R84)+('02'!E37+'02'!R37+'02'!E84+'02'!R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8">
        <f>('01'!F37+'01'!S37+'01'!F84+'01'!S84)+('02'!F37+'02'!S37+'02'!F84+'02'!S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8">
        <f>('01'!G37+'01'!T37+'01'!G84+'01'!T84)+('02'!G37+'02'!T37+'02'!G84+'02'!T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12</v>
      </c>
      <c r="H29" s="18">
        <f>('01'!H37+'01'!U37+'01'!H84+'01'!U84)+('02'!H37+'02'!U37+'02'!H84+'02'!U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8">
        <f>('01'!I37+'01'!V37+'01'!I84+'01'!V84)+('02'!I37+'02'!V37+'02'!I84+'02'!V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4</v>
      </c>
      <c r="J29" s="18">
        <f>('01'!J37+'01'!W37+'01'!J84+'01'!W84)+('02'!J37+'02'!W37+'02'!J84+'02'!W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8">
        <f>('01'!K37+'01'!X37+'01'!K84+'01'!X84)+('02'!K37+'02'!X37+'02'!K84+'02'!X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8">
        <f>('01'!L37+'01'!Y37+'01'!L84+'01'!Y84)+('02'!L37+'02'!Y37+'02'!L84+'02'!Y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 s="26">
        <f t="shared" si="0"/>
        <v>16</v>
      </c>
      <c r="N29" s="34">
        <f t="shared" si="1"/>
        <v>400</v>
      </c>
    </row>
    <row r="30" spans="2:14" ht="19.5" customHeight="1" x14ac:dyDescent="0.25">
      <c r="B30" s="33" t="s">
        <v>64</v>
      </c>
      <c r="C30" s="18">
        <f>('01'!C38+'01'!P38+'01'!C85+'01'!P85)+('02'!C38+'02'!P38+'02'!C85+'02'!P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8">
        <f>('01'!D38+'01'!Q38+'01'!D85+'01'!Q85)+('02'!D38+'02'!Q38+'02'!D85+'02'!Q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8">
        <f>('01'!E38+'01'!R38+'01'!E85+'01'!R85)+('02'!E38+'02'!R38+'02'!E85+'02'!R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8">
        <f>('01'!F38+'01'!S38+'01'!F85+'01'!S85)+('02'!F38+'02'!S38+'02'!F85+'02'!S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8">
        <f>('01'!G38+'01'!T38+'01'!G85+'01'!T85)+('02'!G38+'02'!T38+'02'!G85+'02'!T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12</v>
      </c>
      <c r="H30" s="18">
        <f>('01'!H38+'01'!U38+'01'!H85+'01'!U85)+('02'!H38+'02'!U38+'02'!H85+'02'!U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8">
        <f>('01'!I38+'01'!V38+'01'!I85+'01'!V85)+('02'!I38+'02'!V38+'02'!I85+'02'!V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4</v>
      </c>
      <c r="J30" s="18">
        <f>('01'!J38+'01'!W38+'01'!J85+'01'!W85)+('02'!J38+'02'!W38+'02'!J85+'02'!W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8">
        <f>('01'!K38+'01'!X38+'01'!K85+'01'!X85)+('02'!K38+'02'!X38+'02'!K85+'02'!X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8">
        <f>('01'!L38+'01'!Y38+'01'!L85+'01'!Y85)+('02'!L38+'02'!Y38+'02'!L85+'02'!Y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 s="26">
        <f t="shared" si="0"/>
        <v>16</v>
      </c>
      <c r="N30" s="34">
        <f t="shared" si="1"/>
        <v>400</v>
      </c>
    </row>
    <row r="31" spans="2:14" ht="19.5" customHeight="1" x14ac:dyDescent="0.25">
      <c r="B31" s="33" t="s">
        <v>65</v>
      </c>
      <c r="C31" s="18">
        <f>('01'!C39+'01'!P39+'01'!C86+'01'!P86)+('02'!C39+'02'!P39+'02'!C86+'02'!P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8">
        <f>('01'!D39+'01'!Q39+'01'!D86+'01'!Q86)+('02'!D39+'02'!Q39+'02'!D86+'02'!Q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8">
        <f>('01'!E39+'01'!R39+'01'!E86+'01'!R86)+('02'!E39+'02'!R39+'02'!E86+'02'!R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8">
        <f>('01'!F39+'01'!S39+'01'!F86+'01'!S86)+('02'!F39+'02'!S39+'02'!F86+'02'!S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8">
        <f>('01'!G39+'01'!T39+'01'!G86+'01'!T86)+('02'!G39+'02'!T39+'02'!G86+'02'!T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0</v>
      </c>
      <c r="H31" s="18">
        <f>('01'!H39+'01'!U39+'01'!H86+'01'!U86)+('02'!H39+'02'!U39+'02'!H86+'02'!U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8">
        <f>('01'!I39+'01'!V39+'01'!I86+'01'!V86)+('02'!I39+'02'!V39+'02'!I86+'02'!V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8</v>
      </c>
      <c r="J31" s="18">
        <f>('01'!J39+'01'!W39+'01'!J86+'01'!W86)+('02'!J39+'02'!W39+'02'!J86+'02'!W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8">
        <f>('01'!K39+'01'!X39+'01'!K86+'01'!X86)+('02'!K39+'02'!X39+'02'!K86+'02'!X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8">
        <f>('01'!L39+'01'!Y39+'01'!L86+'01'!Y86)+('02'!L39+'02'!Y39+'02'!L86+'02'!Y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 s="26">
        <f t="shared" si="0"/>
        <v>8</v>
      </c>
      <c r="N31" s="34">
        <f t="shared" si="1"/>
        <v>200</v>
      </c>
    </row>
    <row r="32" spans="2:14" ht="19.5" customHeight="1" x14ac:dyDescent="0.25">
      <c r="B32" s="35" t="s">
        <v>66</v>
      </c>
      <c r="C32" s="36">
        <f>('01'!C40+'01'!P40+'01'!C87+'01'!P87)+('02'!C40+'02'!P40+'02'!C87+'02'!P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36">
        <f>('01'!D40+'01'!Q40+'01'!D87+'01'!Q87)+('02'!D40+'02'!Q40+'02'!D87+'02'!Q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36">
        <f>('01'!E40+'01'!R40+'01'!E87+'01'!R87)+('02'!E40+'02'!R40+'02'!E87+'02'!R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36">
        <f>('01'!F40+'01'!S40+'01'!F87+'01'!S87)+('02'!F40+'02'!S40+'02'!F87+'02'!S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36">
        <f>('01'!G40+'01'!T40+'01'!G87+'01'!T87)+('02'!G40+'02'!T40+'02'!G87+'02'!T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0</v>
      </c>
      <c r="H32" s="36">
        <f>('01'!H40+'01'!U40+'01'!H87+'01'!U87)+('02'!H40+'02'!U40+'02'!H87+'02'!U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5</v>
      </c>
      <c r="I32" s="36">
        <f>('01'!I40+'01'!V40+'01'!I87+'01'!V87)+('02'!I40+'02'!V40+'02'!I87+'02'!V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0</v>
      </c>
      <c r="J32" s="36">
        <f>('01'!J40+'01'!W40+'01'!J87+'01'!W87)+('02'!J40+'02'!W40+'02'!J87+'02'!W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36">
        <f>('01'!K40+'01'!X40+'01'!K87+'01'!X87)+('02'!K40+'02'!X40+'02'!K87+'02'!X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36">
        <f>('01'!L40+'01'!Y40+'01'!L87+'01'!Y87)+('02'!L40+'02'!Y40+'02'!L87+'02'!Y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37">
        <f t="shared" si="0"/>
        <v>5</v>
      </c>
      <c r="N32" s="38">
        <f t="shared" si="1"/>
        <v>125</v>
      </c>
    </row>
    <row r="33" spans="2:14" ht="19.5" customHeight="1" x14ac:dyDescent="0.25">
      <c r="B33" s="29" t="s">
        <v>67</v>
      </c>
      <c r="C33" s="30">
        <f>('01'!C41+'01'!P41+'01'!C88+'01'!P88)+('02'!C41+'02'!P41+'02'!C88+'02'!P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0">
        <f>('01'!D41+'01'!Q41+'01'!D88+'01'!Q88)+('02'!D41+'02'!Q41+'02'!D88+'02'!Q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0">
        <f>('01'!E41+'01'!R41+'01'!E88+'01'!R88)+('02'!E41+'02'!R41+'02'!E88+'02'!R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0">
        <f>('01'!F41+'01'!S41+'01'!F88+'01'!S88)+('02'!F41+'02'!S41+'02'!F88+'02'!S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0">
        <f>('01'!G41+'01'!T41+'01'!G88+'01'!T88)+('02'!G41+'02'!T41+'02'!G88+'02'!T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0">
        <f>('01'!H41+'01'!U41+'01'!H88+'01'!U88)+('02'!H41+'02'!U41+'02'!H88+'02'!U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0</v>
      </c>
      <c r="I33" s="30">
        <f>('01'!I41+'01'!V41+'01'!I88+'01'!V88)+('02'!I41+'02'!V41+'02'!I88+'02'!V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4</v>
      </c>
      <c r="J33" s="30">
        <f>('01'!J41+'01'!W41+'01'!J88+'01'!W88)+('02'!J41+'02'!W41+'02'!J88+'02'!W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0">
        <f>('01'!K41+'01'!X41+'01'!K88+'01'!X88)+('02'!K41+'02'!X41+'02'!K88+'02'!X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0">
        <f>('01'!L41+'01'!Y41+'01'!L88+'01'!Y88)+('02'!L41+'02'!Y41+'02'!L88+'02'!Y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1">
        <f t="shared" si="0"/>
        <v>4</v>
      </c>
      <c r="N33" s="32">
        <f t="shared" si="1"/>
        <v>100</v>
      </c>
    </row>
    <row r="34" spans="2:14" ht="19.5" customHeight="1" x14ac:dyDescent="0.25">
      <c r="B34" s="33" t="s">
        <v>68</v>
      </c>
      <c r="C34" s="18">
        <f>('01'!C42+'01'!P42+'01'!C89+'01'!P89)+('02'!C42+'02'!P42+'02'!C89+'02'!P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8">
        <f>('01'!D42+'01'!Q42+'01'!D89+'01'!Q89)+('02'!D42+'02'!Q42+'02'!D89+'02'!Q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8">
        <f>('01'!E42+'01'!R42+'01'!E89+'01'!R89)+('02'!E42+'02'!R42+'02'!E89+'02'!R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8">
        <f>('01'!F42+'01'!S42+'01'!F89+'01'!S89)+('02'!F42+'02'!S42+'02'!F89+'02'!S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8">
        <f>('01'!G42+'01'!T42+'01'!G89+'01'!T89)+('02'!G42+'02'!T42+'02'!G89+'02'!T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8">
        <f>('01'!H42+'01'!U42+'01'!H89+'01'!U89)+('02'!H42+'02'!U42+'02'!H89+'02'!U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8">
        <f>('01'!I42+'01'!V42+'01'!I89+'01'!V89)+('02'!I42+'02'!V42+'02'!I89+'02'!V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9</v>
      </c>
      <c r="J34" s="18">
        <f>('01'!J42+'01'!W42+'01'!J89+'01'!W89)+('02'!J42+'02'!W42+'02'!J89+'02'!W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8">
        <f>('01'!K42+'01'!X42+'01'!K89+'01'!X89)+('02'!K42+'02'!X42+'02'!K89+'02'!X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8">
        <f>('01'!L42+'01'!Y42+'01'!L89+'01'!Y89)+('02'!L42+'02'!Y42+'02'!L89+'02'!Y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 s="26">
        <f t="shared" si="0"/>
        <v>9</v>
      </c>
      <c r="N34" s="34">
        <f t="shared" si="1"/>
        <v>225</v>
      </c>
    </row>
    <row r="35" spans="2:14" ht="19.5" customHeight="1" x14ac:dyDescent="0.25">
      <c r="B35" s="33" t="s">
        <v>69</v>
      </c>
      <c r="C35" s="18">
        <f>('01'!C43+'01'!P43+'01'!C90+'01'!P90)+('02'!C43+'02'!P43+'02'!C90+'02'!P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8">
        <f>('01'!D43+'01'!Q43+'01'!D90+'01'!Q90)+('02'!D43+'02'!Q43+'02'!D90+'02'!Q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8">
        <f>('01'!E43+'01'!R43+'01'!E90+'01'!R90)+('02'!E43+'02'!R43+'02'!E90+'02'!R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8">
        <f>('01'!F43+'01'!S43+'01'!F90+'01'!S90)+('02'!F43+'02'!S43+'02'!F90+'02'!S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8">
        <f>('01'!G43+'01'!T43+'01'!G90+'01'!T90)+('02'!G43+'02'!T43+'02'!G90+'02'!T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8">
        <f>('01'!H43+'01'!U43+'01'!H90+'01'!U90)+('02'!H43+'02'!U43+'02'!H90+'02'!U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8">
        <f>('01'!I43+'01'!V43+'01'!I90+'01'!V90)+('02'!I43+'02'!V43+'02'!I90+'02'!V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13</v>
      </c>
      <c r="J35" s="18">
        <f>('01'!J43+'01'!W43+'01'!J90+'01'!W90)+('02'!J43+'02'!W43+'02'!J90+'02'!W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8">
        <f>('01'!K43+'01'!X43+'01'!K90+'01'!X90)+('02'!K43+'02'!X43+'02'!K90+'02'!X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8">
        <f>('01'!L43+'01'!Y43+'01'!L90+'01'!Y90)+('02'!L43+'02'!Y43+'02'!L90+'02'!Y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 s="26">
        <f t="shared" si="0"/>
        <v>13</v>
      </c>
      <c r="N35" s="34">
        <f t="shared" si="1"/>
        <v>325</v>
      </c>
    </row>
    <row r="36" spans="2:14" ht="19.5" customHeight="1" x14ac:dyDescent="0.25">
      <c r="B36" s="33" t="s">
        <v>70</v>
      </c>
      <c r="C36" s="18">
        <f>('01'!C44+'01'!P44+'01'!C91+'01'!P91)+('02'!C44+'02'!P44+'02'!C91+'02'!P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8">
        <f>('01'!D44+'01'!Q44+'01'!D91+'01'!Q91)+('02'!D44+'02'!Q44+'02'!D91+'02'!Q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8">
        <f>('01'!E44+'01'!R44+'01'!E91+'01'!R91)+('02'!E44+'02'!R44+'02'!E91+'02'!R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8">
        <f>('01'!F44+'01'!S44+'01'!F91+'01'!S91)+('02'!F44+'02'!S44+'02'!F91+'02'!S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8">
        <f>('01'!G44+'01'!T44+'01'!G91+'01'!T91)+('02'!G44+'02'!T44+'02'!G91+'02'!T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8">
        <f>('01'!H44+'01'!U44+'01'!H91+'01'!U91)+('02'!H44+'02'!U44+'02'!H91+'02'!U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8">
        <f>('01'!I44+'01'!V44+'01'!I91+'01'!V91)+('02'!I44+'02'!V44+'02'!I91+'02'!V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5</v>
      </c>
      <c r="J36" s="18">
        <f>('01'!J44+'01'!W44+'01'!J91+'01'!W91)+('02'!J44+'02'!W44+'02'!J91+'02'!W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8">
        <f>('01'!K44+'01'!X44+'01'!K91+'01'!X91)+('02'!K44+'02'!X44+'02'!K91+'02'!X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8">
        <f>('01'!L44+'01'!Y44+'01'!L91+'01'!Y91)+('02'!L44+'02'!Y44+'02'!L91+'02'!Y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 s="26">
        <f t="shared" si="0"/>
        <v>5</v>
      </c>
      <c r="N36" s="34">
        <f t="shared" si="1"/>
        <v>125</v>
      </c>
    </row>
    <row r="37" spans="2:14" ht="19.5" customHeight="1" x14ac:dyDescent="0.25">
      <c r="B37" s="33" t="s">
        <v>72</v>
      </c>
      <c r="C37" s="18">
        <f>('01'!C45+'01'!P45+'01'!C92+'01'!P92)+('02'!C45+'02'!P45+'02'!C92+'02'!P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8">
        <f>('01'!D45+'01'!Q45+'01'!D92+'01'!Q92)+('02'!D45+'02'!Q45+'02'!D92+'02'!Q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8">
        <f>('01'!E45+'01'!R45+'01'!E92+'01'!R92)+('02'!E45+'02'!R45+'02'!E92+'02'!R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8">
        <f>('01'!F45+'01'!S45+'01'!F92+'01'!S92)+('02'!F45+'02'!S45+'02'!F92+'02'!S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8">
        <f>('01'!G45+'01'!T45+'01'!G92+'01'!T92)+('02'!G45+'02'!T45+'02'!G92+'02'!T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8">
        <f>('01'!H45+'01'!U45+'01'!H92+'01'!U92)+('02'!H45+'02'!U45+'02'!H92+'02'!U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6</v>
      </c>
      <c r="I37" s="18">
        <f>('01'!I45+'01'!V45+'01'!I92+'01'!V92)+('02'!I45+'02'!V45+'02'!I92+'02'!V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8</v>
      </c>
      <c r="J37" s="18">
        <f>('01'!J45+'01'!W45+'01'!J92+'01'!W92)+('02'!J45+'02'!W45+'02'!J92+'02'!W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8">
        <f>('01'!K45+'01'!X45+'01'!K92+'01'!X92)+('02'!K45+'02'!X45+'02'!K92+'02'!X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0</v>
      </c>
      <c r="L37" s="18">
        <f>('01'!L45+'01'!Y45+'01'!L92+'01'!Y92)+('02'!L45+'02'!Y45+'02'!L92+'02'!Y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 s="26">
        <f t="shared" si="0"/>
        <v>14</v>
      </c>
      <c r="N37" s="34">
        <f t="shared" si="1"/>
        <v>350</v>
      </c>
    </row>
    <row r="38" spans="2:14" ht="19.5" customHeight="1" x14ac:dyDescent="0.25">
      <c r="B38" s="33" t="s">
        <v>74</v>
      </c>
      <c r="C38" s="18">
        <f>('01'!C46+'01'!P46+'01'!C93+'01'!P93)+('02'!C46+'02'!P46+'02'!C93+'02'!P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8">
        <f>('01'!D46+'01'!Q46+'01'!D93+'01'!Q93)+('02'!D46+'02'!Q46+'02'!D93+'02'!Q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8">
        <f>('01'!E46+'01'!R46+'01'!E93+'01'!R93)+('02'!E46+'02'!R46+'02'!E93+'02'!R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12</v>
      </c>
      <c r="F38" s="18">
        <f>('01'!F46+'01'!S46+'01'!F93+'01'!S93)+('02'!F46+'02'!S46+'02'!F93+'02'!S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8">
        <f>('01'!G46+'01'!T46+'01'!G93+'01'!T93)+('02'!G46+'02'!T46+'02'!G93+'02'!T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12</v>
      </c>
      <c r="H38" s="18">
        <f>('01'!H46+'01'!U46+'01'!H93+'01'!U93)+('02'!H46+'02'!U46+'02'!H93+'02'!U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8">
        <f>('01'!I46+'01'!V46+'01'!I93+'01'!V93)+('02'!I46+'02'!V46+'02'!I93+'02'!V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8">
        <f>('01'!J46+'01'!W46+'01'!J93+'01'!W93)+('02'!J46+'02'!W46+'02'!J93+'02'!W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8">
        <f>('01'!K46+'01'!X46+'01'!K93+'01'!X93)+('02'!K46+'02'!X46+'02'!K93+'02'!X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8">
        <f>('01'!L46+'01'!Y46+'01'!L93+'01'!Y93)+('02'!L46+'02'!Y46+'02'!L93+'02'!Y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 s="26">
        <f t="shared" si="0"/>
        <v>24</v>
      </c>
      <c r="N38" s="34">
        <f t="shared" si="1"/>
        <v>600</v>
      </c>
    </row>
    <row r="39" spans="2:14" ht="19.5" customHeight="1" x14ac:dyDescent="0.25">
      <c r="B39" s="35" t="s">
        <v>75</v>
      </c>
      <c r="C39" s="36">
        <f>('01'!C47+'01'!P47+'01'!C94+'01'!P94)+('02'!C47+'02'!P47+'02'!C94+'02'!P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36">
        <f>('01'!D47+'01'!Q47+'01'!D94+'01'!Q94)+('02'!D47+'02'!Q47+'02'!D94+'02'!Q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36">
        <f>('01'!E47+'01'!R47+'01'!E94+'01'!R94)+('02'!E47+'02'!R47+'02'!E94+'02'!R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36">
        <f>('01'!F47+'01'!S47+'01'!F94+'01'!S94)+('02'!F47+'02'!S47+'02'!F94+'02'!S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36">
        <f>('01'!G47+'01'!T47+'01'!G94+'01'!T94)+('02'!G47+'02'!T47+'02'!G94+'02'!T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12</v>
      </c>
      <c r="H39" s="36">
        <f>('01'!H47+'01'!U47+'01'!H94+'01'!U94)+('02'!H47+'02'!U47+'02'!H94+'02'!U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36">
        <f>('01'!I47+'01'!V47+'01'!I94+'01'!V94)+('02'!I47+'02'!V47+'02'!I94+'02'!V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36">
        <f>('01'!J47+'01'!W47+'01'!J94+'01'!W94)+('02'!J47+'02'!W47+'02'!J94+'02'!W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36">
        <f>('01'!K47+'01'!X47+'01'!K94+'01'!X94)+('02'!K47+'02'!X47+'02'!K94+'02'!X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36">
        <f>('01'!L47+'01'!Y47+'01'!L94+'01'!Y94)+('02'!L47+'02'!Y47+'02'!L94+'02'!Y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37">
        <f t="shared" si="0"/>
        <v>12</v>
      </c>
      <c r="N39" s="38">
        <f t="shared" si="1"/>
        <v>300</v>
      </c>
    </row>
    <row r="40" spans="2:14" ht="19.5" customHeight="1" x14ac:dyDescent="0.25">
      <c r="B40" s="39" t="s">
        <v>77</v>
      </c>
      <c r="C40" s="30">
        <f>('01'!C48+'01'!P48+'01'!C95+'01'!P95)+('02'!C48+'02'!P48+'02'!C95+'02'!P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1</v>
      </c>
      <c r="D40" s="30">
        <f>('01'!D48+'01'!Q48+'01'!D95+'01'!Q95)+('02'!D48+'02'!Q48+'02'!D95+'02'!Q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0">
        <f>('01'!E48+'01'!R48+'01'!E95+'01'!R95)+('02'!E48+'02'!R48+'02'!E95+'02'!R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0">
        <f>('01'!F48+'01'!S48+'01'!F95+'01'!S95)+('02'!F48+'02'!S48+'02'!F95+'02'!S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0">
        <f>('01'!G48+'01'!T48+'01'!G95+'01'!T95)+('02'!G48+'02'!T48+'02'!G95+'02'!T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0">
        <f>('01'!H48+'01'!U48+'01'!H95+'01'!U95)+('02'!H48+'02'!U48+'02'!H95+'02'!U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0">
        <f>('01'!I48+'01'!V48+'01'!I95+'01'!V95)+('02'!I48+'02'!V48+'02'!I95+'02'!V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0">
        <f>('01'!J48+'01'!W48+'01'!J95+'01'!W95)+('02'!J48+'02'!W48+'02'!J95+'02'!W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0">
        <f>('01'!K48+'01'!X48+'01'!K95+'01'!X95)+('02'!K48+'02'!X48+'02'!K95+'02'!X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0">
        <f>('01'!L48+'01'!Y48+'01'!L95+'01'!Y95)+('02'!L48+'02'!Y48+'02'!L95+'02'!Y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1">
        <f t="shared" si="0"/>
        <v>1</v>
      </c>
      <c r="N40" s="32">
        <f t="shared" si="1"/>
        <v>25</v>
      </c>
    </row>
    <row r="41" spans="2:14" ht="19.5" customHeight="1" x14ac:dyDescent="0.25">
      <c r="B41" s="35" t="s">
        <v>79</v>
      </c>
      <c r="C41" s="36">
        <f>('01'!C49+'01'!P49+'01'!C96+'01'!P96)+('02'!C49+'02'!P49+'02'!C96+'02'!P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36">
        <f>('01'!D49+'01'!Q49+'01'!D96+'01'!Q96)+('02'!D49+'02'!Q49+'02'!D96+'02'!Q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36">
        <f>('01'!E49+'01'!R49+'01'!E96+'01'!R96)+('02'!E49+'02'!R49+'02'!E96+'02'!R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36">
        <f>('01'!F49+'01'!S49+'01'!F96+'01'!S96)+('02'!F49+'02'!S49+'02'!F96+'02'!S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36">
        <f>('01'!G49+'01'!T49+'01'!G96+'01'!T96)+('02'!G49+'02'!T49+'02'!G96+'02'!T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36">
        <f>('01'!H49+'01'!U49+'01'!H96+'01'!U96)+('02'!H49+'02'!U49+'02'!H96+'02'!U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36">
        <f>('01'!I49+'01'!V49+'01'!I96+'01'!V96)+('02'!I49+'02'!V49+'02'!I96+'02'!V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36">
        <f>('01'!J49+'01'!W49+'01'!J96+'01'!W96)+('02'!J49+'02'!W49+'02'!J96+'02'!W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36">
        <f>('01'!K49+'01'!X49+'01'!K96+'01'!X96)+('02'!K49+'02'!X49+'02'!K96+'02'!X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36">
        <f>('01'!L49+'01'!Y49+'01'!L96+'01'!Y96)+('02'!L49+'02'!Y49+'02'!L96+'02'!Y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37">
        <f t="shared" si="0"/>
        <v>0</v>
      </c>
      <c r="N41" s="38">
        <f t="shared" si="1"/>
        <v>0</v>
      </c>
    </row>
    <row r="42" spans="2:14" ht="15.75" customHeight="1" x14ac:dyDescent="0.25">
      <c r="N42" s="26">
        <f>SUM(N3:N41)</f>
        <v>11000</v>
      </c>
    </row>
    <row r="43" spans="2:14" ht="15.75" customHeight="1" x14ac:dyDescent="0.25"/>
    <row r="44" spans="2:14" ht="15.75" customHeight="1" x14ac:dyDescent="0.25"/>
    <row r="45" spans="2:14" ht="15.75" customHeight="1" x14ac:dyDescent="0.25"/>
    <row r="46" spans="2:14" ht="15.75" customHeight="1" x14ac:dyDescent="0.25"/>
    <row r="47" spans="2:14" ht="15.75" customHeight="1" x14ac:dyDescent="0.25"/>
    <row r="48" spans="2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1000"/>
  <sheetViews>
    <sheetView workbookViewId="0">
      <selection activeCell="D11" sqref="D11"/>
    </sheetView>
  </sheetViews>
  <sheetFormatPr baseColWidth="10" defaultColWidth="14.42578125" defaultRowHeight="15" customHeight="1" x14ac:dyDescent="0.25"/>
  <cols>
    <col min="1" max="1" width="17.5703125" customWidth="1"/>
    <col min="2" max="2" width="19" customWidth="1"/>
    <col min="3" max="4" width="23.42578125" customWidth="1"/>
    <col min="5" max="5" width="23.85546875" customWidth="1"/>
    <col min="6" max="6" width="24.7109375" customWidth="1"/>
    <col min="7" max="7" width="23.7109375" customWidth="1"/>
    <col min="8" max="9" width="22.140625" customWidth="1"/>
    <col min="10" max="10" width="25.5703125" customWidth="1"/>
    <col min="11" max="12" width="35.85546875" customWidth="1"/>
    <col min="13" max="13" width="33.85546875" customWidth="1"/>
    <col min="14" max="26" width="10.7109375" customWidth="1"/>
  </cols>
  <sheetData>
    <row r="3" spans="1:13" x14ac:dyDescent="0.25">
      <c r="A3" s="79"/>
      <c r="B3" s="80" t="s">
        <v>119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x14ac:dyDescent="0.25">
      <c r="A4" s="80" t="s">
        <v>85</v>
      </c>
      <c r="B4" s="79" t="s">
        <v>86</v>
      </c>
      <c r="C4" s="83" t="s">
        <v>87</v>
      </c>
      <c r="D4" s="83" t="s">
        <v>88</v>
      </c>
      <c r="E4" s="83" t="s">
        <v>89</v>
      </c>
      <c r="F4" s="83" t="s">
        <v>90</v>
      </c>
      <c r="G4" s="83" t="s">
        <v>91</v>
      </c>
      <c r="H4" s="83" t="s">
        <v>92</v>
      </c>
      <c r="I4" s="83" t="s">
        <v>93</v>
      </c>
      <c r="J4" s="83" t="s">
        <v>94</v>
      </c>
      <c r="K4" s="83" t="s">
        <v>95</v>
      </c>
      <c r="L4" s="83" t="s">
        <v>96</v>
      </c>
      <c r="M4" s="84" t="s">
        <v>97</v>
      </c>
    </row>
    <row r="5" spans="1:13" x14ac:dyDescent="0.25">
      <c r="A5" s="79" t="s">
        <v>34</v>
      </c>
      <c r="B5" s="145"/>
      <c r="C5" s="146"/>
      <c r="D5" s="146">
        <v>0</v>
      </c>
      <c r="E5" s="146">
        <v>0</v>
      </c>
      <c r="F5" s="146">
        <v>300</v>
      </c>
      <c r="G5" s="146">
        <v>0</v>
      </c>
      <c r="H5" s="146">
        <v>75</v>
      </c>
      <c r="I5" s="146">
        <v>0</v>
      </c>
      <c r="J5" s="146">
        <v>0</v>
      </c>
      <c r="K5" s="146">
        <v>0</v>
      </c>
      <c r="L5" s="146">
        <v>0</v>
      </c>
      <c r="M5" s="147">
        <v>0</v>
      </c>
    </row>
    <row r="6" spans="1:13" x14ac:dyDescent="0.25">
      <c r="A6" s="85" t="s">
        <v>28</v>
      </c>
      <c r="B6" s="148"/>
      <c r="C6" s="149"/>
      <c r="D6" s="149">
        <v>0</v>
      </c>
      <c r="E6" s="149">
        <v>0</v>
      </c>
      <c r="F6" s="149">
        <v>600</v>
      </c>
      <c r="G6" s="149">
        <v>0</v>
      </c>
      <c r="H6" s="149">
        <v>0</v>
      </c>
      <c r="I6" s="149">
        <v>0</v>
      </c>
      <c r="J6" s="149">
        <v>0</v>
      </c>
      <c r="K6" s="149">
        <v>0</v>
      </c>
      <c r="L6" s="149">
        <v>0</v>
      </c>
      <c r="M6" s="150">
        <v>0</v>
      </c>
    </row>
    <row r="7" spans="1:13" x14ac:dyDescent="0.25">
      <c r="A7" s="85" t="s">
        <v>49</v>
      </c>
      <c r="B7" s="148"/>
      <c r="C7" s="149"/>
      <c r="D7" s="149">
        <v>0</v>
      </c>
      <c r="E7" s="149">
        <v>0</v>
      </c>
      <c r="F7" s="149">
        <v>0</v>
      </c>
      <c r="G7" s="149">
        <v>0</v>
      </c>
      <c r="H7" s="149">
        <v>300</v>
      </c>
      <c r="I7" s="149">
        <v>150</v>
      </c>
      <c r="J7" s="149">
        <v>200</v>
      </c>
      <c r="K7" s="149">
        <v>0</v>
      </c>
      <c r="L7" s="149">
        <v>0</v>
      </c>
      <c r="M7" s="150">
        <v>0</v>
      </c>
    </row>
    <row r="8" spans="1:13" x14ac:dyDescent="0.25">
      <c r="A8" s="85" t="s">
        <v>36</v>
      </c>
      <c r="B8" s="148"/>
      <c r="C8" s="149"/>
      <c r="D8" s="149">
        <v>0</v>
      </c>
      <c r="E8" s="149">
        <v>0</v>
      </c>
      <c r="F8" s="149">
        <v>0</v>
      </c>
      <c r="G8" s="149">
        <v>0</v>
      </c>
      <c r="H8" s="149">
        <v>0</v>
      </c>
      <c r="I8" s="149">
        <v>100</v>
      </c>
      <c r="J8" s="149">
        <v>125</v>
      </c>
      <c r="K8" s="149">
        <v>0</v>
      </c>
      <c r="L8" s="149">
        <v>0</v>
      </c>
      <c r="M8" s="150">
        <v>0</v>
      </c>
    </row>
    <row r="9" spans="1:13" x14ac:dyDescent="0.25">
      <c r="A9" s="85" t="s">
        <v>76</v>
      </c>
      <c r="B9" s="148"/>
      <c r="C9" s="149">
        <v>0</v>
      </c>
      <c r="D9" s="149">
        <v>0</v>
      </c>
      <c r="E9" s="149">
        <v>0</v>
      </c>
      <c r="F9" s="149">
        <v>0</v>
      </c>
      <c r="G9" s="149">
        <v>0</v>
      </c>
      <c r="H9" s="149">
        <v>0</v>
      </c>
      <c r="I9" s="149">
        <v>0</v>
      </c>
      <c r="J9" s="149">
        <v>0</v>
      </c>
      <c r="K9" s="149">
        <v>0</v>
      </c>
      <c r="L9" s="149">
        <v>0</v>
      </c>
      <c r="M9" s="150">
        <v>0</v>
      </c>
    </row>
    <row r="10" spans="1:13" x14ac:dyDescent="0.25">
      <c r="A10" s="85" t="s">
        <v>73</v>
      </c>
      <c r="B10" s="148"/>
      <c r="C10" s="149"/>
      <c r="D10" s="149">
        <v>0</v>
      </c>
      <c r="E10" s="149">
        <v>0</v>
      </c>
      <c r="F10" s="149">
        <v>300</v>
      </c>
      <c r="G10" s="149">
        <v>0</v>
      </c>
      <c r="H10" s="149">
        <v>600</v>
      </c>
      <c r="I10" s="149">
        <v>0</v>
      </c>
      <c r="J10" s="149">
        <v>0</v>
      </c>
      <c r="K10" s="149">
        <v>0</v>
      </c>
      <c r="L10" s="149">
        <v>0</v>
      </c>
      <c r="M10" s="150">
        <v>0</v>
      </c>
    </row>
    <row r="11" spans="1:13" x14ac:dyDescent="0.25">
      <c r="A11" s="85" t="s">
        <v>32</v>
      </c>
      <c r="B11" s="148"/>
      <c r="C11" s="149"/>
      <c r="D11" s="149">
        <v>0</v>
      </c>
      <c r="E11" s="149">
        <v>0</v>
      </c>
      <c r="F11" s="149">
        <v>0</v>
      </c>
      <c r="G11" s="149">
        <v>0</v>
      </c>
      <c r="H11" s="149">
        <v>1175</v>
      </c>
      <c r="I11" s="149">
        <v>1100</v>
      </c>
      <c r="J11" s="149">
        <v>3025</v>
      </c>
      <c r="K11" s="149">
        <v>0</v>
      </c>
      <c r="L11" s="149">
        <v>0</v>
      </c>
      <c r="M11" s="150">
        <v>0</v>
      </c>
    </row>
    <row r="12" spans="1:13" x14ac:dyDescent="0.25">
      <c r="A12" s="85" t="s">
        <v>30</v>
      </c>
      <c r="B12" s="148"/>
      <c r="C12" s="149"/>
      <c r="D12" s="149">
        <v>0</v>
      </c>
      <c r="E12" s="149">
        <v>0</v>
      </c>
      <c r="F12" s="149">
        <v>0</v>
      </c>
      <c r="G12" s="149">
        <v>0</v>
      </c>
      <c r="H12" s="149">
        <v>900</v>
      </c>
      <c r="I12" s="149">
        <v>0</v>
      </c>
      <c r="J12" s="149">
        <v>225</v>
      </c>
      <c r="K12" s="149">
        <v>0</v>
      </c>
      <c r="L12" s="149">
        <v>0</v>
      </c>
      <c r="M12" s="150">
        <v>0</v>
      </c>
    </row>
    <row r="13" spans="1:13" x14ac:dyDescent="0.25">
      <c r="A13" s="85" t="s">
        <v>57</v>
      </c>
      <c r="B13" s="148"/>
      <c r="C13" s="149"/>
      <c r="D13" s="149">
        <v>0</v>
      </c>
      <c r="E13" s="149">
        <v>0</v>
      </c>
      <c r="F13" s="149">
        <v>0</v>
      </c>
      <c r="G13" s="149">
        <v>125</v>
      </c>
      <c r="H13" s="149">
        <v>425</v>
      </c>
      <c r="I13" s="149">
        <v>0</v>
      </c>
      <c r="J13" s="149">
        <v>0</v>
      </c>
      <c r="K13" s="149">
        <v>0</v>
      </c>
      <c r="L13" s="149">
        <v>0</v>
      </c>
      <c r="M13" s="150">
        <v>0</v>
      </c>
    </row>
    <row r="14" spans="1:13" x14ac:dyDescent="0.25">
      <c r="A14" s="85" t="s">
        <v>45</v>
      </c>
      <c r="B14" s="148"/>
      <c r="C14" s="149"/>
      <c r="D14" s="149">
        <v>0</v>
      </c>
      <c r="E14" s="149">
        <v>0</v>
      </c>
      <c r="F14" s="149">
        <v>0</v>
      </c>
      <c r="G14" s="149">
        <v>0</v>
      </c>
      <c r="H14" s="149">
        <v>675</v>
      </c>
      <c r="I14" s="149">
        <v>200</v>
      </c>
      <c r="J14" s="149">
        <v>0</v>
      </c>
      <c r="K14" s="149">
        <v>0</v>
      </c>
      <c r="L14" s="149">
        <v>0</v>
      </c>
      <c r="M14" s="150">
        <v>0</v>
      </c>
    </row>
    <row r="15" spans="1:13" x14ac:dyDescent="0.25">
      <c r="A15" s="85" t="s">
        <v>51</v>
      </c>
      <c r="B15" s="148"/>
      <c r="C15" s="149"/>
      <c r="D15" s="149">
        <v>0</v>
      </c>
      <c r="E15" s="149">
        <v>0</v>
      </c>
      <c r="F15" s="149">
        <v>300</v>
      </c>
      <c r="G15" s="149">
        <v>0</v>
      </c>
      <c r="H15" s="149">
        <v>75</v>
      </c>
      <c r="I15" s="149">
        <v>0</v>
      </c>
      <c r="J15" s="149">
        <v>0</v>
      </c>
      <c r="K15" s="149">
        <v>0</v>
      </c>
      <c r="L15" s="149">
        <v>0</v>
      </c>
      <c r="M15" s="150">
        <v>0</v>
      </c>
    </row>
    <row r="16" spans="1:13" ht="15" customHeight="1" x14ac:dyDescent="0.25">
      <c r="A16" s="86" t="s">
        <v>120</v>
      </c>
      <c r="B16" s="151"/>
      <c r="C16" s="152">
        <v>0</v>
      </c>
      <c r="D16" s="152">
        <v>0</v>
      </c>
      <c r="E16" s="152">
        <v>0</v>
      </c>
      <c r="F16" s="152">
        <v>1500</v>
      </c>
      <c r="G16" s="152">
        <v>125</v>
      </c>
      <c r="H16" s="152">
        <v>4225</v>
      </c>
      <c r="I16" s="152">
        <v>1550</v>
      </c>
      <c r="J16" s="152">
        <v>3575</v>
      </c>
      <c r="K16" s="152">
        <v>0</v>
      </c>
      <c r="L16" s="152">
        <v>0</v>
      </c>
      <c r="M16" s="153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4E79"/>
  </sheetPr>
  <dimension ref="A1:P1000"/>
  <sheetViews>
    <sheetView tabSelected="1" workbookViewId="0">
      <selection activeCell="U60" sqref="U60"/>
    </sheetView>
  </sheetViews>
  <sheetFormatPr baseColWidth="10" defaultColWidth="14.42578125" defaultRowHeight="15" customHeight="1" x14ac:dyDescent="0.25"/>
  <cols>
    <col min="1" max="1" width="9.140625" customWidth="1"/>
    <col min="2" max="2" width="5.7109375" customWidth="1"/>
    <col min="3" max="3" width="13.85546875" customWidth="1"/>
    <col min="4" max="15" width="7" customWidth="1"/>
    <col min="16" max="16" width="9.7109375" customWidth="1"/>
    <col min="17" max="23" width="6" customWidth="1"/>
    <col min="24" max="28" width="11" customWidth="1"/>
  </cols>
  <sheetData>
    <row r="1" spans="1:16" ht="11.25" customHeight="1" x14ac:dyDescent="0.25">
      <c r="A1" s="41" t="s">
        <v>0</v>
      </c>
      <c r="B1" s="108" t="s">
        <v>1</v>
      </c>
      <c r="C1" s="109"/>
      <c r="D1" s="110" t="s">
        <v>2</v>
      </c>
      <c r="E1" s="98"/>
      <c r="F1" s="98"/>
      <c r="G1" s="98"/>
      <c r="H1" s="98"/>
      <c r="I1" s="98"/>
      <c r="J1" s="98"/>
      <c r="K1" s="99"/>
      <c r="L1" s="97"/>
      <c r="M1" s="98"/>
      <c r="N1" s="98"/>
      <c r="O1" s="99"/>
      <c r="P1" s="1"/>
    </row>
    <row r="2" spans="1:16" ht="11.25" customHeight="1" x14ac:dyDescent="0.25">
      <c r="A2" s="41" t="s">
        <v>3</v>
      </c>
      <c r="B2" s="111" t="s">
        <v>98</v>
      </c>
      <c r="C2" s="109"/>
      <c r="D2" s="102"/>
      <c r="E2" s="103"/>
      <c r="F2" s="103"/>
      <c r="G2" s="103"/>
      <c r="H2" s="103"/>
      <c r="I2" s="103"/>
      <c r="J2" s="103"/>
      <c r="K2" s="104"/>
      <c r="L2" s="100"/>
      <c r="M2" s="95"/>
      <c r="N2" s="95"/>
      <c r="O2" s="101"/>
      <c r="P2" s="1"/>
    </row>
    <row r="3" spans="1:16" ht="11.25" customHeight="1" x14ac:dyDescent="0.25">
      <c r="A3" s="41" t="s">
        <v>4</v>
      </c>
      <c r="B3" s="112">
        <v>44701</v>
      </c>
      <c r="C3" s="109"/>
      <c r="D3" s="106" t="s">
        <v>99</v>
      </c>
      <c r="E3" s="98"/>
      <c r="F3" s="98"/>
      <c r="G3" s="98"/>
      <c r="H3" s="98"/>
      <c r="I3" s="98"/>
      <c r="J3" s="98"/>
      <c r="K3" s="99"/>
      <c r="L3" s="100"/>
      <c r="M3" s="95"/>
      <c r="N3" s="95"/>
      <c r="O3" s="101"/>
      <c r="P3" s="1"/>
    </row>
    <row r="4" spans="1:16" ht="11.25" customHeight="1" x14ac:dyDescent="0.25">
      <c r="A4" s="41" t="s">
        <v>5</v>
      </c>
      <c r="B4" s="108" t="s">
        <v>6</v>
      </c>
      <c r="C4" s="109"/>
      <c r="D4" s="100"/>
      <c r="E4" s="95"/>
      <c r="F4" s="95"/>
      <c r="G4" s="95"/>
      <c r="H4" s="95"/>
      <c r="I4" s="95"/>
      <c r="J4" s="95"/>
      <c r="K4" s="101"/>
      <c r="L4" s="102"/>
      <c r="M4" s="103"/>
      <c r="N4" s="103"/>
      <c r="O4" s="104"/>
      <c r="P4" s="1"/>
    </row>
    <row r="5" spans="1:16" ht="11.25" customHeight="1" x14ac:dyDescent="0.25">
      <c r="A5" s="42" t="s">
        <v>7</v>
      </c>
      <c r="B5" s="108" t="s">
        <v>8</v>
      </c>
      <c r="C5" s="109"/>
      <c r="D5" s="102"/>
      <c r="E5" s="103"/>
      <c r="F5" s="103"/>
      <c r="G5" s="103"/>
      <c r="H5" s="103"/>
      <c r="I5" s="103"/>
      <c r="J5" s="103"/>
      <c r="K5" s="104"/>
      <c r="L5" s="105">
        <v>46113</v>
      </c>
      <c r="M5" s="98"/>
      <c r="N5" s="98"/>
      <c r="O5" s="99"/>
      <c r="P5" s="1"/>
    </row>
    <row r="6" spans="1:16" ht="11.25" customHeight="1" x14ac:dyDescent="0.25">
      <c r="A6" s="41" t="s">
        <v>10</v>
      </c>
      <c r="B6" s="108" t="s">
        <v>6</v>
      </c>
      <c r="C6" s="109"/>
      <c r="D6" s="107" t="s">
        <v>15</v>
      </c>
      <c r="E6" s="98"/>
      <c r="F6" s="98"/>
      <c r="G6" s="98"/>
      <c r="H6" s="98"/>
      <c r="I6" s="98"/>
      <c r="J6" s="98"/>
      <c r="K6" s="99"/>
      <c r="L6" s="100"/>
      <c r="M6" s="95"/>
      <c r="N6" s="95"/>
      <c r="O6" s="101"/>
      <c r="P6" s="1"/>
    </row>
    <row r="7" spans="1:16" ht="11.25" customHeight="1" x14ac:dyDescent="0.25">
      <c r="A7" s="41" t="s">
        <v>13</v>
      </c>
      <c r="B7" s="108" t="s">
        <v>100</v>
      </c>
      <c r="C7" s="109"/>
      <c r="D7" s="102"/>
      <c r="E7" s="103"/>
      <c r="F7" s="103"/>
      <c r="G7" s="103"/>
      <c r="H7" s="103"/>
      <c r="I7" s="103"/>
      <c r="J7" s="103"/>
      <c r="K7" s="104"/>
      <c r="L7" s="102"/>
      <c r="M7" s="103"/>
      <c r="N7" s="103"/>
      <c r="O7" s="104"/>
      <c r="P7" s="1"/>
    </row>
    <row r="8" spans="1:16" ht="5.25" customHeight="1" x14ac:dyDescent="0.25">
      <c r="A8" s="6"/>
      <c r="B8" s="6"/>
      <c r="C8" s="1"/>
      <c r="D8" s="1"/>
      <c r="E8" s="1"/>
      <c r="F8" s="43"/>
      <c r="G8" s="43"/>
      <c r="H8" s="43"/>
      <c r="I8" s="43"/>
      <c r="J8" s="43"/>
      <c r="K8" s="43"/>
      <c r="L8" s="44"/>
      <c r="M8" s="44"/>
      <c r="N8" s="44"/>
      <c r="O8" s="44"/>
      <c r="P8" s="1"/>
    </row>
    <row r="9" spans="1:16" ht="17.25" customHeight="1" x14ac:dyDescent="0.25">
      <c r="A9" s="113" t="s">
        <v>101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92"/>
      <c r="P9" s="1"/>
    </row>
    <row r="10" spans="1:16" ht="2.25" customHeight="1" x14ac:dyDescent="0.25"/>
    <row r="11" spans="1:16" ht="75" customHeight="1" x14ac:dyDescent="0.25">
      <c r="A11" s="45" t="s">
        <v>102</v>
      </c>
      <c r="B11" s="46"/>
      <c r="C11" s="47" t="s">
        <v>85</v>
      </c>
      <c r="D11" s="48" t="s">
        <v>103</v>
      </c>
      <c r="E11" s="49" t="s">
        <v>104</v>
      </c>
      <c r="F11" s="50" t="str">
        <f>Total!C2</f>
        <v>Thalassa 0.9 -1.6</v>
      </c>
      <c r="G11" s="50" t="str">
        <f>Total!D2</f>
        <v>Thalassa 1.3 - 2.0</v>
      </c>
      <c r="H11" s="50" t="str">
        <f>Total!E2</f>
        <v>3 mm progress ex</v>
      </c>
      <c r="I11" s="50" t="str">
        <f>Total!F2</f>
        <v>4.5 mm Progress</v>
      </c>
      <c r="J11" s="50" t="str">
        <f>Total!G2</f>
        <v>6 mm Progress</v>
      </c>
      <c r="K11" s="50" t="str">
        <f>Total!H2</f>
        <v>8 mm Progress</v>
      </c>
      <c r="L11" s="50" t="str">
        <f>Total!I2</f>
        <v>8 mm Reproductor</v>
      </c>
      <c r="M11" s="50" t="str">
        <f>Total!J2</f>
        <v>Ewos Micro PSZ LE 100 4.0 mm</v>
      </c>
      <c r="N11" s="50" t="str">
        <f>Total!K2</f>
        <v>Ewos Micro PSZ LE 250 6.0 mm</v>
      </c>
      <c r="O11" s="50" t="str">
        <f>Total!L2</f>
        <v>Ewos Breed 800 70A 9.5 mm</v>
      </c>
    </row>
    <row r="12" spans="1:16" ht="19.5" customHeight="1" x14ac:dyDescent="0.25">
      <c r="A12" s="115" t="s">
        <v>105</v>
      </c>
      <c r="B12" s="51" t="str">
        <f>Total!B3</f>
        <v>SO1</v>
      </c>
      <c r="C12" s="16" t="s">
        <v>28</v>
      </c>
      <c r="D12" s="52"/>
      <c r="E12" s="52"/>
      <c r="F12" s="53">
        <f>Total!C3*20</f>
        <v>0</v>
      </c>
      <c r="G12" s="53">
        <f>Total!D3*20</f>
        <v>0</v>
      </c>
      <c r="H12" s="53">
        <f>Total!E3*25</f>
        <v>300</v>
      </c>
      <c r="I12" s="53">
        <f>Total!F3*25</f>
        <v>0</v>
      </c>
      <c r="J12" s="53">
        <f>Total!G3*25</f>
        <v>0</v>
      </c>
      <c r="K12" s="53">
        <f>Total!H3*25</f>
        <v>0</v>
      </c>
      <c r="L12" s="53">
        <f>Total!I3*25</f>
        <v>0</v>
      </c>
      <c r="M12" s="53">
        <f>Total!J3*20</f>
        <v>0</v>
      </c>
      <c r="N12" s="53">
        <f>Total!K3*20</f>
        <v>0</v>
      </c>
      <c r="O12" s="53">
        <f>Total!L3*20</f>
        <v>0</v>
      </c>
      <c r="P12" s="54" t="str">
        <f t="shared" ref="P12:P17" si="0">+B12</f>
        <v>SO1</v>
      </c>
    </row>
    <row r="13" spans="1:16" ht="19.5" customHeight="1" x14ac:dyDescent="0.25">
      <c r="A13" s="116"/>
      <c r="B13" s="51" t="str">
        <f>Total!B4</f>
        <v>SO2</v>
      </c>
      <c r="C13" s="16" t="s">
        <v>30</v>
      </c>
      <c r="D13" s="52"/>
      <c r="E13" s="52"/>
      <c r="F13" s="53">
        <f>Total!C4*20</f>
        <v>0</v>
      </c>
      <c r="G13" s="53">
        <f>Total!D4*20</f>
        <v>0</v>
      </c>
      <c r="H13" s="53">
        <f>Total!E4*25</f>
        <v>0</v>
      </c>
      <c r="I13" s="53">
        <f>Total!F4*25</f>
        <v>0</v>
      </c>
      <c r="J13" s="53">
        <f>Total!G4*25</f>
        <v>300</v>
      </c>
      <c r="K13" s="53">
        <f>Total!H4*25</f>
        <v>0</v>
      </c>
      <c r="L13" s="53">
        <f>Total!I4*25</f>
        <v>225</v>
      </c>
      <c r="M13" s="53">
        <f>Total!J4*20</f>
        <v>0</v>
      </c>
      <c r="N13" s="53">
        <f>Total!K4*20</f>
        <v>0</v>
      </c>
      <c r="O13" s="53">
        <f>Total!L4*20</f>
        <v>0</v>
      </c>
      <c r="P13" s="54" t="str">
        <f t="shared" si="0"/>
        <v>SO2</v>
      </c>
    </row>
    <row r="14" spans="1:16" ht="19.5" customHeight="1" x14ac:dyDescent="0.25">
      <c r="A14" s="116"/>
      <c r="B14" s="51" t="str">
        <f>Total!B5</f>
        <v>SO3</v>
      </c>
      <c r="C14" s="16" t="s">
        <v>32</v>
      </c>
      <c r="D14" s="52"/>
      <c r="E14" s="52"/>
      <c r="F14" s="53">
        <f>Total!C5*20</f>
        <v>0</v>
      </c>
      <c r="G14" s="53">
        <f>Total!D5*20</f>
        <v>0</v>
      </c>
      <c r="H14" s="53">
        <f>Total!E5*25</f>
        <v>0</v>
      </c>
      <c r="I14" s="53">
        <f>Total!F5*25</f>
        <v>0</v>
      </c>
      <c r="J14" s="53">
        <f>Total!G5*25</f>
        <v>150</v>
      </c>
      <c r="K14" s="53">
        <f>Total!H5*25</f>
        <v>100</v>
      </c>
      <c r="L14" s="53">
        <f>Total!I5*25</f>
        <v>125</v>
      </c>
      <c r="M14" s="53">
        <f>Total!J5*20</f>
        <v>0</v>
      </c>
      <c r="N14" s="53">
        <f>Total!K5*20</f>
        <v>0</v>
      </c>
      <c r="O14" s="53">
        <f>Total!L5*20</f>
        <v>0</v>
      </c>
      <c r="P14" s="54" t="str">
        <f t="shared" si="0"/>
        <v>SO3</v>
      </c>
    </row>
    <row r="15" spans="1:16" ht="19.5" customHeight="1" x14ac:dyDescent="0.25">
      <c r="A15" s="116"/>
      <c r="B15" s="51" t="str">
        <f>Total!B6</f>
        <v>SO4</v>
      </c>
      <c r="C15" s="16" t="s">
        <v>34</v>
      </c>
      <c r="D15" s="52"/>
      <c r="E15" s="52"/>
      <c r="F15" s="53">
        <f>Total!C6*20</f>
        <v>0</v>
      </c>
      <c r="G15" s="53">
        <f>Total!D6*20</f>
        <v>0</v>
      </c>
      <c r="H15" s="53">
        <f>Total!E6*25</f>
        <v>300</v>
      </c>
      <c r="I15" s="53">
        <f>Total!F6*25</f>
        <v>0</v>
      </c>
      <c r="J15" s="53">
        <f>Total!G6*25</f>
        <v>75</v>
      </c>
      <c r="K15" s="53">
        <f>Total!H6*25</f>
        <v>0</v>
      </c>
      <c r="L15" s="53">
        <f>Total!I6*25</f>
        <v>0</v>
      </c>
      <c r="M15" s="53">
        <f>Total!J6*20</f>
        <v>0</v>
      </c>
      <c r="N15" s="53">
        <f>Total!K6*20</f>
        <v>0</v>
      </c>
      <c r="O15" s="53">
        <f>Total!L6*20</f>
        <v>0</v>
      </c>
      <c r="P15" s="54" t="str">
        <f t="shared" si="0"/>
        <v>SO4</v>
      </c>
    </row>
    <row r="16" spans="1:16" ht="19.5" customHeight="1" x14ac:dyDescent="0.25">
      <c r="A16" s="116"/>
      <c r="B16" s="51" t="str">
        <f>Total!B7</f>
        <v>SO5</v>
      </c>
      <c r="C16" s="16" t="s">
        <v>36</v>
      </c>
      <c r="D16" s="52"/>
      <c r="E16" s="52"/>
      <c r="F16" s="53">
        <f>Total!C7*20</f>
        <v>0</v>
      </c>
      <c r="G16" s="53">
        <f>Total!D7*20</f>
        <v>0</v>
      </c>
      <c r="H16" s="53">
        <f>Total!E7*25</f>
        <v>0</v>
      </c>
      <c r="I16" s="53">
        <f>Total!F7*25</f>
        <v>0</v>
      </c>
      <c r="J16" s="53">
        <f>Total!G7*25</f>
        <v>0</v>
      </c>
      <c r="K16" s="53">
        <f>Total!H7*25</f>
        <v>100</v>
      </c>
      <c r="L16" s="53">
        <f>Total!I7*25</f>
        <v>125</v>
      </c>
      <c r="M16" s="53">
        <f>Total!J7*20</f>
        <v>0</v>
      </c>
      <c r="N16" s="53">
        <f>Total!K7*20</f>
        <v>0</v>
      </c>
      <c r="O16" s="53">
        <f>Total!L7*20</f>
        <v>0</v>
      </c>
      <c r="P16" s="54" t="str">
        <f t="shared" si="0"/>
        <v>SO5</v>
      </c>
    </row>
    <row r="17" spans="1:16" ht="19.5" customHeight="1" x14ac:dyDescent="0.25">
      <c r="A17" s="117"/>
      <c r="B17" s="51" t="str">
        <f>Total!B8</f>
        <v>SO6</v>
      </c>
      <c r="C17" s="16" t="s">
        <v>28</v>
      </c>
      <c r="D17" s="52"/>
      <c r="E17" s="52"/>
      <c r="F17" s="53">
        <f>Total!C8*20</f>
        <v>0</v>
      </c>
      <c r="G17" s="53">
        <f>Total!D8*20</f>
        <v>0</v>
      </c>
      <c r="H17" s="53">
        <f>Total!E8*25</f>
        <v>300</v>
      </c>
      <c r="I17" s="53">
        <f>Total!F8*25</f>
        <v>0</v>
      </c>
      <c r="J17" s="53">
        <f>Total!G8*25</f>
        <v>0</v>
      </c>
      <c r="K17" s="53">
        <f>Total!H8*25</f>
        <v>0</v>
      </c>
      <c r="L17" s="53">
        <f>Total!I8*25</f>
        <v>0</v>
      </c>
      <c r="M17" s="53">
        <f>Total!J8*20</f>
        <v>0</v>
      </c>
      <c r="N17" s="53">
        <f>Total!K8*20</f>
        <v>0</v>
      </c>
      <c r="O17" s="53">
        <f>Total!L8*20</f>
        <v>0</v>
      </c>
      <c r="P17" s="54" t="str">
        <f t="shared" si="0"/>
        <v>SO6</v>
      </c>
    </row>
    <row r="18" spans="1:16" ht="19.5" customHeight="1" x14ac:dyDescent="0.25">
      <c r="A18" s="118" t="s">
        <v>106</v>
      </c>
      <c r="B18" s="51" t="str">
        <f>Total!B9</f>
        <v>SP1</v>
      </c>
      <c r="C18" s="16"/>
      <c r="D18" s="52"/>
      <c r="E18" s="52"/>
      <c r="F18" s="53">
        <f>Total!C9*20</f>
        <v>0</v>
      </c>
      <c r="G18" s="53">
        <f>Total!D9*20</f>
        <v>0</v>
      </c>
      <c r="H18" s="53">
        <f>Total!E9*25</f>
        <v>0</v>
      </c>
      <c r="I18" s="53">
        <f>Total!F9*25</f>
        <v>0</v>
      </c>
      <c r="J18" s="53">
        <f>Total!G9*25</f>
        <v>0</v>
      </c>
      <c r="K18" s="53">
        <f>Total!H9*25</f>
        <v>0</v>
      </c>
      <c r="L18" s="53">
        <f>Total!I9*25</f>
        <v>0</v>
      </c>
      <c r="M18" s="53">
        <f>Total!J9*20</f>
        <v>0</v>
      </c>
      <c r="N18" s="53">
        <f>Total!K9*20</f>
        <v>0</v>
      </c>
      <c r="O18" s="53">
        <f>Total!L9*20</f>
        <v>0</v>
      </c>
      <c r="P18" s="54"/>
    </row>
    <row r="19" spans="1:16" ht="19.5" customHeight="1" x14ac:dyDescent="0.25">
      <c r="A19" s="116"/>
      <c r="B19" s="51" t="str">
        <f>Total!B10</f>
        <v>SP2</v>
      </c>
      <c r="C19" s="21"/>
      <c r="D19" s="55"/>
      <c r="E19" s="55"/>
      <c r="F19" s="53">
        <f>Total!C10*20</f>
        <v>0</v>
      </c>
      <c r="G19" s="53">
        <f>Total!D10*20</f>
        <v>0</v>
      </c>
      <c r="H19" s="53">
        <f>Total!E10*25</f>
        <v>0</v>
      </c>
      <c r="I19" s="53">
        <f>Total!F10*25</f>
        <v>0</v>
      </c>
      <c r="J19" s="53">
        <f>Total!G10*25</f>
        <v>0</v>
      </c>
      <c r="K19" s="53">
        <f>Total!H10*25</f>
        <v>0</v>
      </c>
      <c r="L19" s="53">
        <f>Total!I10*25</f>
        <v>0</v>
      </c>
      <c r="M19" s="53">
        <f>Total!J10*20</f>
        <v>0</v>
      </c>
      <c r="N19" s="53">
        <f>Total!K10*20</f>
        <v>0</v>
      </c>
      <c r="O19" s="53">
        <f>Total!L10*20</f>
        <v>0</v>
      </c>
      <c r="P19" s="54"/>
    </row>
    <row r="20" spans="1:16" ht="19.5" customHeight="1" x14ac:dyDescent="0.25">
      <c r="A20" s="116"/>
      <c r="B20" s="51" t="str">
        <f>Total!B11</f>
        <v>SP3</v>
      </c>
      <c r="C20" s="16"/>
      <c r="D20" s="52"/>
      <c r="E20" s="52"/>
      <c r="F20" s="53">
        <f>Total!C11*20</f>
        <v>0</v>
      </c>
      <c r="G20" s="53">
        <f>Total!D11*20</f>
        <v>0</v>
      </c>
      <c r="H20" s="53">
        <f>Total!E11*25</f>
        <v>0</v>
      </c>
      <c r="I20" s="53">
        <f>Total!F11*25</f>
        <v>0</v>
      </c>
      <c r="J20" s="53">
        <f>Total!G11*25</f>
        <v>0</v>
      </c>
      <c r="K20" s="53">
        <f>Total!H11*25</f>
        <v>0</v>
      </c>
      <c r="L20" s="53">
        <f>Total!I11*25</f>
        <v>0</v>
      </c>
      <c r="M20" s="53">
        <f>Total!J11*20</f>
        <v>0</v>
      </c>
      <c r="N20" s="53">
        <f>Total!K11*20</f>
        <v>0</v>
      </c>
      <c r="O20" s="53">
        <f>Total!L11*20</f>
        <v>0</v>
      </c>
      <c r="P20" s="54"/>
    </row>
    <row r="21" spans="1:16" ht="19.5" customHeight="1" x14ac:dyDescent="0.25">
      <c r="A21" s="116"/>
      <c r="B21" s="51" t="str">
        <f>Total!B12</f>
        <v>SP4</v>
      </c>
      <c r="C21" s="16"/>
      <c r="D21" s="52"/>
      <c r="E21" s="52"/>
      <c r="F21" s="53">
        <f>Total!C12*20</f>
        <v>0</v>
      </c>
      <c r="G21" s="53">
        <f>Total!D12*20</f>
        <v>0</v>
      </c>
      <c r="H21" s="53">
        <f>Total!E12*25</f>
        <v>0</v>
      </c>
      <c r="I21" s="53">
        <f>Total!F12*25</f>
        <v>0</v>
      </c>
      <c r="J21" s="53">
        <f>Total!G12*25</f>
        <v>0</v>
      </c>
      <c r="K21" s="53">
        <f>Total!H12*25</f>
        <v>0</v>
      </c>
      <c r="L21" s="53">
        <f>Total!I12*25</f>
        <v>0</v>
      </c>
      <c r="M21" s="53">
        <f>Total!J12*20</f>
        <v>0</v>
      </c>
      <c r="N21" s="53">
        <f>Total!K12*20</f>
        <v>0</v>
      </c>
      <c r="O21" s="53">
        <f>Total!L12*20</f>
        <v>0</v>
      </c>
      <c r="P21" s="54"/>
    </row>
    <row r="22" spans="1:16" ht="19.5" customHeight="1" x14ac:dyDescent="0.25">
      <c r="A22" s="116"/>
      <c r="B22" s="51" t="str">
        <f>Total!B13</f>
        <v>SP5</v>
      </c>
      <c r="C22" s="16"/>
      <c r="D22" s="52"/>
      <c r="E22" s="52"/>
      <c r="F22" s="53">
        <f>Total!C13*20</f>
        <v>0</v>
      </c>
      <c r="G22" s="53">
        <f>Total!D13*20</f>
        <v>0</v>
      </c>
      <c r="H22" s="53">
        <f>Total!E13*25</f>
        <v>0</v>
      </c>
      <c r="I22" s="53">
        <f>Total!F13*25</f>
        <v>0</v>
      </c>
      <c r="J22" s="53">
        <f>Total!G13*25</f>
        <v>0</v>
      </c>
      <c r="K22" s="53">
        <f>Total!H13*25</f>
        <v>0</v>
      </c>
      <c r="L22" s="53">
        <f>Total!I13*25</f>
        <v>0</v>
      </c>
      <c r="M22" s="53">
        <f>Total!J13*20</f>
        <v>0</v>
      </c>
      <c r="N22" s="53">
        <f>Total!K13*20</f>
        <v>0</v>
      </c>
      <c r="O22" s="53">
        <f>Total!L13*20</f>
        <v>0</v>
      </c>
      <c r="P22" s="54"/>
    </row>
    <row r="23" spans="1:16" ht="19.5" customHeight="1" x14ac:dyDescent="0.25">
      <c r="A23" s="117"/>
      <c r="B23" s="51" t="str">
        <f>Total!B14</f>
        <v>SP6</v>
      </c>
      <c r="C23" s="16"/>
      <c r="D23" s="52"/>
      <c r="E23" s="52"/>
      <c r="F23" s="53">
        <f>Total!C14*20</f>
        <v>0</v>
      </c>
      <c r="G23" s="53">
        <f>Total!D14*20</f>
        <v>0</v>
      </c>
      <c r="H23" s="53">
        <f>Total!E14*25</f>
        <v>0</v>
      </c>
      <c r="I23" s="53">
        <f>Total!F14*25</f>
        <v>0</v>
      </c>
      <c r="J23" s="53">
        <f>Total!G14*25</f>
        <v>0</v>
      </c>
      <c r="K23" s="53">
        <f>Total!H14*25</f>
        <v>0</v>
      </c>
      <c r="L23" s="53">
        <f>Total!I14*25</f>
        <v>0</v>
      </c>
      <c r="M23" s="53">
        <f>Total!J14*20</f>
        <v>0</v>
      </c>
      <c r="N23" s="53">
        <f>Total!K14*20</f>
        <v>0</v>
      </c>
      <c r="O23" s="53">
        <f>Total!L14*20</f>
        <v>0</v>
      </c>
      <c r="P23" s="54"/>
    </row>
    <row r="24" spans="1:16" ht="19.5" customHeight="1" x14ac:dyDescent="0.25">
      <c r="A24" s="118" t="s">
        <v>107</v>
      </c>
      <c r="B24" s="51" t="str">
        <f>Total!B15</f>
        <v>NO1</v>
      </c>
      <c r="C24" s="16" t="s">
        <v>45</v>
      </c>
      <c r="D24" s="52"/>
      <c r="E24" s="52"/>
      <c r="F24" s="53">
        <f>Total!C15*20</f>
        <v>0</v>
      </c>
      <c r="G24" s="53">
        <f>Total!D15*20</f>
        <v>0</v>
      </c>
      <c r="H24" s="53">
        <f>Total!E15*25</f>
        <v>0</v>
      </c>
      <c r="I24" s="53">
        <f>Total!F15*25</f>
        <v>0</v>
      </c>
      <c r="J24" s="53">
        <f>Total!G15*25</f>
        <v>325</v>
      </c>
      <c r="K24" s="53">
        <f>Total!H15*25</f>
        <v>100</v>
      </c>
      <c r="L24" s="53">
        <f>Total!I15*25</f>
        <v>0</v>
      </c>
      <c r="M24" s="53">
        <f>Total!J15*20</f>
        <v>0</v>
      </c>
      <c r="N24" s="53">
        <f>Total!K15*20</f>
        <v>0</v>
      </c>
      <c r="O24" s="53">
        <f>Total!L15*20</f>
        <v>0</v>
      </c>
      <c r="P24" s="54"/>
    </row>
    <row r="25" spans="1:16" ht="19.5" customHeight="1" x14ac:dyDescent="0.25">
      <c r="A25" s="116"/>
      <c r="B25" s="51" t="str">
        <f>Total!B16</f>
        <v>NO2</v>
      </c>
      <c r="C25" s="16" t="s">
        <v>30</v>
      </c>
      <c r="D25" s="52"/>
      <c r="E25" s="52"/>
      <c r="F25" s="53">
        <f>Total!C16*20</f>
        <v>0</v>
      </c>
      <c r="G25" s="53">
        <f>Total!D16*20</f>
        <v>0</v>
      </c>
      <c r="H25" s="53">
        <f>Total!E16*25</f>
        <v>0</v>
      </c>
      <c r="I25" s="53">
        <f>Total!F16*25</f>
        <v>0</v>
      </c>
      <c r="J25" s="53">
        <f>Total!G16*25</f>
        <v>300</v>
      </c>
      <c r="K25" s="53">
        <f>Total!H16*25</f>
        <v>0</v>
      </c>
      <c r="L25" s="53">
        <f>Total!I16*25</f>
        <v>0</v>
      </c>
      <c r="M25" s="53">
        <f>Total!J16*20</f>
        <v>0</v>
      </c>
      <c r="N25" s="53">
        <f>Total!K16*20</f>
        <v>0</v>
      </c>
      <c r="O25" s="53">
        <f>Total!L16*20</f>
        <v>0</v>
      </c>
      <c r="P25" s="54"/>
    </row>
    <row r="26" spans="1:16" ht="19.5" customHeight="1" x14ac:dyDescent="0.25">
      <c r="A26" s="116"/>
      <c r="B26" s="51" t="str">
        <f>Total!B17</f>
        <v>NO3</v>
      </c>
      <c r="C26" s="16" t="s">
        <v>30</v>
      </c>
      <c r="D26" s="52"/>
      <c r="E26" s="52"/>
      <c r="F26" s="53">
        <f>Total!C17*20</f>
        <v>0</v>
      </c>
      <c r="G26" s="53">
        <f>Total!D17*20</f>
        <v>0</v>
      </c>
      <c r="H26" s="53">
        <f>Total!E17*25</f>
        <v>0</v>
      </c>
      <c r="I26" s="53">
        <f>Total!F17*25</f>
        <v>0</v>
      </c>
      <c r="J26" s="53">
        <f>Total!G17*25</f>
        <v>300</v>
      </c>
      <c r="K26" s="53">
        <f>Total!H17*25</f>
        <v>0</v>
      </c>
      <c r="L26" s="53">
        <f>Total!I17*25</f>
        <v>0</v>
      </c>
      <c r="M26" s="53">
        <f>Total!J17*20</f>
        <v>0</v>
      </c>
      <c r="N26" s="53">
        <f>Total!K17*20</f>
        <v>0</v>
      </c>
      <c r="O26" s="53">
        <f>Total!L17*20</f>
        <v>0</v>
      </c>
      <c r="P26" s="54"/>
    </row>
    <row r="27" spans="1:16" ht="19.5" customHeight="1" x14ac:dyDescent="0.25">
      <c r="A27" s="116"/>
      <c r="B27" s="51" t="str">
        <f>Total!B18</f>
        <v>NO4</v>
      </c>
      <c r="C27" s="16" t="s">
        <v>49</v>
      </c>
      <c r="D27" s="52"/>
      <c r="E27" s="52"/>
      <c r="F27" s="53">
        <f>Total!C18*20</f>
        <v>0</v>
      </c>
      <c r="G27" s="53">
        <f>Total!D18*20</f>
        <v>0</v>
      </c>
      <c r="H27" s="53">
        <f>Total!E18*25</f>
        <v>0</v>
      </c>
      <c r="I27" s="53">
        <f>Total!F18*25</f>
        <v>0</v>
      </c>
      <c r="J27" s="53">
        <f>Total!G18*25</f>
        <v>300</v>
      </c>
      <c r="K27" s="53">
        <f>Total!H18*25</f>
        <v>0</v>
      </c>
      <c r="L27" s="53">
        <f>Total!I18*25</f>
        <v>0</v>
      </c>
      <c r="M27" s="53">
        <f>Total!J18*20</f>
        <v>0</v>
      </c>
      <c r="N27" s="53">
        <f>Total!K18*20</f>
        <v>0</v>
      </c>
      <c r="O27" s="53">
        <f>Total!L18*20</f>
        <v>0</v>
      </c>
      <c r="P27" s="54"/>
    </row>
    <row r="28" spans="1:16" ht="19.5" customHeight="1" x14ac:dyDescent="0.25">
      <c r="A28" s="116"/>
      <c r="B28" s="51" t="str">
        <f>Total!B19</f>
        <v>NO5</v>
      </c>
      <c r="C28" s="16" t="s">
        <v>51</v>
      </c>
      <c r="D28" s="52"/>
      <c r="E28" s="52"/>
      <c r="F28" s="53">
        <f>Total!C19*20</f>
        <v>0</v>
      </c>
      <c r="G28" s="53">
        <f>Total!D19*20</f>
        <v>0</v>
      </c>
      <c r="H28" s="53">
        <f>Total!E19*25</f>
        <v>300</v>
      </c>
      <c r="I28" s="53">
        <f>Total!F19*25</f>
        <v>0</v>
      </c>
      <c r="J28" s="53">
        <f>Total!G19*25</f>
        <v>75</v>
      </c>
      <c r="K28" s="53">
        <f>Total!H19*25</f>
        <v>0</v>
      </c>
      <c r="L28" s="53">
        <f>Total!I19*25</f>
        <v>0</v>
      </c>
      <c r="M28" s="53">
        <f>Total!J19*20</f>
        <v>0</v>
      </c>
      <c r="N28" s="53">
        <f>Total!K19*20</f>
        <v>0</v>
      </c>
      <c r="O28" s="53">
        <f>Total!L19*20</f>
        <v>0</v>
      </c>
      <c r="P28" s="54"/>
    </row>
    <row r="29" spans="1:16" ht="19.5" customHeight="1" x14ac:dyDescent="0.25">
      <c r="A29" s="117"/>
      <c r="B29" s="51" t="str">
        <f>Total!B20</f>
        <v>NO6</v>
      </c>
      <c r="C29" s="16" t="s">
        <v>45</v>
      </c>
      <c r="D29" s="52"/>
      <c r="E29" s="52"/>
      <c r="F29" s="53">
        <f>Total!C20*20</f>
        <v>0</v>
      </c>
      <c r="G29" s="53">
        <f>Total!D20*20</f>
        <v>0</v>
      </c>
      <c r="H29" s="53">
        <f>Total!E20*25</f>
        <v>0</v>
      </c>
      <c r="I29" s="53">
        <f>Total!F20*25</f>
        <v>0</v>
      </c>
      <c r="J29" s="53">
        <f>Total!G20*25</f>
        <v>350</v>
      </c>
      <c r="K29" s="53">
        <f>Total!H20*25</f>
        <v>100</v>
      </c>
      <c r="L29" s="53">
        <f>Total!I20*25</f>
        <v>0</v>
      </c>
      <c r="M29" s="53">
        <f>Total!J20*20</f>
        <v>0</v>
      </c>
      <c r="N29" s="53">
        <f>Total!K20*20</f>
        <v>0</v>
      </c>
      <c r="O29" s="53">
        <f>Total!L20*20</f>
        <v>0</v>
      </c>
      <c r="P29" s="54"/>
    </row>
    <row r="30" spans="1:16" ht="19.5" customHeight="1" x14ac:dyDescent="0.25">
      <c r="A30" s="118" t="s">
        <v>108</v>
      </c>
      <c r="B30" s="51" t="str">
        <f>Total!B21</f>
        <v>NC1</v>
      </c>
      <c r="C30" s="16" t="s">
        <v>32</v>
      </c>
      <c r="D30" s="52"/>
      <c r="E30" s="52"/>
      <c r="F30" s="53">
        <f>Total!C21*20</f>
        <v>0</v>
      </c>
      <c r="G30" s="53">
        <f>Total!D21*20</f>
        <v>0</v>
      </c>
      <c r="H30" s="53">
        <f>Total!E21*25</f>
        <v>0</v>
      </c>
      <c r="I30" s="53">
        <f>Total!F21*25</f>
        <v>0</v>
      </c>
      <c r="J30" s="53">
        <f>Total!G21*25</f>
        <v>0</v>
      </c>
      <c r="K30" s="53">
        <f>Total!H21*25</f>
        <v>175</v>
      </c>
      <c r="L30" s="53">
        <f>Total!I21*25</f>
        <v>250</v>
      </c>
      <c r="M30" s="53">
        <f>Total!J21*20</f>
        <v>0</v>
      </c>
      <c r="N30" s="53">
        <f>Total!K21*20</f>
        <v>0</v>
      </c>
      <c r="O30" s="53">
        <f>Total!L21*20</f>
        <v>0</v>
      </c>
      <c r="P30" s="54"/>
    </row>
    <row r="31" spans="1:16" ht="19.5" customHeight="1" x14ac:dyDescent="0.25">
      <c r="A31" s="116"/>
      <c r="B31" s="51" t="str">
        <f>Total!B22</f>
        <v>NC2</v>
      </c>
      <c r="C31" s="16" t="s">
        <v>32</v>
      </c>
      <c r="D31" s="52"/>
      <c r="E31" s="52"/>
      <c r="F31" s="53">
        <f>Total!C22*20</f>
        <v>0</v>
      </c>
      <c r="G31" s="53">
        <f>Total!D22*20</f>
        <v>0</v>
      </c>
      <c r="H31" s="53">
        <f>Total!E22*25</f>
        <v>0</v>
      </c>
      <c r="I31" s="53">
        <f>Total!F22*25</f>
        <v>0</v>
      </c>
      <c r="J31" s="53">
        <f>Total!G22*25</f>
        <v>0</v>
      </c>
      <c r="K31" s="53">
        <f>Total!H22*25</f>
        <v>150</v>
      </c>
      <c r="L31" s="53">
        <f>Total!I22*25</f>
        <v>400</v>
      </c>
      <c r="M31" s="53">
        <f>Total!J22*20</f>
        <v>0</v>
      </c>
      <c r="N31" s="53">
        <f>Total!K22*20</f>
        <v>0</v>
      </c>
      <c r="O31" s="53">
        <f>Total!L22*20</f>
        <v>0</v>
      </c>
      <c r="P31" s="54"/>
    </row>
    <row r="32" spans="1:16" ht="19.5" customHeight="1" x14ac:dyDescent="0.25">
      <c r="A32" s="116"/>
      <c r="B32" s="51" t="str">
        <f>Total!B23</f>
        <v>NC3</v>
      </c>
      <c r="C32" s="16" t="s">
        <v>32</v>
      </c>
      <c r="D32" s="52"/>
      <c r="E32" s="52"/>
      <c r="F32" s="53">
        <f>Total!C23*20</f>
        <v>0</v>
      </c>
      <c r="G32" s="53">
        <f>Total!D23*20</f>
        <v>0</v>
      </c>
      <c r="H32" s="53">
        <f>Total!E23*25</f>
        <v>0</v>
      </c>
      <c r="I32" s="53">
        <f>Total!F23*25</f>
        <v>0</v>
      </c>
      <c r="J32" s="53">
        <f>Total!G23*25</f>
        <v>425</v>
      </c>
      <c r="K32" s="53">
        <f>Total!H23*25</f>
        <v>125</v>
      </c>
      <c r="L32" s="53">
        <f>Total!I23*25</f>
        <v>200</v>
      </c>
      <c r="M32" s="53">
        <f>Total!J23*20</f>
        <v>0</v>
      </c>
      <c r="N32" s="53">
        <f>Total!K23*20</f>
        <v>0</v>
      </c>
      <c r="O32" s="53">
        <f>Total!L23*20</f>
        <v>0</v>
      </c>
      <c r="P32" s="54"/>
    </row>
    <row r="33" spans="1:16" ht="19.5" customHeight="1" x14ac:dyDescent="0.25">
      <c r="A33" s="116"/>
      <c r="B33" s="51" t="str">
        <f>Total!B24</f>
        <v>NC4</v>
      </c>
      <c r="C33" s="16" t="s">
        <v>57</v>
      </c>
      <c r="D33" s="52"/>
      <c r="E33" s="52"/>
      <c r="F33" s="53">
        <f>Total!C24*20</f>
        <v>0</v>
      </c>
      <c r="G33" s="53">
        <f>Total!D24*20</f>
        <v>0</v>
      </c>
      <c r="H33" s="53">
        <f>Total!E24*25</f>
        <v>0</v>
      </c>
      <c r="I33" s="53">
        <f>Total!F24*25</f>
        <v>125</v>
      </c>
      <c r="J33" s="53">
        <f>Total!G24*25</f>
        <v>425</v>
      </c>
      <c r="K33" s="53">
        <f>Total!H24*25</f>
        <v>0</v>
      </c>
      <c r="L33" s="53">
        <f>Total!I24*25</f>
        <v>0</v>
      </c>
      <c r="M33" s="53">
        <f>Total!J24*20</f>
        <v>0</v>
      </c>
      <c r="N33" s="53">
        <f>Total!K24*20</f>
        <v>0</v>
      </c>
      <c r="O33" s="53">
        <f>Total!L24*20</f>
        <v>0</v>
      </c>
      <c r="P33" s="54"/>
    </row>
    <row r="34" spans="1:16" ht="19.5" customHeight="1" x14ac:dyDescent="0.25">
      <c r="A34" s="116"/>
      <c r="B34" s="51" t="str">
        <f>Total!B25</f>
        <v>NC5</v>
      </c>
      <c r="C34" s="16" t="s">
        <v>32</v>
      </c>
      <c r="D34" s="52"/>
      <c r="E34" s="52"/>
      <c r="F34" s="53">
        <f>Total!C25*20</f>
        <v>0</v>
      </c>
      <c r="G34" s="53">
        <f>Total!D25*20</f>
        <v>0</v>
      </c>
      <c r="H34" s="53">
        <f>Total!E25*25</f>
        <v>0</v>
      </c>
      <c r="I34" s="53">
        <f>Total!F25*25</f>
        <v>0</v>
      </c>
      <c r="J34" s="53">
        <f>Total!G25*25</f>
        <v>0</v>
      </c>
      <c r="K34" s="53">
        <f>Total!H25*25</f>
        <v>100</v>
      </c>
      <c r="L34" s="53">
        <f>Total!I25*25</f>
        <v>225</v>
      </c>
      <c r="M34" s="53">
        <f>Total!J25*20</f>
        <v>0</v>
      </c>
      <c r="N34" s="53">
        <f>Total!K25*20</f>
        <v>0</v>
      </c>
      <c r="O34" s="53">
        <f>Total!L25*20</f>
        <v>0</v>
      </c>
      <c r="P34" s="54"/>
    </row>
    <row r="35" spans="1:16" ht="19.5" customHeight="1" x14ac:dyDescent="0.25">
      <c r="A35" s="117"/>
      <c r="B35" s="51" t="str">
        <f>Total!B26</f>
        <v>NC6</v>
      </c>
      <c r="C35" s="16" t="s">
        <v>32</v>
      </c>
      <c r="D35" s="52"/>
      <c r="E35" s="52"/>
      <c r="F35" s="53">
        <f>Total!C26*20</f>
        <v>0</v>
      </c>
      <c r="G35" s="53">
        <f>Total!D26*20</f>
        <v>0</v>
      </c>
      <c r="H35" s="53">
        <f>Total!E26*25</f>
        <v>0</v>
      </c>
      <c r="I35" s="53">
        <f>Total!F26*25</f>
        <v>0</v>
      </c>
      <c r="J35" s="53">
        <f>Total!G26*25</f>
        <v>0</v>
      </c>
      <c r="K35" s="53">
        <f>Total!H26*25</f>
        <v>0</v>
      </c>
      <c r="L35" s="53">
        <f>Total!I26*25</f>
        <v>225</v>
      </c>
      <c r="M35" s="53">
        <f>Total!J26*20</f>
        <v>0</v>
      </c>
      <c r="N35" s="53">
        <f>Total!K26*20</f>
        <v>0</v>
      </c>
      <c r="O35" s="53">
        <f>Total!L26*20</f>
        <v>0</v>
      </c>
      <c r="P35" s="54"/>
    </row>
    <row r="36" spans="1:16" ht="19.5" customHeight="1" x14ac:dyDescent="0.25">
      <c r="A36" s="118" t="s">
        <v>109</v>
      </c>
      <c r="B36" s="51" t="str">
        <f>Total!B27</f>
        <v>NP1</v>
      </c>
      <c r="C36" s="16" t="s">
        <v>32</v>
      </c>
      <c r="D36" s="52"/>
      <c r="E36" s="52"/>
      <c r="F36" s="53">
        <f>Total!C27*20</f>
        <v>0</v>
      </c>
      <c r="G36" s="53">
        <f>Total!D27*20</f>
        <v>0</v>
      </c>
      <c r="H36" s="53">
        <f>Total!E27*25</f>
        <v>0</v>
      </c>
      <c r="I36" s="53">
        <f>Total!F27*25</f>
        <v>0</v>
      </c>
      <c r="J36" s="53">
        <f>Total!G27*25</f>
        <v>0</v>
      </c>
      <c r="K36" s="53">
        <f>Total!H27*25</f>
        <v>100</v>
      </c>
      <c r="L36" s="53">
        <f>Total!I27*25</f>
        <v>225</v>
      </c>
      <c r="M36" s="53">
        <f>Total!J27*20</f>
        <v>0</v>
      </c>
      <c r="N36" s="53">
        <f>Total!K27*20</f>
        <v>0</v>
      </c>
      <c r="O36" s="53">
        <f>Total!L27*20</f>
        <v>0</v>
      </c>
      <c r="P36" s="54"/>
    </row>
    <row r="37" spans="1:16" ht="19.5" customHeight="1" x14ac:dyDescent="0.25">
      <c r="A37" s="116"/>
      <c r="B37" s="51" t="str">
        <f>Total!B28</f>
        <v>NP2</v>
      </c>
      <c r="C37" s="16" t="s">
        <v>32</v>
      </c>
      <c r="D37" s="52"/>
      <c r="E37" s="52"/>
      <c r="F37" s="53">
        <f>Total!C28*20</f>
        <v>0</v>
      </c>
      <c r="G37" s="53">
        <f>Total!D28*20</f>
        <v>0</v>
      </c>
      <c r="H37" s="53">
        <f>Total!E28*25</f>
        <v>0</v>
      </c>
      <c r="I37" s="53">
        <f>Total!F28*25</f>
        <v>0</v>
      </c>
      <c r="J37" s="53">
        <f>Total!G28*25</f>
        <v>0</v>
      </c>
      <c r="K37" s="53">
        <f>Total!H28*25</f>
        <v>225</v>
      </c>
      <c r="L37" s="53">
        <f>Total!I28*25</f>
        <v>200</v>
      </c>
      <c r="M37" s="53">
        <f>Total!J28*20</f>
        <v>0</v>
      </c>
      <c r="N37" s="53">
        <f>Total!K28*20</f>
        <v>0</v>
      </c>
      <c r="O37" s="53">
        <f>Total!L28*20</f>
        <v>0</v>
      </c>
      <c r="P37" s="54"/>
    </row>
    <row r="38" spans="1:16" ht="19.5" customHeight="1" x14ac:dyDescent="0.25">
      <c r="A38" s="116"/>
      <c r="B38" s="51" t="str">
        <f>Total!B29</f>
        <v>NP3</v>
      </c>
      <c r="C38" s="16" t="s">
        <v>32</v>
      </c>
      <c r="D38" s="52"/>
      <c r="E38" s="52"/>
      <c r="F38" s="53">
        <f>Total!C29*20</f>
        <v>0</v>
      </c>
      <c r="G38" s="53">
        <f>Total!D29*20</f>
        <v>0</v>
      </c>
      <c r="H38" s="53">
        <f>Total!E29*25</f>
        <v>0</v>
      </c>
      <c r="I38" s="53">
        <f>Total!F29*25</f>
        <v>0</v>
      </c>
      <c r="J38" s="53">
        <f>Total!G29*25</f>
        <v>300</v>
      </c>
      <c r="K38" s="53">
        <f>Total!H29*25</f>
        <v>0</v>
      </c>
      <c r="L38" s="53">
        <f>Total!I29*25</f>
        <v>100</v>
      </c>
      <c r="M38" s="53">
        <f>Total!J29*20</f>
        <v>0</v>
      </c>
      <c r="N38" s="53">
        <f>Total!K29*20</f>
        <v>0</v>
      </c>
      <c r="O38" s="53">
        <f>Total!L29*20</f>
        <v>0</v>
      </c>
      <c r="P38" s="54"/>
    </row>
    <row r="39" spans="1:16" ht="19.5" customHeight="1" x14ac:dyDescent="0.25">
      <c r="A39" s="116"/>
      <c r="B39" s="51" t="str">
        <f>Total!B30</f>
        <v>NP4</v>
      </c>
      <c r="C39" s="16" t="s">
        <v>32</v>
      </c>
      <c r="D39" s="52"/>
      <c r="E39" s="52"/>
      <c r="F39" s="53">
        <f>Total!C30*20</f>
        <v>0</v>
      </c>
      <c r="G39" s="53">
        <f>Total!D30*20</f>
        <v>0</v>
      </c>
      <c r="H39" s="53">
        <f>Total!E30*25</f>
        <v>0</v>
      </c>
      <c r="I39" s="53">
        <f>Total!F30*25</f>
        <v>0</v>
      </c>
      <c r="J39" s="53">
        <f>Total!G30*25</f>
        <v>300</v>
      </c>
      <c r="K39" s="53">
        <f>Total!H30*25</f>
        <v>0</v>
      </c>
      <c r="L39" s="53">
        <f>Total!I30*25</f>
        <v>100</v>
      </c>
      <c r="M39" s="53">
        <f>Total!J30*20</f>
        <v>0</v>
      </c>
      <c r="N39" s="53">
        <f>Total!K30*20</f>
        <v>0</v>
      </c>
      <c r="O39" s="53">
        <f>Total!L30*20</f>
        <v>0</v>
      </c>
      <c r="P39" s="54"/>
    </row>
    <row r="40" spans="1:16" ht="19.5" customHeight="1" x14ac:dyDescent="0.25">
      <c r="A40" s="116"/>
      <c r="B40" s="51" t="str">
        <f>Total!B31</f>
        <v>NP5</v>
      </c>
      <c r="C40" s="16" t="s">
        <v>32</v>
      </c>
      <c r="D40" s="52"/>
      <c r="E40" s="52"/>
      <c r="F40" s="53">
        <f>Total!C31*20</f>
        <v>0</v>
      </c>
      <c r="G40" s="53">
        <f>Total!D31*20</f>
        <v>0</v>
      </c>
      <c r="H40" s="53">
        <f>Total!E31*25</f>
        <v>0</v>
      </c>
      <c r="I40" s="53">
        <f>Total!F31*25</f>
        <v>0</v>
      </c>
      <c r="J40" s="53">
        <f>Total!G31*25</f>
        <v>0</v>
      </c>
      <c r="K40" s="53">
        <f>Total!H31*25</f>
        <v>0</v>
      </c>
      <c r="L40" s="53">
        <f>Total!I31*25</f>
        <v>200</v>
      </c>
      <c r="M40" s="53">
        <f>Total!J31*20</f>
        <v>0</v>
      </c>
      <c r="N40" s="53">
        <f>Total!K31*20</f>
        <v>0</v>
      </c>
      <c r="O40" s="53">
        <f>Total!L31*20</f>
        <v>0</v>
      </c>
      <c r="P40" s="54"/>
    </row>
    <row r="41" spans="1:16" ht="19.5" customHeight="1" x14ac:dyDescent="0.25">
      <c r="A41" s="117"/>
      <c r="B41" s="51" t="str">
        <f>Total!B32</f>
        <v>NP6</v>
      </c>
      <c r="C41" s="16" t="s">
        <v>32</v>
      </c>
      <c r="D41" s="52"/>
      <c r="E41" s="52"/>
      <c r="F41" s="53">
        <f>Total!C32*20</f>
        <v>0</v>
      </c>
      <c r="G41" s="53">
        <f>Total!D32*20</f>
        <v>0</v>
      </c>
      <c r="H41" s="53">
        <f>Total!E32*25</f>
        <v>0</v>
      </c>
      <c r="I41" s="53">
        <f>Total!F32*25</f>
        <v>0</v>
      </c>
      <c r="J41" s="53">
        <f>Total!G32*25</f>
        <v>0</v>
      </c>
      <c r="K41" s="53">
        <f>Total!H32*25</f>
        <v>125</v>
      </c>
      <c r="L41" s="53">
        <f>Total!I32*25</f>
        <v>0</v>
      </c>
      <c r="M41" s="53">
        <f>Total!J32*20</f>
        <v>0</v>
      </c>
      <c r="N41" s="53">
        <f>Total!K32*20</f>
        <v>0</v>
      </c>
      <c r="O41" s="53">
        <f>Total!L32*20</f>
        <v>0</v>
      </c>
      <c r="P41" s="54"/>
    </row>
    <row r="42" spans="1:16" ht="19.5" customHeight="1" x14ac:dyDescent="0.25">
      <c r="A42" s="119" t="s">
        <v>110</v>
      </c>
      <c r="B42" s="51" t="str">
        <f>Total!B33</f>
        <v>C1</v>
      </c>
      <c r="C42" s="16" t="s">
        <v>32</v>
      </c>
      <c r="D42" s="52"/>
      <c r="E42" s="52"/>
      <c r="F42" s="53">
        <f>Total!C33*20</f>
        <v>0</v>
      </c>
      <c r="G42" s="53">
        <f>Total!D33*20</f>
        <v>0</v>
      </c>
      <c r="H42" s="53">
        <f>Total!E33*25</f>
        <v>0</v>
      </c>
      <c r="I42" s="53">
        <f>Total!F33*25</f>
        <v>0</v>
      </c>
      <c r="J42" s="53">
        <f>Total!G33*25</f>
        <v>0</v>
      </c>
      <c r="K42" s="53">
        <f>Total!H33*25</f>
        <v>0</v>
      </c>
      <c r="L42" s="53">
        <f>Total!I33*25</f>
        <v>100</v>
      </c>
      <c r="M42" s="53">
        <f>Total!J33*20</f>
        <v>0</v>
      </c>
      <c r="N42" s="53">
        <f>Total!K33*20</f>
        <v>0</v>
      </c>
      <c r="O42" s="53">
        <f>Total!L33*20</f>
        <v>0</v>
      </c>
      <c r="P42" s="54" t="str">
        <f t="shared" ref="P42:P43" si="1">+B42</f>
        <v>C1</v>
      </c>
    </row>
    <row r="43" spans="1:16" ht="19.5" customHeight="1" x14ac:dyDescent="0.25">
      <c r="A43" s="120"/>
      <c r="B43" s="51" t="str">
        <f>Total!B34</f>
        <v>C2N</v>
      </c>
      <c r="C43" s="16" t="s">
        <v>32</v>
      </c>
      <c r="D43" s="52"/>
      <c r="E43" s="52"/>
      <c r="F43" s="53">
        <f>Total!C34*20</f>
        <v>0</v>
      </c>
      <c r="G43" s="53">
        <f>Total!D34*20</f>
        <v>0</v>
      </c>
      <c r="H43" s="53">
        <f>Total!E34*25</f>
        <v>0</v>
      </c>
      <c r="I43" s="53">
        <f>Total!F34*25</f>
        <v>0</v>
      </c>
      <c r="J43" s="53">
        <f>Total!G34*25</f>
        <v>0</v>
      </c>
      <c r="K43" s="53">
        <f>Total!H34*25</f>
        <v>0</v>
      </c>
      <c r="L43" s="53">
        <f>Total!I34*25</f>
        <v>225</v>
      </c>
      <c r="M43" s="53">
        <f>Total!J34*20</f>
        <v>0</v>
      </c>
      <c r="N43" s="53">
        <f>Total!K34*20</f>
        <v>0</v>
      </c>
      <c r="O43" s="53">
        <f>Total!L34*20</f>
        <v>0</v>
      </c>
      <c r="P43" s="54" t="str">
        <f t="shared" si="1"/>
        <v>C2N</v>
      </c>
    </row>
    <row r="44" spans="1:16" ht="19.5" customHeight="1" x14ac:dyDescent="0.25">
      <c r="A44" s="120"/>
      <c r="B44" s="51" t="str">
        <f>Total!B35</f>
        <v>C2</v>
      </c>
      <c r="C44" s="16" t="s">
        <v>32</v>
      </c>
      <c r="D44" s="52"/>
      <c r="E44" s="52"/>
      <c r="F44" s="53">
        <f>Total!C35*20</f>
        <v>0</v>
      </c>
      <c r="G44" s="53">
        <f>Total!D35*20</f>
        <v>0</v>
      </c>
      <c r="H44" s="53">
        <f>Total!E35*25</f>
        <v>0</v>
      </c>
      <c r="I44" s="53">
        <f>Total!F35*25</f>
        <v>0</v>
      </c>
      <c r="J44" s="53">
        <f>Total!G35*25</f>
        <v>0</v>
      </c>
      <c r="K44" s="53">
        <f>Total!H35*25</f>
        <v>0</v>
      </c>
      <c r="L44" s="53">
        <f>Total!I35*25</f>
        <v>325</v>
      </c>
      <c r="M44" s="53">
        <f>Total!J35*20</f>
        <v>0</v>
      </c>
      <c r="N44" s="53">
        <f>Total!K35*20</f>
        <v>0</v>
      </c>
      <c r="O44" s="53">
        <f>Total!L35*20</f>
        <v>0</v>
      </c>
      <c r="P44" s="54"/>
    </row>
    <row r="45" spans="1:16" ht="19.5" customHeight="1" x14ac:dyDescent="0.25">
      <c r="A45" s="120"/>
      <c r="B45" s="51" t="str">
        <f>Total!B36</f>
        <v>C3</v>
      </c>
      <c r="C45" s="16" t="s">
        <v>32</v>
      </c>
      <c r="D45" s="52"/>
      <c r="E45" s="52"/>
      <c r="F45" s="53">
        <f>Total!C36*20</f>
        <v>0</v>
      </c>
      <c r="G45" s="53">
        <f>Total!D36*20</f>
        <v>0</v>
      </c>
      <c r="H45" s="53">
        <f>Total!E36*25</f>
        <v>0</v>
      </c>
      <c r="I45" s="53">
        <f>Total!F36*25</f>
        <v>0</v>
      </c>
      <c r="J45" s="53">
        <f>Total!G36*25</f>
        <v>0</v>
      </c>
      <c r="K45" s="53">
        <f>Total!H36*25</f>
        <v>0</v>
      </c>
      <c r="L45" s="53">
        <f>Total!I36*25</f>
        <v>125</v>
      </c>
      <c r="M45" s="53">
        <f>Total!J36*20</f>
        <v>0</v>
      </c>
      <c r="N45" s="53">
        <f>Total!K36*20</f>
        <v>0</v>
      </c>
      <c r="O45" s="53">
        <f>Total!L36*20</f>
        <v>0</v>
      </c>
      <c r="P45" s="54" t="str">
        <f t="shared" ref="P45:P46" si="2">+B45</f>
        <v>C3</v>
      </c>
    </row>
    <row r="46" spans="1:16" ht="19.5" customHeight="1" x14ac:dyDescent="0.25">
      <c r="A46" s="120"/>
      <c r="B46" s="51" t="str">
        <f>Total!B37</f>
        <v>C4</v>
      </c>
      <c r="C46" s="16" t="s">
        <v>71</v>
      </c>
      <c r="D46" s="52"/>
      <c r="E46" s="52"/>
      <c r="F46" s="53">
        <f>Total!C37*20</f>
        <v>0</v>
      </c>
      <c r="G46" s="53">
        <f>Total!D37*20</f>
        <v>0</v>
      </c>
      <c r="H46" s="53">
        <f>Total!E37*25</f>
        <v>0</v>
      </c>
      <c r="I46" s="53">
        <f>Total!F37*25</f>
        <v>0</v>
      </c>
      <c r="J46" s="53">
        <f>Total!G37*25</f>
        <v>0</v>
      </c>
      <c r="K46" s="53">
        <f>Total!H37*25</f>
        <v>150</v>
      </c>
      <c r="L46" s="53">
        <f>Total!I37*25</f>
        <v>200</v>
      </c>
      <c r="M46" s="53">
        <f>Total!J37*20</f>
        <v>0</v>
      </c>
      <c r="N46" s="53">
        <f>Total!K37*20</f>
        <v>0</v>
      </c>
      <c r="O46" s="53">
        <f>Total!L37*20</f>
        <v>0</v>
      </c>
      <c r="P46" s="54" t="str">
        <f t="shared" si="2"/>
        <v>C4</v>
      </c>
    </row>
    <row r="47" spans="1:16" ht="19.5" customHeight="1" x14ac:dyDescent="0.25">
      <c r="A47" s="120"/>
      <c r="B47" s="51" t="str">
        <f>Total!B38</f>
        <v>C5</v>
      </c>
      <c r="C47" s="16" t="s">
        <v>73</v>
      </c>
      <c r="D47" s="52"/>
      <c r="E47" s="52"/>
      <c r="F47" s="53">
        <f>Total!C38*20</f>
        <v>0</v>
      </c>
      <c r="G47" s="53">
        <f>Total!D38*20</f>
        <v>0</v>
      </c>
      <c r="H47" s="53">
        <f>Total!E38*25</f>
        <v>300</v>
      </c>
      <c r="I47" s="53">
        <f>Total!F38*25</f>
        <v>0</v>
      </c>
      <c r="J47" s="53">
        <f>Total!G38*25</f>
        <v>300</v>
      </c>
      <c r="K47" s="53">
        <f>Total!H38*25</f>
        <v>0</v>
      </c>
      <c r="L47" s="53">
        <f>Total!I38*25</f>
        <v>0</v>
      </c>
      <c r="M47" s="53">
        <f>Total!J38*20</f>
        <v>0</v>
      </c>
      <c r="N47" s="53">
        <f>Total!K38*20</f>
        <v>0</v>
      </c>
      <c r="O47" s="53">
        <f>Total!L38*20</f>
        <v>0</v>
      </c>
      <c r="P47" s="54"/>
    </row>
    <row r="48" spans="1:16" ht="19.5" customHeight="1" x14ac:dyDescent="0.25">
      <c r="A48" s="121"/>
      <c r="B48" s="51" t="str">
        <f>Total!B39</f>
        <v>C6</v>
      </c>
      <c r="C48" s="16" t="s">
        <v>73</v>
      </c>
      <c r="D48" s="52"/>
      <c r="E48" s="52"/>
      <c r="F48" s="53">
        <f>Total!C39*20</f>
        <v>0</v>
      </c>
      <c r="G48" s="53">
        <f>Total!D39*20</f>
        <v>0</v>
      </c>
      <c r="H48" s="53">
        <f>Total!E39*25</f>
        <v>0</v>
      </c>
      <c r="I48" s="53">
        <f>Total!F39*25</f>
        <v>0</v>
      </c>
      <c r="J48" s="53">
        <f>Total!G39*25</f>
        <v>300</v>
      </c>
      <c r="K48" s="53">
        <f>Total!H39*25</f>
        <v>0</v>
      </c>
      <c r="L48" s="53">
        <f>Total!I39*25</f>
        <v>0</v>
      </c>
      <c r="M48" s="53">
        <f>Total!J39*20</f>
        <v>0</v>
      </c>
      <c r="N48" s="53">
        <f>Total!K39*20</f>
        <v>0</v>
      </c>
      <c r="O48" s="53">
        <f>Total!L39*20</f>
        <v>0</v>
      </c>
      <c r="P48" s="54" t="str">
        <f>+B48</f>
        <v>C6</v>
      </c>
    </row>
    <row r="49" spans="1:15" ht="19.5" customHeight="1" x14ac:dyDescent="0.25">
      <c r="A49" s="56" t="s">
        <v>77</v>
      </c>
      <c r="B49" s="57" t="str">
        <f>Total!B40</f>
        <v>Hatchery</v>
      </c>
      <c r="C49" s="16" t="s">
        <v>76</v>
      </c>
      <c r="D49" s="52"/>
      <c r="E49" s="52">
        <v>0</v>
      </c>
      <c r="F49" s="53">
        <v>0</v>
      </c>
      <c r="G49" s="53">
        <v>0</v>
      </c>
      <c r="H49" s="53">
        <f>Total!E40*25</f>
        <v>0</v>
      </c>
      <c r="I49" s="53">
        <f>Total!F40*25</f>
        <v>0</v>
      </c>
      <c r="J49" s="53">
        <f>Total!G40*25</f>
        <v>0</v>
      </c>
      <c r="K49" s="53">
        <f>Total!H40*25</f>
        <v>0</v>
      </c>
      <c r="L49" s="53">
        <f>Total!I40*25</f>
        <v>0</v>
      </c>
      <c r="M49" s="53">
        <f>Total!J40*20</f>
        <v>0</v>
      </c>
      <c r="N49" s="53">
        <f>Total!K40*20</f>
        <v>0</v>
      </c>
      <c r="O49" s="53">
        <f>Total!L40*20</f>
        <v>0</v>
      </c>
    </row>
    <row r="50" spans="1:15" ht="19.5" customHeight="1" x14ac:dyDescent="0.25">
      <c r="A50" s="56" t="s">
        <v>79</v>
      </c>
      <c r="B50" s="51" t="str">
        <f>Total!B41</f>
        <v>Jaula</v>
      </c>
      <c r="C50" s="21" t="s">
        <v>78</v>
      </c>
      <c r="D50" s="55"/>
      <c r="E50" s="55"/>
      <c r="F50" s="53">
        <f>Total!C41*20</f>
        <v>0</v>
      </c>
      <c r="G50" s="53">
        <f>Total!D41*20</f>
        <v>0</v>
      </c>
      <c r="H50" s="53">
        <f>Total!E41*25</f>
        <v>0</v>
      </c>
      <c r="I50" s="53">
        <f>Total!F41*25</f>
        <v>0</v>
      </c>
      <c r="J50" s="53">
        <f>Total!G41*25</f>
        <v>0</v>
      </c>
      <c r="K50" s="53">
        <f>Total!H41*25</f>
        <v>0</v>
      </c>
      <c r="L50" s="53">
        <f>Total!I41*25</f>
        <v>0</v>
      </c>
      <c r="M50" s="53">
        <f>Total!J41*20</f>
        <v>0</v>
      </c>
      <c r="N50" s="53">
        <f>Total!K41*20</f>
        <v>0</v>
      </c>
      <c r="O50" s="53">
        <f>Total!L41*20</f>
        <v>0</v>
      </c>
    </row>
    <row r="51" spans="1:15" ht="3" customHeight="1" x14ac:dyDescent="0.25">
      <c r="A51" s="58"/>
      <c r="B51" s="58"/>
      <c r="C51" s="58"/>
      <c r="D51" s="58"/>
      <c r="E51" s="58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ht="17.25" customHeight="1" x14ac:dyDescent="0.25">
      <c r="A52" s="58"/>
      <c r="B52" s="58"/>
      <c r="C52" s="58"/>
      <c r="D52" s="58"/>
      <c r="E52" s="58"/>
      <c r="F52" s="59"/>
      <c r="G52" s="59"/>
      <c r="H52" s="59"/>
      <c r="I52" s="59"/>
      <c r="J52" s="122"/>
      <c r="K52" s="95"/>
      <c r="L52" s="123"/>
      <c r="M52" s="95"/>
      <c r="N52" s="95"/>
      <c r="O52" s="95"/>
    </row>
    <row r="53" spans="1:15" ht="24" customHeight="1" x14ac:dyDescent="0.25">
      <c r="A53" s="124"/>
      <c r="B53" s="95"/>
      <c r="C53" s="95"/>
      <c r="D53" s="58"/>
      <c r="E53" s="58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ht="24" customHeight="1" x14ac:dyDescent="0.25">
      <c r="A54" s="58"/>
      <c r="B54" s="58"/>
      <c r="C54" s="58"/>
      <c r="D54" s="58"/>
      <c r="E54" s="58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ht="24" customHeight="1" x14ac:dyDescent="0.25">
      <c r="A55" s="124"/>
      <c r="B55" s="95"/>
      <c r="C55" s="95"/>
      <c r="D55" s="58"/>
      <c r="E55" s="58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1:15" ht="24" customHeight="1" x14ac:dyDescent="0.25">
      <c r="A56" s="124"/>
      <c r="B56" s="95"/>
      <c r="C56" s="95"/>
      <c r="D56" s="58"/>
      <c r="E56" s="58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ht="14.25" customHeight="1" x14ac:dyDescent="0.25">
      <c r="A57" s="108" t="s">
        <v>0</v>
      </c>
      <c r="B57" s="109"/>
      <c r="C57" s="41" t="s">
        <v>1</v>
      </c>
      <c r="D57" s="110" t="s">
        <v>2</v>
      </c>
      <c r="E57" s="98"/>
      <c r="F57" s="98"/>
      <c r="G57" s="98"/>
      <c r="H57" s="98"/>
      <c r="I57" s="98"/>
      <c r="J57" s="98"/>
      <c r="K57" s="99"/>
      <c r="L57" s="97"/>
      <c r="M57" s="98"/>
      <c r="N57" s="98"/>
      <c r="O57" s="99"/>
    </row>
    <row r="58" spans="1:15" ht="14.25" customHeight="1" x14ac:dyDescent="0.25">
      <c r="A58" s="108" t="s">
        <v>3</v>
      </c>
      <c r="B58" s="109"/>
      <c r="C58" s="60" t="s">
        <v>98</v>
      </c>
      <c r="D58" s="102"/>
      <c r="E58" s="103"/>
      <c r="F58" s="103"/>
      <c r="G58" s="103"/>
      <c r="H58" s="103"/>
      <c r="I58" s="103"/>
      <c r="J58" s="103"/>
      <c r="K58" s="104"/>
      <c r="L58" s="100"/>
      <c r="M58" s="95"/>
      <c r="N58" s="95"/>
      <c r="O58" s="101"/>
    </row>
    <row r="59" spans="1:15" ht="14.25" customHeight="1" x14ac:dyDescent="0.25">
      <c r="A59" s="108" t="s">
        <v>4</v>
      </c>
      <c r="B59" s="109"/>
      <c r="C59" s="61">
        <v>44701</v>
      </c>
      <c r="D59" s="106" t="s">
        <v>99</v>
      </c>
      <c r="E59" s="98"/>
      <c r="F59" s="98"/>
      <c r="G59" s="98"/>
      <c r="H59" s="98"/>
      <c r="I59" s="98"/>
      <c r="J59" s="98"/>
      <c r="K59" s="99"/>
      <c r="L59" s="100"/>
      <c r="M59" s="95"/>
      <c r="N59" s="95"/>
      <c r="O59" s="101"/>
    </row>
    <row r="60" spans="1:15" ht="14.25" customHeight="1" x14ac:dyDescent="0.25">
      <c r="A60" s="108" t="s">
        <v>5</v>
      </c>
      <c r="B60" s="109"/>
      <c r="C60" s="41" t="s">
        <v>6</v>
      </c>
      <c r="D60" s="100"/>
      <c r="E60" s="95"/>
      <c r="F60" s="95"/>
      <c r="G60" s="95"/>
      <c r="H60" s="95"/>
      <c r="I60" s="95"/>
      <c r="J60" s="95"/>
      <c r="K60" s="101"/>
      <c r="L60" s="102"/>
      <c r="M60" s="103"/>
      <c r="N60" s="103"/>
      <c r="O60" s="104"/>
    </row>
    <row r="61" spans="1:15" ht="14.25" customHeight="1" x14ac:dyDescent="0.25">
      <c r="A61" s="125" t="s">
        <v>7</v>
      </c>
      <c r="B61" s="109"/>
      <c r="C61" s="41" t="s">
        <v>8</v>
      </c>
      <c r="D61" s="102"/>
      <c r="E61" s="103"/>
      <c r="F61" s="103"/>
      <c r="G61" s="103"/>
      <c r="H61" s="103"/>
      <c r="I61" s="103"/>
      <c r="J61" s="103"/>
      <c r="K61" s="104"/>
      <c r="L61" s="105">
        <v>46113</v>
      </c>
      <c r="M61" s="98"/>
      <c r="N61" s="98"/>
      <c r="O61" s="99"/>
    </row>
    <row r="62" spans="1:15" ht="14.25" customHeight="1" x14ac:dyDescent="0.25">
      <c r="A62" s="108" t="s">
        <v>10</v>
      </c>
      <c r="B62" s="109"/>
      <c r="C62" s="41" t="s">
        <v>6</v>
      </c>
      <c r="D62" s="107" t="s">
        <v>15</v>
      </c>
      <c r="E62" s="98"/>
      <c r="F62" s="98"/>
      <c r="G62" s="98"/>
      <c r="H62" s="98"/>
      <c r="I62" s="98"/>
      <c r="J62" s="98"/>
      <c r="K62" s="99"/>
      <c r="L62" s="100"/>
      <c r="M62" s="95"/>
      <c r="N62" s="95"/>
      <c r="O62" s="101"/>
    </row>
    <row r="63" spans="1:15" ht="14.25" customHeight="1" x14ac:dyDescent="0.25">
      <c r="A63" s="108" t="s">
        <v>13</v>
      </c>
      <c r="B63" s="109"/>
      <c r="C63" s="41" t="s">
        <v>111</v>
      </c>
      <c r="D63" s="102"/>
      <c r="E63" s="103"/>
      <c r="F63" s="103"/>
      <c r="G63" s="103"/>
      <c r="H63" s="103"/>
      <c r="I63" s="103"/>
      <c r="J63" s="103"/>
      <c r="K63" s="104"/>
      <c r="L63" s="102"/>
      <c r="M63" s="103"/>
      <c r="N63" s="103"/>
      <c r="O63" s="104"/>
    </row>
    <row r="64" spans="1:15" ht="5.25" customHeight="1" x14ac:dyDescent="0.2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ht="15.75" customHeight="1" x14ac:dyDescent="0.25"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ht="90.75" customHeight="1" thickBot="1" x14ac:dyDescent="0.3">
      <c r="A66" s="62"/>
      <c r="B66" s="62"/>
      <c r="C66" s="63" t="s">
        <v>112</v>
      </c>
      <c r="D66" s="48" t="s">
        <v>103</v>
      </c>
      <c r="E66" s="64" t="str">
        <f t="shared" ref="E66:L66" si="3">E11</f>
        <v>Thalassa 0.5 -1.0</v>
      </c>
      <c r="F66" s="64" t="str">
        <f t="shared" si="3"/>
        <v>Thalassa 0.9 -1.6</v>
      </c>
      <c r="G66" s="64" t="str">
        <f t="shared" si="3"/>
        <v>Thalassa 1.3 - 2.0</v>
      </c>
      <c r="H66" s="64" t="str">
        <f t="shared" si="3"/>
        <v>3 mm progress ex</v>
      </c>
      <c r="I66" s="64" t="str">
        <f t="shared" si="3"/>
        <v>4.5 mm Progress</v>
      </c>
      <c r="J66" s="64" t="str">
        <f t="shared" si="3"/>
        <v>6 mm Progress</v>
      </c>
      <c r="K66" s="64" t="str">
        <f t="shared" si="3"/>
        <v>8 mm Progress</v>
      </c>
      <c r="L66" s="64" t="str">
        <f t="shared" si="3"/>
        <v>8 mm Reproductor</v>
      </c>
      <c r="M66" s="64"/>
      <c r="N66" s="64"/>
      <c r="O66" s="64"/>
    </row>
    <row r="67" spans="1:15" ht="21.75" customHeight="1" thickBot="1" x14ac:dyDescent="0.3">
      <c r="A67" s="89" t="s">
        <v>113</v>
      </c>
      <c r="B67" s="90"/>
      <c r="C67" s="65">
        <f t="shared" ref="C67:C70" si="4">SUM(D67:O67)</f>
        <v>10975</v>
      </c>
      <c r="D67" s="66">
        <v>0</v>
      </c>
      <c r="E67" s="66">
        <v>0</v>
      </c>
      <c r="F67" s="67">
        <f t="shared" ref="F67:O67" si="5">SUM(F12:F50)</f>
        <v>0</v>
      </c>
      <c r="G67" s="67">
        <f t="shared" si="5"/>
        <v>0</v>
      </c>
      <c r="H67" s="67">
        <f t="shared" si="5"/>
        <v>1500</v>
      </c>
      <c r="I67" s="67">
        <f t="shared" si="5"/>
        <v>125</v>
      </c>
      <c r="J67" s="67">
        <f t="shared" si="5"/>
        <v>4225</v>
      </c>
      <c r="K67" s="67">
        <f t="shared" si="5"/>
        <v>1550</v>
      </c>
      <c r="L67" s="67">
        <f t="shared" si="5"/>
        <v>3575</v>
      </c>
      <c r="M67" s="67">
        <f t="shared" si="5"/>
        <v>0</v>
      </c>
      <c r="N67" s="67">
        <f t="shared" si="5"/>
        <v>0</v>
      </c>
      <c r="O67" s="68">
        <f t="shared" si="5"/>
        <v>0</v>
      </c>
    </row>
    <row r="68" spans="1:15" ht="21.75" customHeight="1" x14ac:dyDescent="0.25">
      <c r="A68" s="91" t="s">
        <v>114</v>
      </c>
      <c r="B68" s="92"/>
      <c r="C68" s="69">
        <f t="shared" si="4"/>
        <v>42075</v>
      </c>
      <c r="D68" s="70">
        <v>40</v>
      </c>
      <c r="E68" s="70">
        <v>580</v>
      </c>
      <c r="F68" s="71">
        <v>540</v>
      </c>
      <c r="G68" s="71">
        <v>1740</v>
      </c>
      <c r="H68" s="71">
        <v>10950</v>
      </c>
      <c r="I68" s="71">
        <v>3475</v>
      </c>
      <c r="J68" s="71">
        <v>9400</v>
      </c>
      <c r="K68" s="71">
        <v>1550</v>
      </c>
      <c r="L68" s="71">
        <v>13800</v>
      </c>
      <c r="M68" s="71">
        <v>0</v>
      </c>
      <c r="N68" s="71">
        <v>0</v>
      </c>
      <c r="O68" s="71">
        <v>0</v>
      </c>
    </row>
    <row r="69" spans="1:15" ht="21.75" customHeight="1" x14ac:dyDescent="0.25">
      <c r="A69" s="91" t="s">
        <v>115</v>
      </c>
      <c r="B69" s="92"/>
      <c r="C69" s="72">
        <f t="shared" si="4"/>
        <v>0</v>
      </c>
      <c r="D69" s="73">
        <v>0</v>
      </c>
      <c r="E69" s="7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</row>
    <row r="70" spans="1:15" ht="21.75" customHeight="1" x14ac:dyDescent="0.25">
      <c r="A70" s="93" t="s">
        <v>116</v>
      </c>
      <c r="B70" s="92"/>
      <c r="C70" s="74">
        <f t="shared" si="4"/>
        <v>31100</v>
      </c>
      <c r="D70" s="74">
        <f t="shared" ref="D70:O70" si="6">(D68+D69)-D67</f>
        <v>40</v>
      </c>
      <c r="E70" s="74">
        <f t="shared" si="6"/>
        <v>580</v>
      </c>
      <c r="F70" s="74">
        <f t="shared" si="6"/>
        <v>540</v>
      </c>
      <c r="G70" s="74">
        <f t="shared" si="6"/>
        <v>1740</v>
      </c>
      <c r="H70" s="74">
        <f t="shared" si="6"/>
        <v>9450</v>
      </c>
      <c r="I70" s="74">
        <f t="shared" si="6"/>
        <v>3350</v>
      </c>
      <c r="J70" s="74">
        <f t="shared" si="6"/>
        <v>5175</v>
      </c>
      <c r="K70" s="74">
        <f t="shared" si="6"/>
        <v>0</v>
      </c>
      <c r="L70" s="74">
        <f t="shared" si="6"/>
        <v>10225</v>
      </c>
      <c r="M70" s="74">
        <f t="shared" si="6"/>
        <v>0</v>
      </c>
      <c r="N70" s="74">
        <f t="shared" si="6"/>
        <v>0</v>
      </c>
      <c r="O70" s="74">
        <f t="shared" si="6"/>
        <v>0</v>
      </c>
    </row>
    <row r="71" spans="1:15" ht="15.75" customHeight="1" x14ac:dyDescent="0.25">
      <c r="A71" s="94"/>
      <c r="B71" s="95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ht="15.75" customHeight="1" x14ac:dyDescent="0.25">
      <c r="A72" s="94"/>
      <c r="B72" s="95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ht="15.75" customHeight="1" x14ac:dyDescent="0.25">
      <c r="A73" s="94"/>
      <c r="B73" s="95"/>
      <c r="C73" s="5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1:15" ht="15.75" customHeight="1" x14ac:dyDescent="0.25">
      <c r="A74" s="94"/>
      <c r="B74" s="95"/>
      <c r="C74" s="5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/>
    <row r="76" spans="1:15" ht="83.25" customHeight="1" x14ac:dyDescent="0.25">
      <c r="A76" s="93" t="s">
        <v>117</v>
      </c>
      <c r="B76" s="92"/>
      <c r="C76" s="75" t="s">
        <v>118</v>
      </c>
      <c r="D76" s="76" t="s">
        <v>103</v>
      </c>
      <c r="E76" s="76" t="s">
        <v>104</v>
      </c>
      <c r="F76" s="64" t="str">
        <f t="shared" ref="F76:L76" si="7">F11</f>
        <v>Thalassa 0.9 -1.6</v>
      </c>
      <c r="G76" s="64" t="str">
        <f t="shared" si="7"/>
        <v>Thalassa 1.3 - 2.0</v>
      </c>
      <c r="H76" s="64" t="str">
        <f t="shared" si="7"/>
        <v>3 mm progress ex</v>
      </c>
      <c r="I76" s="64" t="str">
        <f t="shared" si="7"/>
        <v>4.5 mm Progress</v>
      </c>
      <c r="J76" s="64" t="str">
        <f t="shared" si="7"/>
        <v>6 mm Progress</v>
      </c>
      <c r="K76" s="64" t="str">
        <f t="shared" si="7"/>
        <v>8 mm Progress</v>
      </c>
      <c r="L76" s="64" t="str">
        <f t="shared" si="7"/>
        <v>8 mm Reproductor</v>
      </c>
      <c r="M76" s="64"/>
      <c r="N76" s="64"/>
      <c r="O76" s="64"/>
    </row>
    <row r="77" spans="1:15" ht="15.75" customHeight="1" x14ac:dyDescent="0.25">
      <c r="A77" s="93" t="str">
        <f>Hoja21!A5</f>
        <v>Candelaria</v>
      </c>
      <c r="B77" s="92"/>
      <c r="C77" s="77">
        <f t="shared" ref="C77:C87" si="8">SUM(D77:O77)</f>
        <v>375</v>
      </c>
      <c r="D77" s="53">
        <f>Hoja21!B5</f>
        <v>0</v>
      </c>
      <c r="E77" s="53">
        <f>Hoja21!C5</f>
        <v>0</v>
      </c>
      <c r="F77" s="53">
        <f>Hoja21!D5</f>
        <v>0</v>
      </c>
      <c r="G77" s="53">
        <f>Hoja21!E5</f>
        <v>0</v>
      </c>
      <c r="H77" s="53">
        <f>Hoja21!F5</f>
        <v>300</v>
      </c>
      <c r="I77" s="53">
        <f>Hoja21!G5</f>
        <v>0</v>
      </c>
      <c r="J77" s="53">
        <f>Hoja21!H5</f>
        <v>75</v>
      </c>
      <c r="K77" s="53">
        <f>Hoja21!I5</f>
        <v>0</v>
      </c>
      <c r="L77" s="53">
        <f>Hoja21!J5</f>
        <v>0</v>
      </c>
      <c r="M77" s="53">
        <f>Hoja21!K5</f>
        <v>0</v>
      </c>
      <c r="N77" s="53">
        <f>Hoja21!L5</f>
        <v>0</v>
      </c>
      <c r="O77" s="53">
        <f>Hoja21!M5</f>
        <v>0</v>
      </c>
    </row>
    <row r="78" spans="1:15" ht="15.75" customHeight="1" x14ac:dyDescent="0.25">
      <c r="A78" s="93" t="str">
        <f>Hoja21!A6</f>
        <v>Caridad</v>
      </c>
      <c r="B78" s="92"/>
      <c r="C78" s="77">
        <f t="shared" si="8"/>
        <v>600</v>
      </c>
      <c r="D78" s="53">
        <f>Hoja21!B6</f>
        <v>0</v>
      </c>
      <c r="E78" s="53">
        <f>Hoja21!C6</f>
        <v>0</v>
      </c>
      <c r="F78" s="53">
        <f>Hoja21!D6</f>
        <v>0</v>
      </c>
      <c r="G78" s="53">
        <f>Hoja21!E6</f>
        <v>0</v>
      </c>
      <c r="H78" s="53">
        <f>Hoja21!F6</f>
        <v>600</v>
      </c>
      <c r="I78" s="53">
        <f>Hoja21!G6</f>
        <v>0</v>
      </c>
      <c r="J78" s="53">
        <f>Hoja21!H6</f>
        <v>0</v>
      </c>
      <c r="K78" s="53">
        <f>Hoja21!I6</f>
        <v>0</v>
      </c>
      <c r="L78" s="53">
        <f>Hoja21!J6</f>
        <v>0</v>
      </c>
      <c r="M78" s="53">
        <f>Hoja21!K6</f>
        <v>0</v>
      </c>
      <c r="N78" s="53">
        <f>Hoja21!L6</f>
        <v>0</v>
      </c>
      <c r="O78" s="53">
        <f>Hoja21!M6</f>
        <v>0</v>
      </c>
    </row>
    <row r="79" spans="1:15" ht="15.75" customHeight="1" x14ac:dyDescent="0.25">
      <c r="A79" s="93" t="str">
        <f>Hoja21!A7</f>
        <v>Del carmen</v>
      </c>
      <c r="B79" s="92"/>
      <c r="C79" s="77">
        <f t="shared" si="8"/>
        <v>650</v>
      </c>
      <c r="D79" s="53">
        <f>Hoja21!B7</f>
        <v>0</v>
      </c>
      <c r="E79" s="53">
        <f>Hoja21!C7</f>
        <v>0</v>
      </c>
      <c r="F79" s="53">
        <f>Hoja21!D7</f>
        <v>0</v>
      </c>
      <c r="G79" s="53">
        <f>Hoja21!E7</f>
        <v>0</v>
      </c>
      <c r="H79" s="53">
        <f>Hoja21!F7</f>
        <v>0</v>
      </c>
      <c r="I79" s="53">
        <f>Hoja21!G7</f>
        <v>0</v>
      </c>
      <c r="J79" s="53">
        <f>Hoja21!H7</f>
        <v>300</v>
      </c>
      <c r="K79" s="53">
        <f>Hoja21!I7</f>
        <v>150</v>
      </c>
      <c r="L79" s="53">
        <f>Hoja21!J7</f>
        <v>200</v>
      </c>
      <c r="M79" s="53">
        <f>Hoja21!K7</f>
        <v>0</v>
      </c>
      <c r="N79" s="53">
        <f>Hoja21!L7</f>
        <v>0</v>
      </c>
      <c r="O79" s="53">
        <f>Hoja21!M7</f>
        <v>0</v>
      </c>
    </row>
    <row r="80" spans="1:15" ht="15.75" customHeight="1" x14ac:dyDescent="0.25">
      <c r="A80" s="93" t="str">
        <f>Hoja21!A8</f>
        <v>Dolores</v>
      </c>
      <c r="B80" s="92"/>
      <c r="C80" s="77">
        <f t="shared" si="8"/>
        <v>225</v>
      </c>
      <c r="D80" s="53">
        <f>Hoja21!B8</f>
        <v>0</v>
      </c>
      <c r="E80" s="53">
        <f>Hoja21!C8</f>
        <v>0</v>
      </c>
      <c r="F80" s="53">
        <f>Hoja21!D8</f>
        <v>0</v>
      </c>
      <c r="G80" s="53">
        <f>Hoja21!E8</f>
        <v>0</v>
      </c>
      <c r="H80" s="53">
        <f>Hoja21!F8</f>
        <v>0</v>
      </c>
      <c r="I80" s="53">
        <f>Hoja21!G8</f>
        <v>0</v>
      </c>
      <c r="J80" s="53">
        <f>Hoja21!H8</f>
        <v>0</v>
      </c>
      <c r="K80" s="53">
        <f>Hoja21!I8</f>
        <v>100</v>
      </c>
      <c r="L80" s="53">
        <f>Hoja21!J8</f>
        <v>125</v>
      </c>
      <c r="M80" s="53">
        <f>Hoja21!K8</f>
        <v>0</v>
      </c>
      <c r="N80" s="53">
        <f>Hoja21!L8</f>
        <v>0</v>
      </c>
      <c r="O80" s="53">
        <f>Hoja21!M8</f>
        <v>0</v>
      </c>
    </row>
    <row r="81" spans="1:15" ht="15.75" customHeight="1" x14ac:dyDescent="0.25">
      <c r="A81" s="93" t="str">
        <f>Hoja21!A9</f>
        <v>Loreto</v>
      </c>
      <c r="B81" s="92"/>
      <c r="C81" s="77">
        <f t="shared" si="8"/>
        <v>0</v>
      </c>
      <c r="D81" s="53">
        <f>Hoja21!B9</f>
        <v>0</v>
      </c>
      <c r="E81" s="53">
        <f>Hoja21!C9</f>
        <v>0</v>
      </c>
      <c r="F81" s="53">
        <f>Hoja21!D9</f>
        <v>0</v>
      </c>
      <c r="G81" s="53">
        <f>Hoja21!E9</f>
        <v>0</v>
      </c>
      <c r="H81" s="53">
        <f>Hoja21!F9</f>
        <v>0</v>
      </c>
      <c r="I81" s="53">
        <f>Hoja21!G9</f>
        <v>0</v>
      </c>
      <c r="J81" s="53">
        <f>Hoja21!H9</f>
        <v>0</v>
      </c>
      <c r="K81" s="53">
        <f>Hoja21!I9</f>
        <v>0</v>
      </c>
      <c r="L81" s="53">
        <f>Hoja21!J9</f>
        <v>0</v>
      </c>
      <c r="M81" s="53">
        <f>Hoja21!K9</f>
        <v>0</v>
      </c>
      <c r="N81" s="53">
        <f>Hoja21!L9</f>
        <v>0</v>
      </c>
      <c r="O81" s="53">
        <f>Hoja21!M9</f>
        <v>0</v>
      </c>
    </row>
    <row r="82" spans="1:15" ht="15.75" customHeight="1" x14ac:dyDescent="0.25">
      <c r="A82" s="93" t="str">
        <f>Hoja21!A10</f>
        <v>Lourdes</v>
      </c>
      <c r="B82" s="92"/>
      <c r="C82" s="77">
        <f t="shared" si="8"/>
        <v>900</v>
      </c>
      <c r="D82" s="53">
        <f>Hoja21!B10</f>
        <v>0</v>
      </c>
      <c r="E82" s="53">
        <f>Hoja21!C10</f>
        <v>0</v>
      </c>
      <c r="F82" s="53">
        <f>Hoja21!D10</f>
        <v>0</v>
      </c>
      <c r="G82" s="53">
        <f>Hoja21!E10</f>
        <v>0</v>
      </c>
      <c r="H82" s="53">
        <f>Hoja21!F10</f>
        <v>300</v>
      </c>
      <c r="I82" s="53">
        <f>Hoja21!G10</f>
        <v>0</v>
      </c>
      <c r="J82" s="53">
        <f>Hoja21!H10</f>
        <v>600</v>
      </c>
      <c r="K82" s="53">
        <f>Hoja21!I10</f>
        <v>0</v>
      </c>
      <c r="L82" s="53">
        <f>Hoja21!J10</f>
        <v>0</v>
      </c>
      <c r="M82" s="53">
        <f>Hoja21!K10</f>
        <v>0</v>
      </c>
      <c r="N82" s="53">
        <f>Hoja21!L10</f>
        <v>0</v>
      </c>
      <c r="O82" s="53">
        <f>Hoja21!M10</f>
        <v>0</v>
      </c>
    </row>
    <row r="83" spans="1:15" ht="15.75" customHeight="1" x14ac:dyDescent="0.25">
      <c r="A83" s="93" t="str">
        <f>Hoja21!A11</f>
        <v>Ocetra</v>
      </c>
      <c r="B83" s="92"/>
      <c r="C83" s="77">
        <f t="shared" si="8"/>
        <v>5300</v>
      </c>
      <c r="D83" s="53">
        <f>Hoja21!B11</f>
        <v>0</v>
      </c>
      <c r="E83" s="53">
        <f>Hoja21!C11</f>
        <v>0</v>
      </c>
      <c r="F83" s="53">
        <f>Hoja21!D11</f>
        <v>0</v>
      </c>
      <c r="G83" s="53">
        <f>Hoja21!E11</f>
        <v>0</v>
      </c>
      <c r="H83" s="53">
        <f>Hoja21!F11</f>
        <v>0</v>
      </c>
      <c r="I83" s="53">
        <f>Hoja21!G11</f>
        <v>0</v>
      </c>
      <c r="J83" s="53">
        <f>Hoja21!H11</f>
        <v>1175</v>
      </c>
      <c r="K83" s="53">
        <f>Hoja21!I11</f>
        <v>1100</v>
      </c>
      <c r="L83" s="53">
        <f>Hoja21!J11</f>
        <v>3025</v>
      </c>
      <c r="M83" s="53">
        <f>Hoja21!K11</f>
        <v>0</v>
      </c>
      <c r="N83" s="53">
        <f>Hoja21!L11</f>
        <v>0</v>
      </c>
      <c r="O83" s="53">
        <f>Hoja21!M11</f>
        <v>0</v>
      </c>
    </row>
    <row r="84" spans="1:15" ht="15.75" customHeight="1" x14ac:dyDescent="0.25">
      <c r="A84" s="93" t="str">
        <f>Hoja21!A12</f>
        <v>Pilar</v>
      </c>
      <c r="B84" s="92"/>
      <c r="C84" s="77">
        <f t="shared" si="8"/>
        <v>1125</v>
      </c>
      <c r="D84" s="53">
        <f>Hoja21!B12</f>
        <v>0</v>
      </c>
      <c r="E84" s="53">
        <f>Hoja21!C12</f>
        <v>0</v>
      </c>
      <c r="F84" s="53">
        <f>Hoja21!D12</f>
        <v>0</v>
      </c>
      <c r="G84" s="53">
        <f>Hoja21!E12</f>
        <v>0</v>
      </c>
      <c r="H84" s="53">
        <f>Hoja21!F12</f>
        <v>0</v>
      </c>
      <c r="I84" s="53">
        <f>Hoja21!G12</f>
        <v>0</v>
      </c>
      <c r="J84" s="53">
        <f>Hoja21!H12</f>
        <v>900</v>
      </c>
      <c r="K84" s="53">
        <f>Hoja21!I12</f>
        <v>0</v>
      </c>
      <c r="L84" s="53">
        <f>Hoja21!J12</f>
        <v>225</v>
      </c>
      <c r="M84" s="53">
        <f>Hoja21!K12</f>
        <v>0</v>
      </c>
      <c r="N84" s="53">
        <f>Hoja21!L12</f>
        <v>0</v>
      </c>
      <c r="O84" s="53">
        <f>Hoja21!M12</f>
        <v>0</v>
      </c>
    </row>
    <row r="85" spans="1:15" ht="15.75" customHeight="1" x14ac:dyDescent="0.25">
      <c r="A85" s="93" t="str">
        <f>Hoja21!A13</f>
        <v>Rosa</v>
      </c>
      <c r="B85" s="92"/>
      <c r="C85" s="77">
        <f t="shared" si="8"/>
        <v>550</v>
      </c>
      <c r="D85" s="53">
        <f>Hoja21!B13</f>
        <v>0</v>
      </c>
      <c r="E85" s="53">
        <f>Hoja21!C13</f>
        <v>0</v>
      </c>
      <c r="F85" s="53">
        <f>Hoja21!D13</f>
        <v>0</v>
      </c>
      <c r="G85" s="53">
        <f>Hoja21!E13</f>
        <v>0</v>
      </c>
      <c r="H85" s="53">
        <f>Hoja21!F13</f>
        <v>0</v>
      </c>
      <c r="I85" s="53">
        <f>Hoja21!G13</f>
        <v>125</v>
      </c>
      <c r="J85" s="53">
        <f>Hoja21!H13</f>
        <v>425</v>
      </c>
      <c r="K85" s="53">
        <f>Hoja21!I13</f>
        <v>0</v>
      </c>
      <c r="L85" s="53">
        <f>Hoja21!J13</f>
        <v>0</v>
      </c>
      <c r="M85" s="53">
        <f>Hoja21!K13</f>
        <v>0</v>
      </c>
      <c r="N85" s="53">
        <f>Hoja21!L13</f>
        <v>0</v>
      </c>
      <c r="O85" s="53">
        <f>Hoja21!M13</f>
        <v>0</v>
      </c>
    </row>
    <row r="86" spans="1:15" ht="15.75" customHeight="1" x14ac:dyDescent="0.25">
      <c r="A86" s="93" t="str">
        <f>Hoja21!A14</f>
        <v>Rosario</v>
      </c>
      <c r="B86" s="92"/>
      <c r="C86" s="77">
        <f t="shared" si="8"/>
        <v>875</v>
      </c>
      <c r="D86" s="53">
        <f>Hoja21!B14</f>
        <v>0</v>
      </c>
      <c r="E86" s="53">
        <f>Hoja21!C14</f>
        <v>0</v>
      </c>
      <c r="F86" s="53">
        <f>Hoja21!D14</f>
        <v>0</v>
      </c>
      <c r="G86" s="53">
        <f>Hoja21!E14</f>
        <v>0</v>
      </c>
      <c r="H86" s="53">
        <f>Hoja21!F14</f>
        <v>0</v>
      </c>
      <c r="I86" s="53">
        <f>Hoja21!G14</f>
        <v>0</v>
      </c>
      <c r="J86" s="53">
        <f>Hoja21!H14</f>
        <v>675</v>
      </c>
      <c r="K86" s="53">
        <f>Hoja21!I14</f>
        <v>200</v>
      </c>
      <c r="L86" s="53">
        <f>Hoja21!J14</f>
        <v>0</v>
      </c>
      <c r="M86" s="53">
        <f>Hoja21!K14</f>
        <v>0</v>
      </c>
      <c r="N86" s="53">
        <f>Hoja21!L14</f>
        <v>0</v>
      </c>
      <c r="O86" s="53">
        <f>Hoja21!M14</f>
        <v>0</v>
      </c>
    </row>
    <row r="87" spans="1:15" ht="15.75" customHeight="1" x14ac:dyDescent="0.25">
      <c r="A87" s="93" t="str">
        <f>Hoja21!A15</f>
        <v>Victoria</v>
      </c>
      <c r="B87" s="92"/>
      <c r="C87" s="77">
        <f t="shared" si="8"/>
        <v>375</v>
      </c>
      <c r="D87" s="53">
        <f>Hoja21!B15</f>
        <v>0</v>
      </c>
      <c r="E87" s="53">
        <f>Hoja21!C15</f>
        <v>0</v>
      </c>
      <c r="F87" s="53">
        <f>Hoja21!D15</f>
        <v>0</v>
      </c>
      <c r="G87" s="53">
        <f>Hoja21!E15</f>
        <v>0</v>
      </c>
      <c r="H87" s="53">
        <f>Hoja21!F15</f>
        <v>300</v>
      </c>
      <c r="I87" s="53">
        <f>Hoja21!G15</f>
        <v>0</v>
      </c>
      <c r="J87" s="53">
        <f>Hoja21!H15</f>
        <v>75</v>
      </c>
      <c r="K87" s="53">
        <f>Hoja21!I15</f>
        <v>0</v>
      </c>
      <c r="L87" s="53">
        <f>Hoja21!J15</f>
        <v>0</v>
      </c>
      <c r="M87" s="53">
        <f>Hoja21!K15</f>
        <v>0</v>
      </c>
      <c r="N87" s="53">
        <f>Hoja21!L15</f>
        <v>0</v>
      </c>
      <c r="O87" s="53">
        <f>Hoja21!M15</f>
        <v>0</v>
      </c>
    </row>
    <row r="88" spans="1:15" ht="21" customHeight="1" x14ac:dyDescent="0.25">
      <c r="A88" s="96" t="s">
        <v>27</v>
      </c>
      <c r="B88" s="92"/>
      <c r="C88" s="78">
        <f>SUM(C77:C87)</f>
        <v>10975</v>
      </c>
      <c r="D88" s="78"/>
      <c r="E88" s="78"/>
      <c r="F88" s="78">
        <f t="shared" ref="F88:O88" si="9">SUM(F77:F86)</f>
        <v>0</v>
      </c>
      <c r="G88" s="78">
        <f t="shared" si="9"/>
        <v>0</v>
      </c>
      <c r="H88" s="78">
        <f t="shared" si="9"/>
        <v>1200</v>
      </c>
      <c r="I88" s="78">
        <f t="shared" si="9"/>
        <v>125</v>
      </c>
      <c r="J88" s="78">
        <f t="shared" si="9"/>
        <v>4150</v>
      </c>
      <c r="K88" s="78">
        <f t="shared" si="9"/>
        <v>1550</v>
      </c>
      <c r="L88" s="78">
        <f t="shared" si="9"/>
        <v>3575</v>
      </c>
      <c r="M88" s="78">
        <f t="shared" si="9"/>
        <v>0</v>
      </c>
      <c r="N88" s="78">
        <f t="shared" si="9"/>
        <v>0</v>
      </c>
      <c r="O88" s="78">
        <f t="shared" si="9"/>
        <v>0</v>
      </c>
    </row>
    <row r="89" spans="1:15" ht="15.75" customHeight="1" x14ac:dyDescent="0.25"/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7">
    <mergeCell ref="L57:O60"/>
    <mergeCell ref="A58:B58"/>
    <mergeCell ref="A59:B59"/>
    <mergeCell ref="D59:K61"/>
    <mergeCell ref="A60:B60"/>
    <mergeCell ref="L61:O63"/>
    <mergeCell ref="A55:C55"/>
    <mergeCell ref="A56:C56"/>
    <mergeCell ref="A57:B57"/>
    <mergeCell ref="D62:K63"/>
    <mergeCell ref="A63:B63"/>
    <mergeCell ref="D57:K58"/>
    <mergeCell ref="A61:B61"/>
    <mergeCell ref="A62:B62"/>
    <mergeCell ref="A36:A41"/>
    <mergeCell ref="A42:A48"/>
    <mergeCell ref="J52:K52"/>
    <mergeCell ref="L52:O52"/>
    <mergeCell ref="A53:C53"/>
    <mergeCell ref="A9:O9"/>
    <mergeCell ref="A12:A17"/>
    <mergeCell ref="A18:A23"/>
    <mergeCell ref="A24:A29"/>
    <mergeCell ref="A30:A35"/>
    <mergeCell ref="L1:O4"/>
    <mergeCell ref="L5:O7"/>
    <mergeCell ref="D3:K5"/>
    <mergeCell ref="D6:K7"/>
    <mergeCell ref="B1:C1"/>
    <mergeCell ref="D1:K2"/>
    <mergeCell ref="B2:C2"/>
    <mergeCell ref="B3:C3"/>
    <mergeCell ref="B4:C4"/>
    <mergeCell ref="B5:C5"/>
    <mergeCell ref="B6:C6"/>
    <mergeCell ref="B7:C7"/>
    <mergeCell ref="A78:B78"/>
    <mergeCell ref="A79:B79"/>
    <mergeCell ref="A87:B87"/>
    <mergeCell ref="A88:B88"/>
    <mergeCell ref="A80:B80"/>
    <mergeCell ref="A81:B81"/>
    <mergeCell ref="A82:B82"/>
    <mergeCell ref="A83:B83"/>
    <mergeCell ref="A84:B84"/>
    <mergeCell ref="A85:B85"/>
    <mergeCell ref="A86:B86"/>
    <mergeCell ref="A72:B72"/>
    <mergeCell ref="A73:B73"/>
    <mergeCell ref="A74:B74"/>
    <mergeCell ref="A76:B76"/>
    <mergeCell ref="A77:B77"/>
    <mergeCell ref="A67:B67"/>
    <mergeCell ref="A68:B68"/>
    <mergeCell ref="A69:B69"/>
    <mergeCell ref="A70:B70"/>
    <mergeCell ref="A71:B71"/>
  </mergeCells>
  <pageMargins left="0.19791666666666699" right="0.17708333333333301" top="7.5833333333333336E-2" bottom="0.14583333333333301" header="0" footer="0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2026-05-19T16:08:47Z</cp:lastPrinted>
  <dcterms:created xsi:type="dcterms:W3CDTF">2025-03-24T14:33:38Z</dcterms:created>
  <dcterms:modified xsi:type="dcterms:W3CDTF">2026-05-19T18:14:50Z</dcterms:modified>
</cp:coreProperties>
</file>
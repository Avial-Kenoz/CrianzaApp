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gwar\Desktop\Archivos Ricardo\Resumenes Mensuales\"/>
    </mc:Choice>
  </mc:AlternateContent>
  <xr:revisionPtr revIDLastSave="0" documentId="13_ncr:1_{396E37F1-07C9-48B5-BCBC-8147F408926F}" xr6:coauthVersionLast="47" xr6:coauthVersionMax="47" xr10:uidLastSave="{00000000-0000-0000-0000-000000000000}"/>
  <bookViews>
    <workbookView xWindow="-120" yWindow="-120" windowWidth="20730" windowHeight="11040" activeTab="11" xr2:uid="{D9A68149-7396-4485-B099-59611FEA42D7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Total" sheetId="11" r:id="rId11"/>
    <sheet name="Total Consumo Mensual" sheetId="12" r:id="rId12"/>
  </sheets>
  <definedNames>
    <definedName name="_xlnm.Print_Area" localSheetId="11">'Total Consumo Mensual'!$A$1:$M$56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67" i="3" l="1"/>
  <c r="AN68" i="3"/>
  <c r="AN69" i="3"/>
  <c r="AN70" i="3"/>
  <c r="AN71" i="3"/>
  <c r="AN72" i="3"/>
  <c r="AN66" i="3"/>
  <c r="AN73" i="3"/>
  <c r="AN67" i="2"/>
  <c r="AN68" i="2"/>
  <c r="AN69" i="2"/>
  <c r="AN70" i="2"/>
  <c r="AN71" i="2"/>
  <c r="AN72" i="2"/>
  <c r="AN66" i="2"/>
  <c r="AN73" i="2"/>
  <c r="AN67" i="1"/>
  <c r="AN68" i="1"/>
  <c r="AN69" i="1"/>
  <c r="AN70" i="1"/>
  <c r="AN71" i="1"/>
  <c r="AN72" i="1"/>
  <c r="AN66" i="1"/>
  <c r="AN73" i="5"/>
  <c r="AN67" i="5"/>
  <c r="AN68" i="5"/>
  <c r="AN69" i="5"/>
  <c r="AN70" i="5"/>
  <c r="AN71" i="5"/>
  <c r="AN66" i="5"/>
  <c r="AN67" i="4"/>
  <c r="AN68" i="4"/>
  <c r="AN69" i="4"/>
  <c r="AN70" i="4"/>
  <c r="AN71" i="4"/>
  <c r="AN66" i="4"/>
  <c r="AN73" i="4" s="1"/>
  <c r="G51" i="12"/>
  <c r="F54" i="10"/>
  <c r="F54" i="9"/>
  <c r="F54" i="8"/>
  <c r="F54" i="7"/>
  <c r="F54" i="6"/>
  <c r="F54" i="5"/>
  <c r="F54" i="4"/>
  <c r="F54" i="3"/>
  <c r="F54" i="2"/>
  <c r="E51" i="12" l="1"/>
  <c r="E54" i="12" s="1"/>
  <c r="F51" i="12"/>
  <c r="F54" i="12" s="1"/>
  <c r="G54" i="12"/>
  <c r="D51" i="12"/>
  <c r="D54" i="12" s="1"/>
  <c r="I48" i="12"/>
  <c r="J48" i="12"/>
  <c r="K48" i="12"/>
  <c r="L48" i="12"/>
  <c r="M48" i="12"/>
  <c r="H48" i="12"/>
  <c r="N48" i="11"/>
  <c r="N47" i="11"/>
  <c r="N46" i="11"/>
  <c r="N45" i="11"/>
  <c r="N20" i="11"/>
  <c r="N19" i="11"/>
  <c r="N18" i="11"/>
  <c r="N17" i="11"/>
  <c r="N16" i="11"/>
  <c r="N15" i="11"/>
  <c r="N45" i="12"/>
  <c r="N44" i="12"/>
  <c r="N43" i="12"/>
  <c r="N42" i="12"/>
  <c r="N17" i="12"/>
  <c r="N16" i="12"/>
  <c r="N15" i="12"/>
  <c r="N14" i="12"/>
  <c r="N13" i="12"/>
  <c r="N12" i="12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N43" i="10" s="1"/>
  <c r="D59" i="10" s="1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N35" i="10" s="1"/>
  <c r="D58" i="10" s="1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N20" i="10" s="1"/>
  <c r="D56" i="10" s="1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D55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D54" i="10" s="1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M72" i="9" s="1"/>
  <c r="AN72" i="9" s="1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M71" i="9" s="1"/>
  <c r="AN71" i="9" s="1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M67" i="9" s="1"/>
  <c r="AN67" i="9" s="1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M66" i="9" s="1"/>
  <c r="AN66" i="9" s="1"/>
  <c r="AM49" i="9"/>
  <c r="AN49" i="9" s="1"/>
  <c r="AM48" i="9"/>
  <c r="AN48" i="9" s="1"/>
  <c r="AM47" i="9"/>
  <c r="AN47" i="9" s="1"/>
  <c r="AM46" i="9"/>
  <c r="AN46" i="9" s="1"/>
  <c r="AM45" i="9"/>
  <c r="AN45" i="9" s="1"/>
  <c r="AM44" i="9"/>
  <c r="AN44" i="9" s="1"/>
  <c r="AM43" i="9"/>
  <c r="AN43" i="9" s="1"/>
  <c r="AM42" i="9"/>
  <c r="AN42" i="9" s="1"/>
  <c r="AM41" i="9"/>
  <c r="AN41" i="9" s="1"/>
  <c r="AM40" i="9"/>
  <c r="AN40" i="9" s="1"/>
  <c r="AM39" i="9"/>
  <c r="AN39" i="9" s="1"/>
  <c r="AM38" i="9"/>
  <c r="AN38" i="9" s="1"/>
  <c r="AM37" i="9"/>
  <c r="AN37" i="9" s="1"/>
  <c r="AM36" i="9"/>
  <c r="AN36" i="9" s="1"/>
  <c r="AM35" i="9"/>
  <c r="AN35" i="9" s="1"/>
  <c r="AM34" i="9"/>
  <c r="AN34" i="9" s="1"/>
  <c r="AM33" i="9"/>
  <c r="AN33" i="9" s="1"/>
  <c r="AM32" i="9"/>
  <c r="AN32" i="9" s="1"/>
  <c r="AM31" i="9"/>
  <c r="AN31" i="9" s="1"/>
  <c r="AM30" i="9"/>
  <c r="AN30" i="9" s="1"/>
  <c r="AM29" i="9"/>
  <c r="AN29" i="9" s="1"/>
  <c r="AM28" i="9"/>
  <c r="AN28" i="9" s="1"/>
  <c r="D57" i="9" s="1"/>
  <c r="AM27" i="9"/>
  <c r="AN27" i="9" s="1"/>
  <c r="AM26" i="9"/>
  <c r="AN26" i="9" s="1"/>
  <c r="AM25" i="9"/>
  <c r="AN25" i="9" s="1"/>
  <c r="AM24" i="9"/>
  <c r="AN24" i="9" s="1"/>
  <c r="AM23" i="9"/>
  <c r="AN23" i="9" s="1"/>
  <c r="AM22" i="9"/>
  <c r="AN22" i="9" s="1"/>
  <c r="AM21" i="9"/>
  <c r="AN21" i="9" s="1"/>
  <c r="AM20" i="9"/>
  <c r="AN20" i="9" s="1"/>
  <c r="D56" i="9" s="1"/>
  <c r="AM19" i="9"/>
  <c r="AN19" i="9" s="1"/>
  <c r="AM18" i="9"/>
  <c r="AN18" i="9" s="1"/>
  <c r="AM17" i="9"/>
  <c r="AN17" i="9" s="1"/>
  <c r="AM16" i="9"/>
  <c r="AN16" i="9" s="1"/>
  <c r="AM15" i="9"/>
  <c r="AN15" i="9" s="1"/>
  <c r="AM14" i="9"/>
  <c r="AN14" i="9" s="1"/>
  <c r="AM13" i="9"/>
  <c r="AN13" i="9" s="1"/>
  <c r="AM12" i="9"/>
  <c r="AN12" i="9" s="1"/>
  <c r="D55" i="9" s="1"/>
  <c r="AM11" i="9"/>
  <c r="AN11" i="9" s="1"/>
  <c r="AM10" i="9"/>
  <c r="AN10" i="9" s="1"/>
  <c r="AM9" i="9"/>
  <c r="AN9" i="9" s="1"/>
  <c r="AM8" i="9"/>
  <c r="AN8" i="9" s="1"/>
  <c r="AM7" i="9"/>
  <c r="AN7" i="9" s="1"/>
  <c r="AM6" i="9"/>
  <c r="AN6" i="9" s="1"/>
  <c r="AM5" i="9"/>
  <c r="AN5" i="9" s="1"/>
  <c r="AM4" i="9"/>
  <c r="AN4" i="9" s="1"/>
  <c r="D54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M72" i="8" s="1"/>
  <c r="AN72" i="8" s="1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M71" i="8" s="1"/>
  <c r="AN71" i="8" s="1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M68" i="8" s="1"/>
  <c r="AN68" i="8" s="1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M67" i="8" s="1"/>
  <c r="AN67" i="8" s="1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M66" i="8" s="1"/>
  <c r="AN66" i="8" s="1"/>
  <c r="AM49" i="8"/>
  <c r="AN49" i="8" s="1"/>
  <c r="AM48" i="8"/>
  <c r="AN48" i="8" s="1"/>
  <c r="AM47" i="8"/>
  <c r="AN47" i="8" s="1"/>
  <c r="AM46" i="8"/>
  <c r="AN46" i="8" s="1"/>
  <c r="AM45" i="8"/>
  <c r="AN45" i="8" s="1"/>
  <c r="AM44" i="8"/>
  <c r="AN44" i="8" s="1"/>
  <c r="AM43" i="8"/>
  <c r="AN43" i="8" s="1"/>
  <c r="AM42" i="8"/>
  <c r="AN42" i="8" s="1"/>
  <c r="AM41" i="8"/>
  <c r="AN41" i="8" s="1"/>
  <c r="AM40" i="8"/>
  <c r="AN40" i="8" s="1"/>
  <c r="AM39" i="8"/>
  <c r="AN39" i="8" s="1"/>
  <c r="AM38" i="8"/>
  <c r="AN38" i="8" s="1"/>
  <c r="AM37" i="8"/>
  <c r="AN37" i="8" s="1"/>
  <c r="AM36" i="8"/>
  <c r="AN36" i="8" s="1"/>
  <c r="AM35" i="8"/>
  <c r="AN35" i="8" s="1"/>
  <c r="AM34" i="8"/>
  <c r="AN34" i="8" s="1"/>
  <c r="AM33" i="8"/>
  <c r="AN33" i="8" s="1"/>
  <c r="AM32" i="8"/>
  <c r="AN32" i="8" s="1"/>
  <c r="AM31" i="8"/>
  <c r="AN31" i="8" s="1"/>
  <c r="AM30" i="8"/>
  <c r="AN30" i="8" s="1"/>
  <c r="AM29" i="8"/>
  <c r="AN29" i="8" s="1"/>
  <c r="AM28" i="8"/>
  <c r="AN28" i="8" s="1"/>
  <c r="D57" i="8" s="1"/>
  <c r="AM27" i="8"/>
  <c r="AN27" i="8" s="1"/>
  <c r="AM26" i="8"/>
  <c r="AN26" i="8" s="1"/>
  <c r="AM25" i="8"/>
  <c r="AN25" i="8" s="1"/>
  <c r="AM24" i="8"/>
  <c r="AN24" i="8" s="1"/>
  <c r="AM23" i="8"/>
  <c r="AN23" i="8" s="1"/>
  <c r="AM22" i="8"/>
  <c r="AN22" i="8" s="1"/>
  <c r="AM21" i="8"/>
  <c r="AN21" i="8" s="1"/>
  <c r="AM20" i="8"/>
  <c r="AN20" i="8" s="1"/>
  <c r="D56" i="8" s="1"/>
  <c r="AM19" i="8"/>
  <c r="AN19" i="8" s="1"/>
  <c r="AM18" i="8"/>
  <c r="AN18" i="8" s="1"/>
  <c r="AM17" i="8"/>
  <c r="AN17" i="8" s="1"/>
  <c r="AM16" i="8"/>
  <c r="AN16" i="8" s="1"/>
  <c r="AM15" i="8"/>
  <c r="AN15" i="8" s="1"/>
  <c r="AM14" i="8"/>
  <c r="AN14" i="8" s="1"/>
  <c r="AM13" i="8"/>
  <c r="AN13" i="8" s="1"/>
  <c r="AM12" i="8"/>
  <c r="AN12" i="8" s="1"/>
  <c r="D55" i="8" s="1"/>
  <c r="AM11" i="8"/>
  <c r="AN11" i="8" s="1"/>
  <c r="AM10" i="8"/>
  <c r="AN10" i="8" s="1"/>
  <c r="AM9" i="8"/>
  <c r="AN9" i="8" s="1"/>
  <c r="AM8" i="8"/>
  <c r="AN8" i="8" s="1"/>
  <c r="AM7" i="8"/>
  <c r="AN7" i="8" s="1"/>
  <c r="AM6" i="8"/>
  <c r="AN6" i="8" s="1"/>
  <c r="AM5" i="8"/>
  <c r="AN5" i="8" s="1"/>
  <c r="AM4" i="8"/>
  <c r="AN4" i="8" s="1"/>
  <c r="D54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M68" i="7" s="1"/>
  <c r="AN68" i="7" s="1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M66" i="7" s="1"/>
  <c r="AN66" i="7" s="1"/>
  <c r="AM49" i="7"/>
  <c r="AN49" i="7" s="1"/>
  <c r="AM48" i="7"/>
  <c r="AN48" i="7" s="1"/>
  <c r="AM47" i="7"/>
  <c r="AN47" i="7" s="1"/>
  <c r="AM46" i="7"/>
  <c r="AN46" i="7" s="1"/>
  <c r="AM45" i="7"/>
  <c r="AN45" i="7" s="1"/>
  <c r="AM44" i="7"/>
  <c r="AN44" i="7" s="1"/>
  <c r="AM43" i="7"/>
  <c r="AN43" i="7" s="1"/>
  <c r="AM42" i="7"/>
  <c r="AN42" i="7" s="1"/>
  <c r="AM41" i="7"/>
  <c r="AN41" i="7" s="1"/>
  <c r="AM40" i="7"/>
  <c r="AN40" i="7" s="1"/>
  <c r="AM39" i="7"/>
  <c r="AN39" i="7" s="1"/>
  <c r="AM38" i="7"/>
  <c r="AN38" i="7" s="1"/>
  <c r="AM37" i="7"/>
  <c r="AN37" i="7" s="1"/>
  <c r="AM36" i="7"/>
  <c r="AN36" i="7" s="1"/>
  <c r="AM35" i="7"/>
  <c r="AN35" i="7" s="1"/>
  <c r="AM34" i="7"/>
  <c r="AN34" i="7" s="1"/>
  <c r="AM33" i="7"/>
  <c r="AN33" i="7" s="1"/>
  <c r="AM32" i="7"/>
  <c r="AN32" i="7" s="1"/>
  <c r="AM31" i="7"/>
  <c r="AN31" i="7" s="1"/>
  <c r="AM30" i="7"/>
  <c r="AN30" i="7" s="1"/>
  <c r="AM29" i="7"/>
  <c r="AN29" i="7" s="1"/>
  <c r="AM28" i="7"/>
  <c r="AN28" i="7" s="1"/>
  <c r="D57" i="7" s="1"/>
  <c r="AM27" i="7"/>
  <c r="AN27" i="7" s="1"/>
  <c r="AM26" i="7"/>
  <c r="AN26" i="7" s="1"/>
  <c r="AM25" i="7"/>
  <c r="AN25" i="7" s="1"/>
  <c r="AM24" i="7"/>
  <c r="AN24" i="7" s="1"/>
  <c r="AM23" i="7"/>
  <c r="AN23" i="7" s="1"/>
  <c r="AM22" i="7"/>
  <c r="AN22" i="7" s="1"/>
  <c r="AM21" i="7"/>
  <c r="AN21" i="7" s="1"/>
  <c r="AM20" i="7"/>
  <c r="AN20" i="7" s="1"/>
  <c r="D56" i="7" s="1"/>
  <c r="AM19" i="7"/>
  <c r="AN19" i="7" s="1"/>
  <c r="AM18" i="7"/>
  <c r="AN18" i="7" s="1"/>
  <c r="AM17" i="7"/>
  <c r="AN17" i="7" s="1"/>
  <c r="AM16" i="7"/>
  <c r="AN16" i="7" s="1"/>
  <c r="AM15" i="7"/>
  <c r="AN15" i="7" s="1"/>
  <c r="AM14" i="7"/>
  <c r="AN14" i="7" s="1"/>
  <c r="AM13" i="7"/>
  <c r="AN13" i="7" s="1"/>
  <c r="AM12" i="7"/>
  <c r="AN12" i="7" s="1"/>
  <c r="D55" i="7" s="1"/>
  <c r="AM11" i="7"/>
  <c r="AN11" i="7" s="1"/>
  <c r="AM10" i="7"/>
  <c r="AN10" i="7" s="1"/>
  <c r="AM9" i="7"/>
  <c r="AN9" i="7" s="1"/>
  <c r="AM8" i="7"/>
  <c r="AN8" i="7" s="1"/>
  <c r="AM7" i="7"/>
  <c r="AN7" i="7" s="1"/>
  <c r="AM6" i="7"/>
  <c r="AN6" i="7" s="1"/>
  <c r="AM5" i="7"/>
  <c r="AN5" i="7" s="1"/>
  <c r="AM4" i="7"/>
  <c r="AN4" i="7" s="1"/>
  <c r="D54" i="7" s="1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M72" i="6" s="1"/>
  <c r="AN72" i="6" s="1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M70" i="6" s="1"/>
  <c r="AN70" i="6" s="1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M68" i="6" s="1"/>
  <c r="AN68" i="6" s="1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AM49" i="6"/>
  <c r="AN49" i="6" s="1"/>
  <c r="AM48" i="6"/>
  <c r="AN48" i="6" s="1"/>
  <c r="AM47" i="6"/>
  <c r="AN47" i="6" s="1"/>
  <c r="AM46" i="6"/>
  <c r="AN46" i="6" s="1"/>
  <c r="AM45" i="6"/>
  <c r="AN45" i="6" s="1"/>
  <c r="AM44" i="6"/>
  <c r="AN44" i="6" s="1"/>
  <c r="AM43" i="6"/>
  <c r="AN43" i="6" s="1"/>
  <c r="AM42" i="6"/>
  <c r="AN42" i="6" s="1"/>
  <c r="AM41" i="6"/>
  <c r="AN41" i="6" s="1"/>
  <c r="AM40" i="6"/>
  <c r="AN40" i="6" s="1"/>
  <c r="AM39" i="6"/>
  <c r="AN39" i="6" s="1"/>
  <c r="AM38" i="6"/>
  <c r="AN38" i="6" s="1"/>
  <c r="AM37" i="6"/>
  <c r="AN37" i="6" s="1"/>
  <c r="AM36" i="6"/>
  <c r="AN36" i="6" s="1"/>
  <c r="AM35" i="6"/>
  <c r="AN35" i="6" s="1"/>
  <c r="AM34" i="6"/>
  <c r="AN34" i="6" s="1"/>
  <c r="AM33" i="6"/>
  <c r="AN33" i="6" s="1"/>
  <c r="AM32" i="6"/>
  <c r="AN32" i="6" s="1"/>
  <c r="AM31" i="6"/>
  <c r="AN31" i="6" s="1"/>
  <c r="AM30" i="6"/>
  <c r="AN30" i="6" s="1"/>
  <c r="AM29" i="6"/>
  <c r="AN29" i="6" s="1"/>
  <c r="AM28" i="6"/>
  <c r="AN28" i="6" s="1"/>
  <c r="D57" i="6" s="1"/>
  <c r="AM27" i="6"/>
  <c r="AN27" i="6" s="1"/>
  <c r="AM26" i="6"/>
  <c r="AN26" i="6" s="1"/>
  <c r="AM25" i="6"/>
  <c r="AN25" i="6" s="1"/>
  <c r="AM24" i="6"/>
  <c r="AN24" i="6" s="1"/>
  <c r="AM23" i="6"/>
  <c r="AN23" i="6" s="1"/>
  <c r="AM22" i="6"/>
  <c r="AN22" i="6" s="1"/>
  <c r="AM21" i="6"/>
  <c r="AN21" i="6" s="1"/>
  <c r="AM20" i="6"/>
  <c r="AN20" i="6" s="1"/>
  <c r="D56" i="6" s="1"/>
  <c r="AM19" i="6"/>
  <c r="AN19" i="6" s="1"/>
  <c r="AM18" i="6"/>
  <c r="AN18" i="6" s="1"/>
  <c r="AM17" i="6"/>
  <c r="AN17" i="6" s="1"/>
  <c r="AM16" i="6"/>
  <c r="AN16" i="6" s="1"/>
  <c r="AM15" i="6"/>
  <c r="AN15" i="6" s="1"/>
  <c r="AM14" i="6"/>
  <c r="AN14" i="6" s="1"/>
  <c r="AM13" i="6"/>
  <c r="AN13" i="6" s="1"/>
  <c r="AM12" i="6"/>
  <c r="AN12" i="6" s="1"/>
  <c r="D55" i="6" s="1"/>
  <c r="AM11" i="6"/>
  <c r="AN11" i="6" s="1"/>
  <c r="AM10" i="6"/>
  <c r="AN10" i="6" s="1"/>
  <c r="AM9" i="6"/>
  <c r="AN9" i="6" s="1"/>
  <c r="AM8" i="6"/>
  <c r="AN8" i="6" s="1"/>
  <c r="AM7" i="6"/>
  <c r="AN7" i="6" s="1"/>
  <c r="AM6" i="6"/>
  <c r="AN6" i="6" s="1"/>
  <c r="AM5" i="6"/>
  <c r="AN5" i="6" s="1"/>
  <c r="AM4" i="6"/>
  <c r="AN4" i="6" s="1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M72" i="5" s="1"/>
  <c r="AN72" i="5" s="1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M49" i="5"/>
  <c r="AN49" i="5" s="1"/>
  <c r="AM48" i="5"/>
  <c r="AN48" i="5" s="1"/>
  <c r="AM47" i="5"/>
  <c r="AN47" i="5" s="1"/>
  <c r="AM46" i="5"/>
  <c r="AN46" i="5" s="1"/>
  <c r="AM45" i="5"/>
  <c r="AN45" i="5" s="1"/>
  <c r="AM44" i="5"/>
  <c r="AN44" i="5" s="1"/>
  <c r="AM43" i="5"/>
  <c r="AN43" i="5" s="1"/>
  <c r="AM42" i="5"/>
  <c r="AN42" i="5" s="1"/>
  <c r="AM41" i="5"/>
  <c r="AN41" i="5" s="1"/>
  <c r="AM40" i="5"/>
  <c r="AN40" i="5" s="1"/>
  <c r="AM39" i="5"/>
  <c r="AN39" i="5" s="1"/>
  <c r="AM38" i="5"/>
  <c r="AN38" i="5" s="1"/>
  <c r="AM37" i="5"/>
  <c r="AN37" i="5" s="1"/>
  <c r="AM36" i="5"/>
  <c r="AN36" i="5" s="1"/>
  <c r="AM35" i="5"/>
  <c r="AN35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N28" i="5" s="1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N20" i="5" s="1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AN12" i="5" s="1"/>
  <c r="AM11" i="5"/>
  <c r="AN11" i="5" s="1"/>
  <c r="AM10" i="5"/>
  <c r="AN10" i="5" s="1"/>
  <c r="AM9" i="5"/>
  <c r="AN9" i="5" s="1"/>
  <c r="AM8" i="5"/>
  <c r="AN8" i="5" s="1"/>
  <c r="AM7" i="5"/>
  <c r="AN7" i="5" s="1"/>
  <c r="AM6" i="5"/>
  <c r="AN6" i="5" s="1"/>
  <c r="AM5" i="5"/>
  <c r="AN5" i="5" s="1"/>
  <c r="AM4" i="5"/>
  <c r="AN4" i="5" s="1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M49" i="4"/>
  <c r="AN49" i="4" s="1"/>
  <c r="AM48" i="4"/>
  <c r="AN48" i="4" s="1"/>
  <c r="AM47" i="4"/>
  <c r="AN47" i="4" s="1"/>
  <c r="AM46" i="4"/>
  <c r="AN46" i="4" s="1"/>
  <c r="AM45" i="4"/>
  <c r="AN45" i="4" s="1"/>
  <c r="AM44" i="4"/>
  <c r="AN44" i="4" s="1"/>
  <c r="AM43" i="4"/>
  <c r="AN43" i="4" s="1"/>
  <c r="AM42" i="4"/>
  <c r="AN42" i="4" s="1"/>
  <c r="AM41" i="4"/>
  <c r="AN41" i="4" s="1"/>
  <c r="AM40" i="4"/>
  <c r="AN40" i="4" s="1"/>
  <c r="AM39" i="4"/>
  <c r="AN39" i="4" s="1"/>
  <c r="AM38" i="4"/>
  <c r="AN38" i="4" s="1"/>
  <c r="AM37" i="4"/>
  <c r="AN37" i="4" s="1"/>
  <c r="AM36" i="4"/>
  <c r="AN36" i="4" s="1"/>
  <c r="AM35" i="4"/>
  <c r="AN35" i="4" s="1"/>
  <c r="AM34" i="4"/>
  <c r="AN34" i="4" s="1"/>
  <c r="AM33" i="4"/>
  <c r="AN33" i="4" s="1"/>
  <c r="AM32" i="4"/>
  <c r="AN32" i="4" s="1"/>
  <c r="AM31" i="4"/>
  <c r="AN31" i="4" s="1"/>
  <c r="AM30" i="4"/>
  <c r="AN30" i="4" s="1"/>
  <c r="AM29" i="4"/>
  <c r="AN29" i="4" s="1"/>
  <c r="AM28" i="4"/>
  <c r="AN28" i="4" s="1"/>
  <c r="AM27" i="4"/>
  <c r="AN27" i="4" s="1"/>
  <c r="AM26" i="4"/>
  <c r="AN26" i="4" s="1"/>
  <c r="AM25" i="4"/>
  <c r="AN25" i="4" s="1"/>
  <c r="AM24" i="4"/>
  <c r="AN24" i="4" s="1"/>
  <c r="AM23" i="4"/>
  <c r="AN23" i="4" s="1"/>
  <c r="AM22" i="4"/>
  <c r="AN22" i="4" s="1"/>
  <c r="AM21" i="4"/>
  <c r="AN21" i="4" s="1"/>
  <c r="AM20" i="4"/>
  <c r="AN20" i="4" s="1"/>
  <c r="AM19" i="4"/>
  <c r="AN19" i="4" s="1"/>
  <c r="AM18" i="4"/>
  <c r="AN18" i="4" s="1"/>
  <c r="AM17" i="4"/>
  <c r="AN17" i="4" s="1"/>
  <c r="AM16" i="4"/>
  <c r="AN16" i="4" s="1"/>
  <c r="AM15" i="4"/>
  <c r="AN15" i="4" s="1"/>
  <c r="AM14" i="4"/>
  <c r="AN14" i="4" s="1"/>
  <c r="AM13" i="4"/>
  <c r="AN13" i="4" s="1"/>
  <c r="AM12" i="4"/>
  <c r="AN12" i="4" s="1"/>
  <c r="AM11" i="4"/>
  <c r="AN11" i="4" s="1"/>
  <c r="AM10" i="4"/>
  <c r="AN10" i="4" s="1"/>
  <c r="AM9" i="4"/>
  <c r="AN9" i="4" s="1"/>
  <c r="AM8" i="4"/>
  <c r="AN8" i="4" s="1"/>
  <c r="AM7" i="4"/>
  <c r="AN7" i="4" s="1"/>
  <c r="AM6" i="4"/>
  <c r="AN6" i="4" s="1"/>
  <c r="AM5" i="4"/>
  <c r="AN5" i="4" s="1"/>
  <c r="AM4" i="4"/>
  <c r="AN4" i="4" s="1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AM49" i="3"/>
  <c r="AN49" i="3" s="1"/>
  <c r="AM48" i="3"/>
  <c r="AN48" i="3" s="1"/>
  <c r="AM47" i="3"/>
  <c r="AN47" i="3" s="1"/>
  <c r="AM46" i="3"/>
  <c r="AN46" i="3" s="1"/>
  <c r="AM45" i="3"/>
  <c r="AN45" i="3" s="1"/>
  <c r="AM44" i="3"/>
  <c r="AN44" i="3" s="1"/>
  <c r="AM43" i="3"/>
  <c r="AN43" i="3" s="1"/>
  <c r="AM42" i="3"/>
  <c r="AN42" i="3" s="1"/>
  <c r="AM41" i="3"/>
  <c r="AN41" i="3" s="1"/>
  <c r="AM40" i="3"/>
  <c r="AN40" i="3" s="1"/>
  <c r="AM39" i="3"/>
  <c r="AN39" i="3" s="1"/>
  <c r="AM38" i="3"/>
  <c r="AN38" i="3" s="1"/>
  <c r="AM37" i="3"/>
  <c r="AN37" i="3" s="1"/>
  <c r="AM36" i="3"/>
  <c r="AN36" i="3" s="1"/>
  <c r="AM35" i="3"/>
  <c r="AM34" i="3"/>
  <c r="AN34" i="3" s="1"/>
  <c r="AM33" i="3"/>
  <c r="AN33" i="3" s="1"/>
  <c r="AM32" i="3"/>
  <c r="AN32" i="3" s="1"/>
  <c r="AM31" i="3"/>
  <c r="AN31" i="3" s="1"/>
  <c r="AM30" i="3"/>
  <c r="AN30" i="3" s="1"/>
  <c r="AM29" i="3"/>
  <c r="AN29" i="3" s="1"/>
  <c r="AM28" i="3"/>
  <c r="AN28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M11" i="3"/>
  <c r="AN11" i="3" s="1"/>
  <c r="AM10" i="3"/>
  <c r="AN10" i="3" s="1"/>
  <c r="AM9" i="3"/>
  <c r="AN9" i="3" s="1"/>
  <c r="AM8" i="3"/>
  <c r="AN8" i="3" s="1"/>
  <c r="AM7" i="3"/>
  <c r="AN7" i="3" s="1"/>
  <c r="AM6" i="3"/>
  <c r="AN6" i="3" s="1"/>
  <c r="AM5" i="3"/>
  <c r="AN5" i="3" s="1"/>
  <c r="AM4" i="3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4" i="11" s="1"/>
  <c r="J37" i="11" s="1"/>
  <c r="J34" i="12" s="1"/>
  <c r="X68" i="2"/>
  <c r="W68" i="2"/>
  <c r="V4" i="11" s="1"/>
  <c r="J35" i="11" s="1"/>
  <c r="J32" i="12" s="1"/>
  <c r="V68" i="2"/>
  <c r="U68" i="2"/>
  <c r="T4" i="11" s="1"/>
  <c r="J33" i="11" s="1"/>
  <c r="J30" i="12" s="1"/>
  <c r="T68" i="2"/>
  <c r="S68" i="2"/>
  <c r="R4" i="11" s="1"/>
  <c r="J31" i="11" s="1"/>
  <c r="J28" i="12" s="1"/>
  <c r="R68" i="2"/>
  <c r="Q68" i="2"/>
  <c r="P4" i="11" s="1"/>
  <c r="J29" i="11" s="1"/>
  <c r="J26" i="12" s="1"/>
  <c r="P68" i="2"/>
  <c r="O68" i="2"/>
  <c r="N4" i="11" s="1"/>
  <c r="J27" i="11" s="1"/>
  <c r="J24" i="12" s="1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3" i="11" s="1"/>
  <c r="I49" i="11" s="1"/>
  <c r="I46" i="12" s="1"/>
  <c r="AJ67" i="2"/>
  <c r="AI67" i="2"/>
  <c r="AH67" i="2"/>
  <c r="AG67" i="2"/>
  <c r="AF67" i="2"/>
  <c r="AE67" i="2"/>
  <c r="AD3" i="11" s="1"/>
  <c r="I43" i="11" s="1"/>
  <c r="I40" i="12" s="1"/>
  <c r="AD67" i="2"/>
  <c r="AC67" i="2"/>
  <c r="AB3" i="11" s="1"/>
  <c r="I41" i="11" s="1"/>
  <c r="I38" i="12" s="1"/>
  <c r="AB67" i="2"/>
  <c r="AA67" i="2"/>
  <c r="Z3" i="11" s="1"/>
  <c r="I39" i="11" s="1"/>
  <c r="I36" i="12" s="1"/>
  <c r="Z67" i="2"/>
  <c r="Y67" i="2"/>
  <c r="X3" i="11" s="1"/>
  <c r="I37" i="11" s="1"/>
  <c r="I34" i="12" s="1"/>
  <c r="X67" i="2"/>
  <c r="W67" i="2"/>
  <c r="V3" i="11" s="1"/>
  <c r="I35" i="11" s="1"/>
  <c r="I32" i="12" s="1"/>
  <c r="V67" i="2"/>
  <c r="U67" i="2"/>
  <c r="T3" i="11" s="1"/>
  <c r="I33" i="11" s="1"/>
  <c r="I30" i="12" s="1"/>
  <c r="T67" i="2"/>
  <c r="S67" i="2"/>
  <c r="R3" i="11" s="1"/>
  <c r="I31" i="11" s="1"/>
  <c r="I28" i="12" s="1"/>
  <c r="R67" i="2"/>
  <c r="Q67" i="2"/>
  <c r="P3" i="11" s="1"/>
  <c r="I29" i="11" s="1"/>
  <c r="I26" i="12" s="1"/>
  <c r="P67" i="2"/>
  <c r="O67" i="2"/>
  <c r="N3" i="11" s="1"/>
  <c r="I27" i="11" s="1"/>
  <c r="I24" i="12" s="1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M49" i="2"/>
  <c r="AN49" i="2" s="1"/>
  <c r="AM48" i="2"/>
  <c r="AN48" i="2" s="1"/>
  <c r="AM47" i="2"/>
  <c r="AN47" i="2" s="1"/>
  <c r="AM46" i="2"/>
  <c r="AN46" i="2" s="1"/>
  <c r="AM45" i="2"/>
  <c r="AN45" i="2" s="1"/>
  <c r="AM44" i="2"/>
  <c r="AN44" i="2" s="1"/>
  <c r="AM43" i="2"/>
  <c r="AM42" i="2"/>
  <c r="AN42" i="2" s="1"/>
  <c r="AM41" i="2"/>
  <c r="AN41" i="2" s="1"/>
  <c r="AM40" i="2"/>
  <c r="AN40" i="2" s="1"/>
  <c r="AM39" i="2"/>
  <c r="AN39" i="2" s="1"/>
  <c r="AM38" i="2"/>
  <c r="AN38" i="2" s="1"/>
  <c r="AM37" i="2"/>
  <c r="AN37" i="2" s="1"/>
  <c r="AM36" i="2"/>
  <c r="AN36" i="2" s="1"/>
  <c r="AM35" i="2"/>
  <c r="AM34" i="2"/>
  <c r="AN34" i="2" s="1"/>
  <c r="AM33" i="2"/>
  <c r="AN33" i="2" s="1"/>
  <c r="AM32" i="2"/>
  <c r="AN32" i="2" s="1"/>
  <c r="AM31" i="2"/>
  <c r="AN31" i="2" s="1"/>
  <c r="AM30" i="2"/>
  <c r="AN30" i="2" s="1"/>
  <c r="AM29" i="2"/>
  <c r="AN29" i="2" s="1"/>
  <c r="AM28" i="2"/>
  <c r="AM27" i="2"/>
  <c r="AN27" i="2" s="1"/>
  <c r="AM26" i="2"/>
  <c r="AN26" i="2" s="1"/>
  <c r="AM25" i="2"/>
  <c r="AN25" i="2" s="1"/>
  <c r="AM24" i="2"/>
  <c r="AN24" i="2" s="1"/>
  <c r="AM23" i="2"/>
  <c r="AN23" i="2" s="1"/>
  <c r="AM22" i="2"/>
  <c r="AN22" i="2" s="1"/>
  <c r="AM21" i="2"/>
  <c r="AN21" i="2" s="1"/>
  <c r="AM20" i="2"/>
  <c r="AM19" i="2"/>
  <c r="AN19" i="2" s="1"/>
  <c r="AM18" i="2"/>
  <c r="AN18" i="2" s="1"/>
  <c r="AM17" i="2"/>
  <c r="AN17" i="2" s="1"/>
  <c r="AM16" i="2"/>
  <c r="AN16" i="2" s="1"/>
  <c r="AM15" i="2"/>
  <c r="AN15" i="2" s="1"/>
  <c r="AM14" i="2"/>
  <c r="AN14" i="2" s="1"/>
  <c r="AM13" i="2"/>
  <c r="AN13" i="2" s="1"/>
  <c r="AM12" i="2"/>
  <c r="AM11" i="2"/>
  <c r="AN11" i="2" s="1"/>
  <c r="AM10" i="2"/>
  <c r="AN10" i="2" s="1"/>
  <c r="AM9" i="2"/>
  <c r="AN9" i="2" s="1"/>
  <c r="AM8" i="2"/>
  <c r="AN8" i="2" s="1"/>
  <c r="AM7" i="2"/>
  <c r="AN7" i="2" s="1"/>
  <c r="AM6" i="2"/>
  <c r="AN6" i="2" s="1"/>
  <c r="AM5" i="2"/>
  <c r="AN5" i="2" s="1"/>
  <c r="AM4" i="2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D66" i="1"/>
  <c r="E66" i="1"/>
  <c r="F66" i="1"/>
  <c r="G66" i="1"/>
  <c r="H66" i="1"/>
  <c r="I66" i="1"/>
  <c r="J66" i="1"/>
  <c r="I2" i="11" s="1"/>
  <c r="H22" i="11" s="1"/>
  <c r="H19" i="12" s="1"/>
  <c r="K66" i="1"/>
  <c r="L66" i="1"/>
  <c r="K2" i="11" s="1"/>
  <c r="H24" i="11" s="1"/>
  <c r="H21" i="12" s="1"/>
  <c r="M66" i="1"/>
  <c r="L2" i="11" s="1"/>
  <c r="H25" i="11" s="1"/>
  <c r="H22" i="12" s="1"/>
  <c r="N66" i="1"/>
  <c r="M2" i="11" s="1"/>
  <c r="H26" i="11" s="1"/>
  <c r="H23" i="12" s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C66" i="1"/>
  <c r="AM34" i="1"/>
  <c r="AN34" i="1" s="1"/>
  <c r="AM35" i="1"/>
  <c r="AM36" i="1"/>
  <c r="AN36" i="1" s="1"/>
  <c r="AM37" i="1"/>
  <c r="AN37" i="1" s="1"/>
  <c r="AM38" i="1"/>
  <c r="AN38" i="1" s="1"/>
  <c r="AM39" i="1"/>
  <c r="AN39" i="1" s="1"/>
  <c r="AM40" i="1"/>
  <c r="AN40" i="1" s="1"/>
  <c r="AM41" i="1"/>
  <c r="AN41" i="1" s="1"/>
  <c r="AM42" i="1"/>
  <c r="AN42" i="1" s="1"/>
  <c r="AM43" i="1"/>
  <c r="AM44" i="1"/>
  <c r="AN44" i="1" s="1"/>
  <c r="AM45" i="1"/>
  <c r="AN45" i="1" s="1"/>
  <c r="AM46" i="1"/>
  <c r="AN46" i="1" s="1"/>
  <c r="AM47" i="1"/>
  <c r="AN47" i="1" s="1"/>
  <c r="AM48" i="1"/>
  <c r="AN48" i="1" s="1"/>
  <c r="AM49" i="1"/>
  <c r="AN49" i="1" s="1"/>
  <c r="AM5" i="1"/>
  <c r="AN5" i="1" s="1"/>
  <c r="AM6" i="1"/>
  <c r="AN6" i="1" s="1"/>
  <c r="AM7" i="1"/>
  <c r="AN7" i="1" s="1"/>
  <c r="AM8" i="1"/>
  <c r="AN8" i="1" s="1"/>
  <c r="AM9" i="1"/>
  <c r="AN9" i="1" s="1"/>
  <c r="AM10" i="1"/>
  <c r="AN10" i="1" s="1"/>
  <c r="AM11" i="1"/>
  <c r="AN11" i="1" s="1"/>
  <c r="AM12" i="1"/>
  <c r="AM13" i="1"/>
  <c r="AN13" i="1" s="1"/>
  <c r="AM14" i="1"/>
  <c r="AN14" i="1" s="1"/>
  <c r="AM15" i="1"/>
  <c r="AN15" i="1" s="1"/>
  <c r="AM16" i="1"/>
  <c r="AN16" i="1" s="1"/>
  <c r="AM17" i="1"/>
  <c r="AN17" i="1" s="1"/>
  <c r="AM18" i="1"/>
  <c r="AN18" i="1" s="1"/>
  <c r="AM19" i="1"/>
  <c r="AN19" i="1" s="1"/>
  <c r="AM20" i="1"/>
  <c r="AM21" i="1"/>
  <c r="AN21" i="1" s="1"/>
  <c r="AM22" i="1"/>
  <c r="AN22" i="1" s="1"/>
  <c r="AM23" i="1"/>
  <c r="AN23" i="1" s="1"/>
  <c r="AM24" i="1"/>
  <c r="AN24" i="1" s="1"/>
  <c r="AM25" i="1"/>
  <c r="AN25" i="1" s="1"/>
  <c r="AM26" i="1"/>
  <c r="AN26" i="1" s="1"/>
  <c r="AM27" i="1"/>
  <c r="AN27" i="1" s="1"/>
  <c r="AM28" i="1"/>
  <c r="AM29" i="1"/>
  <c r="AN29" i="1" s="1"/>
  <c r="AM30" i="1"/>
  <c r="AN30" i="1" s="1"/>
  <c r="AM31" i="1"/>
  <c r="AN31" i="1" s="1"/>
  <c r="AM32" i="1"/>
  <c r="AN32" i="1" s="1"/>
  <c r="AM33" i="1"/>
  <c r="AN33" i="1" s="1"/>
  <c r="AM4" i="1"/>
  <c r="Z4" i="11" l="1"/>
  <c r="J39" i="11" s="1"/>
  <c r="J36" i="12" s="1"/>
  <c r="AB4" i="11"/>
  <c r="J41" i="11" s="1"/>
  <c r="J38" i="12" s="1"/>
  <c r="AD4" i="11"/>
  <c r="J43" i="11" s="1"/>
  <c r="J40" i="12" s="1"/>
  <c r="AJ4" i="11"/>
  <c r="J49" i="11" s="1"/>
  <c r="J46" i="12" s="1"/>
  <c r="N5" i="11"/>
  <c r="K27" i="11" s="1"/>
  <c r="K24" i="12" s="1"/>
  <c r="P5" i="11"/>
  <c r="K29" i="11" s="1"/>
  <c r="K26" i="12" s="1"/>
  <c r="R5" i="11"/>
  <c r="K31" i="11" s="1"/>
  <c r="K28" i="12" s="1"/>
  <c r="T5" i="11"/>
  <c r="K33" i="11" s="1"/>
  <c r="K30" i="12" s="1"/>
  <c r="V5" i="11"/>
  <c r="K35" i="11" s="1"/>
  <c r="K32" i="12" s="1"/>
  <c r="X5" i="11"/>
  <c r="K37" i="11" s="1"/>
  <c r="K34" i="12" s="1"/>
  <c r="Z5" i="11"/>
  <c r="K39" i="11" s="1"/>
  <c r="K36" i="12" s="1"/>
  <c r="AB5" i="11"/>
  <c r="K41" i="11" s="1"/>
  <c r="K38" i="12" s="1"/>
  <c r="AD5" i="11"/>
  <c r="K43" i="11" s="1"/>
  <c r="K40" i="12" s="1"/>
  <c r="AJ5" i="11"/>
  <c r="K49" i="11" s="1"/>
  <c r="K46" i="12" s="1"/>
  <c r="N6" i="11"/>
  <c r="L27" i="11" s="1"/>
  <c r="L24" i="12" s="1"/>
  <c r="P6" i="11"/>
  <c r="L29" i="11" s="1"/>
  <c r="L26" i="12" s="1"/>
  <c r="R6" i="11"/>
  <c r="L31" i="11" s="1"/>
  <c r="L28" i="12" s="1"/>
  <c r="T6" i="11"/>
  <c r="L33" i="11" s="1"/>
  <c r="L30" i="12" s="1"/>
  <c r="V6" i="11"/>
  <c r="L35" i="11" s="1"/>
  <c r="L32" i="12" s="1"/>
  <c r="D57" i="10"/>
  <c r="D60" i="10" s="1"/>
  <c r="D58" i="6"/>
  <c r="D59" i="6"/>
  <c r="D58" i="7"/>
  <c r="D59" i="7"/>
  <c r="D60" i="7" s="1"/>
  <c r="D58" i="8"/>
  <c r="D60" i="8" s="1"/>
  <c r="D59" i="8"/>
  <c r="D58" i="9"/>
  <c r="D59" i="9"/>
  <c r="D60" i="9" s="1"/>
  <c r="L8" i="11"/>
  <c r="J8" i="11"/>
  <c r="AF7" i="11"/>
  <c r="M45" i="11" s="1"/>
  <c r="M42" i="12" s="1"/>
  <c r="J7" i="11"/>
  <c r="M23" i="11" s="1"/>
  <c r="M20" i="12" s="1"/>
  <c r="H7" i="11"/>
  <c r="M21" i="11" s="1"/>
  <c r="M18" i="12" s="1"/>
  <c r="D7" i="11"/>
  <c r="M17" i="11" s="1"/>
  <c r="M14" i="12" s="1"/>
  <c r="AH6" i="11"/>
  <c r="L47" i="11" s="1"/>
  <c r="L44" i="12" s="1"/>
  <c r="D59" i="5"/>
  <c r="D59" i="4"/>
  <c r="AN4" i="3"/>
  <c r="C54" i="3"/>
  <c r="D57" i="3"/>
  <c r="AN35" i="3"/>
  <c r="C58" i="3"/>
  <c r="AM69" i="6"/>
  <c r="AN69" i="6" s="1"/>
  <c r="AM71" i="6"/>
  <c r="AN71" i="6" s="1"/>
  <c r="AM66" i="6"/>
  <c r="AN66" i="6" s="1"/>
  <c r="D54" i="6"/>
  <c r="D60" i="6" s="1"/>
  <c r="AM67" i="6"/>
  <c r="AN67" i="6" s="1"/>
  <c r="AF6" i="11"/>
  <c r="L45" i="11" s="1"/>
  <c r="L42" i="12" s="1"/>
  <c r="L7" i="11"/>
  <c r="M25" i="11" s="1"/>
  <c r="M22" i="12" s="1"/>
  <c r="B7" i="11"/>
  <c r="M15" i="11" s="1"/>
  <c r="M12" i="12" s="1"/>
  <c r="D56" i="3"/>
  <c r="F7" i="11"/>
  <c r="M19" i="11" s="1"/>
  <c r="M16" i="12" s="1"/>
  <c r="AH7" i="11"/>
  <c r="M47" i="11" s="1"/>
  <c r="M44" i="12" s="1"/>
  <c r="D54" i="5"/>
  <c r="D56" i="5"/>
  <c r="D57" i="5"/>
  <c r="D56" i="4"/>
  <c r="D57" i="4"/>
  <c r="AN4" i="1"/>
  <c r="D54" i="1" s="1"/>
  <c r="C54" i="1"/>
  <c r="AN28" i="1"/>
  <c r="D57" i="1" s="1"/>
  <c r="C57" i="1"/>
  <c r="AN43" i="1"/>
  <c r="D59" i="1" s="1"/>
  <c r="C59" i="1"/>
  <c r="AN35" i="1"/>
  <c r="D58" i="1" s="1"/>
  <c r="C58" i="1"/>
  <c r="AN20" i="1"/>
  <c r="D56" i="1" s="1"/>
  <c r="C56" i="1"/>
  <c r="AN12" i="1"/>
  <c r="D55" i="1" s="1"/>
  <c r="C55" i="1"/>
  <c r="AN12" i="2"/>
  <c r="D55" i="2" s="1"/>
  <c r="C55" i="2"/>
  <c r="D2" i="11"/>
  <c r="H17" i="11" s="1"/>
  <c r="H14" i="12" s="1"/>
  <c r="H2" i="11"/>
  <c r="H21" i="11" s="1"/>
  <c r="H18" i="12" s="1"/>
  <c r="P2" i="11"/>
  <c r="H29" i="11" s="1"/>
  <c r="H26" i="12" s="1"/>
  <c r="T2" i="11"/>
  <c r="H33" i="11" s="1"/>
  <c r="H30" i="12" s="1"/>
  <c r="X2" i="11"/>
  <c r="H37" i="11" s="1"/>
  <c r="H34" i="12" s="1"/>
  <c r="Z2" i="11"/>
  <c r="H39" i="11" s="1"/>
  <c r="H36" i="12" s="1"/>
  <c r="AD2" i="11"/>
  <c r="H43" i="11" s="1"/>
  <c r="H40" i="12" s="1"/>
  <c r="AF2" i="11"/>
  <c r="H45" i="11" s="1"/>
  <c r="H42" i="12" s="1"/>
  <c r="AJ2" i="11"/>
  <c r="H49" i="11" s="1"/>
  <c r="H46" i="12" s="1"/>
  <c r="X6" i="11"/>
  <c r="L37" i="11" s="1"/>
  <c r="L34" i="12" s="1"/>
  <c r="Z6" i="11"/>
  <c r="L39" i="11" s="1"/>
  <c r="L36" i="12" s="1"/>
  <c r="AB6" i="11"/>
  <c r="L41" i="11" s="1"/>
  <c r="L38" i="12" s="1"/>
  <c r="AD6" i="11"/>
  <c r="L43" i="11" s="1"/>
  <c r="L40" i="12" s="1"/>
  <c r="AJ6" i="11"/>
  <c r="L49" i="11" s="1"/>
  <c r="L46" i="12" s="1"/>
  <c r="N7" i="11"/>
  <c r="M27" i="11" s="1"/>
  <c r="M24" i="12" s="1"/>
  <c r="P7" i="11"/>
  <c r="M29" i="11" s="1"/>
  <c r="M26" i="12" s="1"/>
  <c r="R7" i="11"/>
  <c r="M31" i="11" s="1"/>
  <c r="M28" i="12" s="1"/>
  <c r="T7" i="11"/>
  <c r="M33" i="11" s="1"/>
  <c r="M30" i="12" s="1"/>
  <c r="V7" i="11"/>
  <c r="M35" i="11" s="1"/>
  <c r="M32" i="12" s="1"/>
  <c r="X7" i="11"/>
  <c r="M37" i="11" s="1"/>
  <c r="M34" i="12" s="1"/>
  <c r="Z7" i="11"/>
  <c r="M39" i="11" s="1"/>
  <c r="M36" i="12" s="1"/>
  <c r="AB7" i="11"/>
  <c r="M41" i="11" s="1"/>
  <c r="M38" i="12" s="1"/>
  <c r="AD7" i="11"/>
  <c r="M43" i="11" s="1"/>
  <c r="M40" i="12" s="1"/>
  <c r="AJ7" i="11"/>
  <c r="M49" i="11" s="1"/>
  <c r="M46" i="12" s="1"/>
  <c r="D8" i="11"/>
  <c r="F8" i="11"/>
  <c r="H8" i="11"/>
  <c r="N8" i="11"/>
  <c r="P8" i="11"/>
  <c r="R8" i="11"/>
  <c r="T8" i="11"/>
  <c r="V8" i="11"/>
  <c r="X8" i="11"/>
  <c r="Z8" i="11"/>
  <c r="AB8" i="11"/>
  <c r="AD8" i="11"/>
  <c r="AF8" i="11"/>
  <c r="AH8" i="11"/>
  <c r="AJ8" i="11"/>
  <c r="AN12" i="3"/>
  <c r="D55" i="3" s="1"/>
  <c r="C55" i="3"/>
  <c r="AN4" i="2"/>
  <c r="D54" i="2" s="1"/>
  <c r="C54" i="2"/>
  <c r="AN20" i="2"/>
  <c r="D56" i="2" s="1"/>
  <c r="C56" i="2"/>
  <c r="AN28" i="2"/>
  <c r="D57" i="2" s="1"/>
  <c r="C57" i="2"/>
  <c r="B2" i="11"/>
  <c r="H15" i="11" s="1"/>
  <c r="H12" i="12" s="1"/>
  <c r="F2" i="11"/>
  <c r="H19" i="11" s="1"/>
  <c r="H16" i="12" s="1"/>
  <c r="J2" i="11"/>
  <c r="H23" i="11" s="1"/>
  <c r="H20" i="12" s="1"/>
  <c r="N2" i="11"/>
  <c r="H27" i="11" s="1"/>
  <c r="H24" i="12" s="1"/>
  <c r="R2" i="11"/>
  <c r="H31" i="11" s="1"/>
  <c r="H28" i="12" s="1"/>
  <c r="V2" i="11"/>
  <c r="H35" i="11" s="1"/>
  <c r="H32" i="12" s="1"/>
  <c r="AB2" i="11"/>
  <c r="H41" i="11" s="1"/>
  <c r="H38" i="12" s="1"/>
  <c r="AH2" i="11"/>
  <c r="H47" i="11" s="1"/>
  <c r="H44" i="12" s="1"/>
  <c r="L6" i="11"/>
  <c r="L25" i="11" s="1"/>
  <c r="L22" i="12" s="1"/>
  <c r="J6" i="11"/>
  <c r="L23" i="11" s="1"/>
  <c r="L20" i="12" s="1"/>
  <c r="H6" i="11"/>
  <c r="L21" i="11" s="1"/>
  <c r="L18" i="12" s="1"/>
  <c r="F6" i="11"/>
  <c r="L19" i="11" s="1"/>
  <c r="L16" i="12" s="1"/>
  <c r="D6" i="11"/>
  <c r="L17" i="11" s="1"/>
  <c r="L14" i="12" s="1"/>
  <c r="B6" i="11"/>
  <c r="L15" i="11" s="1"/>
  <c r="L12" i="12" s="1"/>
  <c r="AH5" i="11"/>
  <c r="K47" i="11" s="1"/>
  <c r="K44" i="12" s="1"/>
  <c r="AF5" i="11"/>
  <c r="K45" i="11" s="1"/>
  <c r="K42" i="12" s="1"/>
  <c r="L5" i="11"/>
  <c r="K25" i="11" s="1"/>
  <c r="K22" i="12" s="1"/>
  <c r="J5" i="11"/>
  <c r="K23" i="11" s="1"/>
  <c r="K20" i="12" s="1"/>
  <c r="H5" i="11"/>
  <c r="K21" i="11" s="1"/>
  <c r="K18" i="12" s="1"/>
  <c r="AH4" i="11"/>
  <c r="J47" i="11" s="1"/>
  <c r="J44" i="12" s="1"/>
  <c r="AF4" i="11"/>
  <c r="J45" i="11" s="1"/>
  <c r="J42" i="12" s="1"/>
  <c r="L4" i="11"/>
  <c r="J25" i="11" s="1"/>
  <c r="J22" i="12" s="1"/>
  <c r="J4" i="11"/>
  <c r="J23" i="11" s="1"/>
  <c r="J20" i="12" s="1"/>
  <c r="H4" i="11"/>
  <c r="J21" i="11" s="1"/>
  <c r="J18" i="12" s="1"/>
  <c r="AH3" i="11"/>
  <c r="I47" i="11" s="1"/>
  <c r="I44" i="12" s="1"/>
  <c r="AF3" i="11"/>
  <c r="I45" i="11" s="1"/>
  <c r="I42" i="12" s="1"/>
  <c r="L3" i="11"/>
  <c r="I25" i="11" s="1"/>
  <c r="I22" i="12" s="1"/>
  <c r="J3" i="11"/>
  <c r="I23" i="11" s="1"/>
  <c r="I20" i="12" s="1"/>
  <c r="H3" i="11"/>
  <c r="I21" i="11" s="1"/>
  <c r="I18" i="12" s="1"/>
  <c r="AN35" i="2"/>
  <c r="D58" i="2" s="1"/>
  <c r="C58" i="2"/>
  <c r="AN43" i="2"/>
  <c r="D59" i="2" s="1"/>
  <c r="C59" i="2"/>
  <c r="C2" i="11"/>
  <c r="H16" i="11" s="1"/>
  <c r="H13" i="12" s="1"/>
  <c r="E2" i="11"/>
  <c r="H18" i="11" s="1"/>
  <c r="H15" i="12" s="1"/>
  <c r="G2" i="11"/>
  <c r="H20" i="11" s="1"/>
  <c r="H17" i="12" s="1"/>
  <c r="O2" i="11"/>
  <c r="H28" i="11" s="1"/>
  <c r="H25" i="12" s="1"/>
  <c r="Q2" i="11"/>
  <c r="H30" i="11" s="1"/>
  <c r="H27" i="12" s="1"/>
  <c r="S2" i="11"/>
  <c r="H32" i="11" s="1"/>
  <c r="H29" i="12" s="1"/>
  <c r="U2" i="11"/>
  <c r="H34" i="11" s="1"/>
  <c r="H31" i="12" s="1"/>
  <c r="W2" i="11"/>
  <c r="H36" i="11" s="1"/>
  <c r="H33" i="12" s="1"/>
  <c r="Y2" i="11"/>
  <c r="H38" i="11" s="1"/>
  <c r="H35" i="12" s="1"/>
  <c r="AA2" i="11"/>
  <c r="H40" i="11" s="1"/>
  <c r="H37" i="12" s="1"/>
  <c r="AC2" i="11"/>
  <c r="H42" i="11" s="1"/>
  <c r="H39" i="12" s="1"/>
  <c r="AE2" i="11"/>
  <c r="H44" i="11" s="1"/>
  <c r="H41" i="12" s="1"/>
  <c r="AG2" i="11"/>
  <c r="H46" i="11" s="1"/>
  <c r="H43" i="12" s="1"/>
  <c r="AI2" i="11"/>
  <c r="H48" i="11" s="1"/>
  <c r="H45" i="12" s="1"/>
  <c r="AK2" i="11"/>
  <c r="H50" i="11" s="1"/>
  <c r="H47" i="12" s="1"/>
  <c r="O3" i="11"/>
  <c r="I28" i="11" s="1"/>
  <c r="I25" i="12" s="1"/>
  <c r="Q3" i="11"/>
  <c r="I30" i="11" s="1"/>
  <c r="I27" i="12" s="1"/>
  <c r="S3" i="11"/>
  <c r="I32" i="11" s="1"/>
  <c r="I29" i="12" s="1"/>
  <c r="U3" i="11"/>
  <c r="I34" i="11" s="1"/>
  <c r="I31" i="12" s="1"/>
  <c r="W3" i="11"/>
  <c r="I36" i="11" s="1"/>
  <c r="I33" i="12" s="1"/>
  <c r="Y3" i="11"/>
  <c r="I38" i="11" s="1"/>
  <c r="I35" i="12" s="1"/>
  <c r="AA3" i="11"/>
  <c r="I40" i="11" s="1"/>
  <c r="I37" i="12" s="1"/>
  <c r="AC3" i="11"/>
  <c r="I42" i="11" s="1"/>
  <c r="I39" i="12" s="1"/>
  <c r="AE3" i="11"/>
  <c r="I44" i="11" s="1"/>
  <c r="I41" i="12" s="1"/>
  <c r="AK3" i="11"/>
  <c r="I50" i="11" s="1"/>
  <c r="I47" i="12" s="1"/>
  <c r="O4" i="11"/>
  <c r="J28" i="11" s="1"/>
  <c r="J25" i="12" s="1"/>
  <c r="Q4" i="11"/>
  <c r="J30" i="11" s="1"/>
  <c r="J27" i="12" s="1"/>
  <c r="S4" i="11"/>
  <c r="J32" i="11" s="1"/>
  <c r="J29" i="12" s="1"/>
  <c r="U4" i="11"/>
  <c r="J34" i="11" s="1"/>
  <c r="J31" i="12" s="1"/>
  <c r="W4" i="11"/>
  <c r="J36" i="11" s="1"/>
  <c r="J33" i="12" s="1"/>
  <c r="Y4" i="11"/>
  <c r="J38" i="11" s="1"/>
  <c r="J35" i="12" s="1"/>
  <c r="AA4" i="11"/>
  <c r="J40" i="11" s="1"/>
  <c r="J37" i="12" s="1"/>
  <c r="AC4" i="11"/>
  <c r="J42" i="11" s="1"/>
  <c r="J39" i="12" s="1"/>
  <c r="AE4" i="11"/>
  <c r="J44" i="11" s="1"/>
  <c r="J41" i="12" s="1"/>
  <c r="AK4" i="11"/>
  <c r="J50" i="11" s="1"/>
  <c r="J47" i="12" s="1"/>
  <c r="O5" i="11"/>
  <c r="K28" i="11" s="1"/>
  <c r="K25" i="12" s="1"/>
  <c r="Q5" i="11"/>
  <c r="K30" i="11" s="1"/>
  <c r="K27" i="12" s="1"/>
  <c r="S5" i="11"/>
  <c r="K32" i="11" s="1"/>
  <c r="K29" i="12" s="1"/>
  <c r="U5" i="11"/>
  <c r="K34" i="11" s="1"/>
  <c r="K31" i="12" s="1"/>
  <c r="W5" i="11"/>
  <c r="K36" i="11" s="1"/>
  <c r="K33" i="12" s="1"/>
  <c r="Y5" i="11"/>
  <c r="K38" i="11" s="1"/>
  <c r="K35" i="12" s="1"/>
  <c r="AA5" i="11"/>
  <c r="K40" i="11" s="1"/>
  <c r="K37" i="12" s="1"/>
  <c r="AC5" i="11"/>
  <c r="K42" i="11" s="1"/>
  <c r="K39" i="12" s="1"/>
  <c r="AE5" i="11"/>
  <c r="K44" i="11" s="1"/>
  <c r="K41" i="12" s="1"/>
  <c r="AK5" i="11"/>
  <c r="K50" i="11" s="1"/>
  <c r="K47" i="12" s="1"/>
  <c r="O6" i="11"/>
  <c r="L28" i="11" s="1"/>
  <c r="L25" i="12" s="1"/>
  <c r="Q6" i="11"/>
  <c r="L30" i="11" s="1"/>
  <c r="L27" i="12" s="1"/>
  <c r="S6" i="11"/>
  <c r="L32" i="11" s="1"/>
  <c r="L29" i="12" s="1"/>
  <c r="U6" i="11"/>
  <c r="L34" i="11" s="1"/>
  <c r="L31" i="12" s="1"/>
  <c r="W6" i="11"/>
  <c r="L36" i="11" s="1"/>
  <c r="L33" i="12" s="1"/>
  <c r="Y6" i="11"/>
  <c r="L38" i="11" s="1"/>
  <c r="L35" i="12" s="1"/>
  <c r="AA6" i="11"/>
  <c r="L40" i="11" s="1"/>
  <c r="L37" i="12" s="1"/>
  <c r="D58" i="3"/>
  <c r="D59" i="3"/>
  <c r="AC6" i="11"/>
  <c r="L42" i="11" s="1"/>
  <c r="L39" i="12" s="1"/>
  <c r="AE6" i="11"/>
  <c r="L44" i="11" s="1"/>
  <c r="L41" i="12" s="1"/>
  <c r="AK6" i="11"/>
  <c r="L50" i="11" s="1"/>
  <c r="L47" i="12" s="1"/>
  <c r="O7" i="11"/>
  <c r="M28" i="11" s="1"/>
  <c r="M25" i="12" s="1"/>
  <c r="Q7" i="11"/>
  <c r="M30" i="11" s="1"/>
  <c r="M27" i="12" s="1"/>
  <c r="S7" i="11"/>
  <c r="M32" i="11" s="1"/>
  <c r="M29" i="12" s="1"/>
  <c r="U7" i="11"/>
  <c r="M34" i="11" s="1"/>
  <c r="M31" i="12" s="1"/>
  <c r="W7" i="11"/>
  <c r="M36" i="11" s="1"/>
  <c r="M33" i="12" s="1"/>
  <c r="Y7" i="11"/>
  <c r="M38" i="11" s="1"/>
  <c r="M35" i="12" s="1"/>
  <c r="AA7" i="11"/>
  <c r="M40" i="11" s="1"/>
  <c r="M37" i="12" s="1"/>
  <c r="AC7" i="11"/>
  <c r="M42" i="11" s="1"/>
  <c r="M39" i="12" s="1"/>
  <c r="AE7" i="11"/>
  <c r="M44" i="11" s="1"/>
  <c r="M41" i="12" s="1"/>
  <c r="AK7" i="11"/>
  <c r="M50" i="11" s="1"/>
  <c r="M47" i="12" s="1"/>
  <c r="C8" i="11"/>
  <c r="E8" i="11"/>
  <c r="G8" i="11"/>
  <c r="I8" i="11"/>
  <c r="K8" i="11"/>
  <c r="M8" i="11"/>
  <c r="O8" i="11"/>
  <c r="Q8" i="11"/>
  <c r="S8" i="11"/>
  <c r="U8" i="11"/>
  <c r="W8" i="11"/>
  <c r="Y8" i="11"/>
  <c r="AA8" i="11"/>
  <c r="AC8" i="11"/>
  <c r="AE8" i="11"/>
  <c r="AG8" i="11"/>
  <c r="AI8" i="11"/>
  <c r="AK8" i="11"/>
  <c r="D58" i="4"/>
  <c r="C59" i="3"/>
  <c r="C56" i="4"/>
  <c r="C57" i="4"/>
  <c r="C59" i="4"/>
  <c r="C54" i="5"/>
  <c r="C56" i="5"/>
  <c r="C57" i="5"/>
  <c r="C59" i="5"/>
  <c r="C54" i="6"/>
  <c r="C55" i="6"/>
  <c r="C56" i="6"/>
  <c r="C57" i="6"/>
  <c r="C58" i="6"/>
  <c r="C59" i="6"/>
  <c r="C54" i="7"/>
  <c r="C55" i="7"/>
  <c r="C56" i="7"/>
  <c r="C57" i="7"/>
  <c r="C58" i="7"/>
  <c r="C59" i="7"/>
  <c r="C54" i="8"/>
  <c r="C55" i="8"/>
  <c r="C56" i="8"/>
  <c r="C57" i="8"/>
  <c r="C58" i="8"/>
  <c r="C59" i="8"/>
  <c r="C54" i="9"/>
  <c r="C55" i="9"/>
  <c r="C56" i="9"/>
  <c r="C57" i="9"/>
  <c r="C58" i="9"/>
  <c r="C59" i="9"/>
  <c r="C54" i="10"/>
  <c r="C55" i="10"/>
  <c r="C56" i="10"/>
  <c r="C57" i="10"/>
  <c r="C58" i="10"/>
  <c r="C59" i="10"/>
  <c r="AM66" i="10"/>
  <c r="AN66" i="10" s="1"/>
  <c r="AM67" i="10"/>
  <c r="AN67" i="10" s="1"/>
  <c r="AM68" i="10"/>
  <c r="AN68" i="10" s="1"/>
  <c r="AM69" i="10"/>
  <c r="AN69" i="10" s="1"/>
  <c r="AM70" i="10"/>
  <c r="AN70" i="10" s="1"/>
  <c r="AM71" i="10"/>
  <c r="AN71" i="10" s="1"/>
  <c r="AM72" i="10"/>
  <c r="AN72" i="10" s="1"/>
  <c r="D58" i="5"/>
  <c r="C58" i="5"/>
  <c r="AM66" i="5"/>
  <c r="AM71" i="5"/>
  <c r="AM69" i="5"/>
  <c r="AM67" i="5"/>
  <c r="D55" i="5"/>
  <c r="AM70" i="5"/>
  <c r="AM68" i="5"/>
  <c r="C55" i="5"/>
  <c r="C58" i="4"/>
  <c r="D55" i="4"/>
  <c r="C55" i="4"/>
  <c r="AM66" i="4"/>
  <c r="AM70" i="4"/>
  <c r="AM72" i="4"/>
  <c r="AM68" i="4"/>
  <c r="AM67" i="4"/>
  <c r="D54" i="4"/>
  <c r="AM71" i="4"/>
  <c r="AM69" i="4"/>
  <c r="C54" i="4"/>
  <c r="C57" i="3"/>
  <c r="C56" i="3"/>
  <c r="D54" i="3"/>
  <c r="AM66" i="3"/>
  <c r="AM67" i="3"/>
  <c r="AM68" i="3"/>
  <c r="AM69" i="3"/>
  <c r="AM70" i="3"/>
  <c r="AM71" i="3"/>
  <c r="AM72" i="3"/>
  <c r="AM72" i="2"/>
  <c r="F5" i="11"/>
  <c r="K19" i="11" s="1"/>
  <c r="K16" i="12" s="1"/>
  <c r="D5" i="11"/>
  <c r="K17" i="11" s="1"/>
  <c r="K14" i="12" s="1"/>
  <c r="B5" i="11"/>
  <c r="K15" i="11" s="1"/>
  <c r="K12" i="12" s="1"/>
  <c r="F4" i="11"/>
  <c r="J19" i="11" s="1"/>
  <c r="J16" i="12" s="1"/>
  <c r="D4" i="11"/>
  <c r="J17" i="11" s="1"/>
  <c r="J14" i="12" s="1"/>
  <c r="B4" i="11"/>
  <c r="J15" i="11" s="1"/>
  <c r="J12" i="12" s="1"/>
  <c r="F3" i="11"/>
  <c r="I19" i="11" s="1"/>
  <c r="I16" i="12" s="1"/>
  <c r="D3" i="11"/>
  <c r="I17" i="11" s="1"/>
  <c r="I14" i="12" s="1"/>
  <c r="B3" i="11"/>
  <c r="I15" i="11" s="1"/>
  <c r="I12" i="12" s="1"/>
  <c r="B8" i="11"/>
  <c r="AM66" i="2"/>
  <c r="AI7" i="11"/>
  <c r="M48" i="11" s="1"/>
  <c r="M45" i="12" s="1"/>
  <c r="AG7" i="11"/>
  <c r="M46" i="11" s="1"/>
  <c r="M43" i="12" s="1"/>
  <c r="AI6" i="11"/>
  <c r="L48" i="11" s="1"/>
  <c r="L45" i="12" s="1"/>
  <c r="AG6" i="11"/>
  <c r="L46" i="11" s="1"/>
  <c r="L43" i="12" s="1"/>
  <c r="AI5" i="11"/>
  <c r="K48" i="11" s="1"/>
  <c r="K45" i="12" s="1"/>
  <c r="AG5" i="11"/>
  <c r="K46" i="11" s="1"/>
  <c r="K43" i="12" s="1"/>
  <c r="AI4" i="11"/>
  <c r="J48" i="11" s="1"/>
  <c r="J45" i="12" s="1"/>
  <c r="AG4" i="11"/>
  <c r="J46" i="11" s="1"/>
  <c r="J43" i="12" s="1"/>
  <c r="AI3" i="11"/>
  <c r="I48" i="11" s="1"/>
  <c r="I45" i="12" s="1"/>
  <c r="AG3" i="11"/>
  <c r="I46" i="11" s="1"/>
  <c r="I43" i="12" s="1"/>
  <c r="M7" i="11"/>
  <c r="M26" i="11" s="1"/>
  <c r="M23" i="12" s="1"/>
  <c r="K7" i="11"/>
  <c r="M24" i="11" s="1"/>
  <c r="M21" i="12" s="1"/>
  <c r="I7" i="11"/>
  <c r="M22" i="11" s="1"/>
  <c r="M19" i="12" s="1"/>
  <c r="G7" i="11"/>
  <c r="M20" i="11" s="1"/>
  <c r="M17" i="12" s="1"/>
  <c r="E7" i="11"/>
  <c r="M18" i="11" s="1"/>
  <c r="M15" i="12" s="1"/>
  <c r="C7" i="11"/>
  <c r="M16" i="11" s="1"/>
  <c r="M13" i="12" s="1"/>
  <c r="M6" i="11"/>
  <c r="L26" i="11" s="1"/>
  <c r="L23" i="12" s="1"/>
  <c r="K6" i="11"/>
  <c r="L24" i="11" s="1"/>
  <c r="L21" i="12" s="1"/>
  <c r="I6" i="11"/>
  <c r="L22" i="11" s="1"/>
  <c r="L19" i="12" s="1"/>
  <c r="G6" i="11"/>
  <c r="L20" i="11" s="1"/>
  <c r="L17" i="12" s="1"/>
  <c r="E6" i="11"/>
  <c r="L18" i="11" s="1"/>
  <c r="L15" i="12" s="1"/>
  <c r="C6" i="11"/>
  <c r="L16" i="11" s="1"/>
  <c r="L13" i="12" s="1"/>
  <c r="M5" i="11"/>
  <c r="K26" i="11" s="1"/>
  <c r="K23" i="12" s="1"/>
  <c r="K5" i="11"/>
  <c r="K24" i="11" s="1"/>
  <c r="K21" i="12" s="1"/>
  <c r="I5" i="11"/>
  <c r="K22" i="11" s="1"/>
  <c r="K19" i="12" s="1"/>
  <c r="G5" i="11"/>
  <c r="K20" i="11" s="1"/>
  <c r="K17" i="12" s="1"/>
  <c r="E5" i="11"/>
  <c r="K18" i="11" s="1"/>
  <c r="K15" i="12" s="1"/>
  <c r="C5" i="11"/>
  <c r="K16" i="11" s="1"/>
  <c r="K13" i="12" s="1"/>
  <c r="M4" i="11"/>
  <c r="J26" i="11" s="1"/>
  <c r="J23" i="12" s="1"/>
  <c r="K4" i="11"/>
  <c r="J24" i="11" s="1"/>
  <c r="J21" i="12" s="1"/>
  <c r="I4" i="11"/>
  <c r="J22" i="11" s="1"/>
  <c r="J19" i="12" s="1"/>
  <c r="G4" i="11"/>
  <c r="J20" i="11" s="1"/>
  <c r="J17" i="12" s="1"/>
  <c r="E4" i="11"/>
  <c r="J18" i="11" s="1"/>
  <c r="J15" i="12" s="1"/>
  <c r="C4" i="11"/>
  <c r="J16" i="11" s="1"/>
  <c r="J13" i="12" s="1"/>
  <c r="M3" i="11"/>
  <c r="I26" i="11" s="1"/>
  <c r="I23" i="12" s="1"/>
  <c r="K3" i="11"/>
  <c r="I24" i="11" s="1"/>
  <c r="I21" i="12" s="1"/>
  <c r="I3" i="11"/>
  <c r="I22" i="11" s="1"/>
  <c r="I19" i="12" s="1"/>
  <c r="G3" i="11"/>
  <c r="I20" i="11" s="1"/>
  <c r="I17" i="12" s="1"/>
  <c r="E3" i="11"/>
  <c r="I18" i="11" s="1"/>
  <c r="I15" i="12" s="1"/>
  <c r="C3" i="11"/>
  <c r="I16" i="11" s="1"/>
  <c r="I13" i="12" s="1"/>
  <c r="AM67" i="2"/>
  <c r="AM68" i="2"/>
  <c r="AM69" i="2"/>
  <c r="AM70" i="2"/>
  <c r="AM71" i="2"/>
  <c r="AM66" i="1"/>
  <c r="AM72" i="1"/>
  <c r="AM70" i="1"/>
  <c r="AM68" i="1"/>
  <c r="AM71" i="1"/>
  <c r="AM69" i="1"/>
  <c r="AM67" i="1"/>
  <c r="AN73" i="1" l="1"/>
  <c r="D60" i="1"/>
  <c r="D60" i="5"/>
  <c r="C60" i="5"/>
  <c r="D60" i="3"/>
  <c r="AL2" i="11"/>
  <c r="AM2" i="11" s="1"/>
  <c r="AL8" i="11"/>
  <c r="AM8" i="11" s="1"/>
  <c r="H51" i="12"/>
  <c r="H54" i="12" s="1"/>
  <c r="D60" i="4"/>
  <c r="C60" i="10"/>
  <c r="C60" i="9"/>
  <c r="C60" i="8"/>
  <c r="C60" i="7"/>
  <c r="C60" i="6"/>
  <c r="D60" i="2"/>
  <c r="C60" i="1"/>
  <c r="C60" i="2"/>
  <c r="C60" i="4"/>
  <c r="C60" i="3"/>
  <c r="K51" i="12"/>
  <c r="K54" i="12" s="1"/>
  <c r="M51" i="12"/>
  <c r="M54" i="12" s="1"/>
  <c r="AL4" i="11"/>
  <c r="AM4" i="11" s="1"/>
  <c r="AL7" i="11"/>
  <c r="AM7" i="11" s="1"/>
  <c r="AL5" i="11"/>
  <c r="AM5" i="11" s="1"/>
  <c r="I51" i="12"/>
  <c r="I54" i="12" s="1"/>
  <c r="J51" i="12"/>
  <c r="J54" i="12" s="1"/>
  <c r="L51" i="12"/>
  <c r="L54" i="12" s="1"/>
  <c r="AL6" i="11"/>
  <c r="AM6" i="11" s="1"/>
  <c r="AL3" i="11"/>
  <c r="AM3" i="11" s="1"/>
  <c r="J55" i="12" l="1"/>
  <c r="J50" i="12"/>
</calcChain>
</file>

<file path=xl/sharedStrings.xml><?xml version="1.0" encoding="utf-8"?>
<sst xmlns="http://schemas.openxmlformats.org/spreadsheetml/2006/main" count="1079" uniqueCount="127">
  <si>
    <t>Programa de Crianza</t>
  </si>
  <si>
    <t>Versión:</t>
  </si>
  <si>
    <t>Fecha:</t>
  </si>
  <si>
    <t>R - Gatica</t>
  </si>
  <si>
    <t>Acuícola Alas S.A., Ruta 5 sur, Km 338, VII región, Parral</t>
  </si>
  <si>
    <t>Folio:</t>
  </si>
  <si>
    <t>Mes</t>
  </si>
  <si>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</si>
  <si>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</si>
  <si>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</si>
  <si>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</si>
  <si>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</si>
  <si>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</si>
  <si>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</si>
  <si>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</si>
  <si>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</si>
  <si>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</si>
  <si>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</si>
  <si>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</si>
  <si>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</si>
  <si>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</si>
  <si>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</si>
  <si>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</si>
  <si>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</si>
  <si>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</si>
  <si>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</si>
  <si>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</si>
  <si>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</si>
  <si>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</si>
  <si>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</si>
  <si>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</si>
  <si>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Sábado/Domingo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</si>
  <si>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</si>
  <si>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</si>
  <si>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</si>
  <si>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</si>
  <si>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Total Retiro Diario</t>
  </si>
  <si>
    <t>Fecha</t>
  </si>
  <si>
    <t>Folio</t>
  </si>
  <si>
    <t>Sábado Domingo</t>
  </si>
  <si>
    <t>Total :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</si>
  <si>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</si>
  <si>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Registro</t>
  </si>
  <si>
    <t>PC 01.1</t>
  </si>
  <si>
    <t>0.24</t>
  </si>
  <si>
    <t>RESUMEN MENSUAL EXISTENCIAS</t>
  </si>
  <si>
    <t>Elaborado Por:</t>
  </si>
  <si>
    <t>A - Vial</t>
  </si>
  <si>
    <t>Modificado por:</t>
  </si>
  <si>
    <t>Mes:</t>
  </si>
  <si>
    <t>Aprobado Por</t>
  </si>
  <si>
    <t>Hojas:</t>
  </si>
  <si>
    <t>1 de 3</t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</si>
  <si>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</si>
  <si>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</si>
  <si>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</si>
  <si>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</si>
  <si>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</si>
  <si>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</si>
  <si>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</si>
  <si>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</si>
  <si>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Candelaria</t>
  </si>
  <si>
    <t>Dolores</t>
  </si>
  <si>
    <t>Fátima</t>
  </si>
  <si>
    <t>Guadalupe</t>
  </si>
  <si>
    <t>Iberia</t>
  </si>
  <si>
    <t>Pilar</t>
  </si>
  <si>
    <t>Rosario</t>
  </si>
  <si>
    <t>Victoria</t>
  </si>
  <si>
    <t>Lag. Sur Oriente</t>
  </si>
  <si>
    <t>SO1</t>
  </si>
  <si>
    <t>SO2</t>
  </si>
  <si>
    <t>SO3</t>
  </si>
  <si>
    <t>SO4</t>
  </si>
  <si>
    <t>Oscetra</t>
  </si>
  <si>
    <t>SO5</t>
  </si>
  <si>
    <t>SO6</t>
  </si>
  <si>
    <t>Lag. Sur Poniente</t>
  </si>
  <si>
    <t>SP1</t>
  </si>
  <si>
    <t>SP2</t>
  </si>
  <si>
    <t>SP3</t>
  </si>
  <si>
    <t>SP4</t>
  </si>
  <si>
    <t>SP5</t>
  </si>
  <si>
    <t>SP6</t>
  </si>
  <si>
    <t>Del Carmen</t>
  </si>
  <si>
    <t>Laguna Central</t>
  </si>
  <si>
    <t>C1</t>
  </si>
  <si>
    <t>C2</t>
  </si>
  <si>
    <t>C3</t>
  </si>
  <si>
    <t>C4</t>
  </si>
  <si>
    <t>Ext Exterior</t>
  </si>
  <si>
    <t>Hatchery sala Alevinaje</t>
  </si>
  <si>
    <t>Hatchery sala Incubación</t>
  </si>
  <si>
    <t>Rosa</t>
  </si>
  <si>
    <t>Total:</t>
  </si>
  <si>
    <t>Total consumido</t>
  </si>
  <si>
    <t>Ingresos</t>
  </si>
  <si>
    <t>Final Mensual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</si>
  <si>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</si>
  <si>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</si>
  <si>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</si>
  <si>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</si>
  <si>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</si>
  <si>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</si>
  <si>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</si>
  <si>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</si>
  <si>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</si>
  <si>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</si>
  <si>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</si>
  <si>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</si>
  <si>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</si>
  <si>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</si>
  <si>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</si>
  <si>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</si>
  <si>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</si>
  <si>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</si>
  <si>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Lag Nor Oriente</t>
  </si>
  <si>
    <t>Laguna Nor Central</t>
  </si>
  <si>
    <t>Laguna Nor Poniente</t>
  </si>
  <si>
    <t>Alimento</t>
  </si>
  <si>
    <t>Inicial mensual</t>
  </si>
  <si>
    <t>Total disponible</t>
  </si>
  <si>
    <t>Victoria/Candelaria</t>
  </si>
  <si>
    <t>Talasa</t>
  </si>
  <si>
    <t>Thallasa</t>
  </si>
  <si>
    <t>Agosto</t>
  </si>
  <si>
    <t>Tallassa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</si>
</sst>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/m/yyyy"/>
  </numFmts>
  <fonts count="3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9"/>
      <color theme="1"/>
      <name val="Calibri (Cuerpo)"/>
      <charset val="134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1"/>
      <name val="Calibri (Cuerpo)"/>
      <charset val="134"/>
    </font>
    <font>
      <sz val="11"/>
      <color theme="1"/>
      <name val="Calibri (Cuerpo)"/>
      <charset val="134"/>
    </font>
    <font>
      <sz val="9"/>
      <color theme="1"/>
      <name val="Calibri"/>
      <family val="2"/>
    </font>
    <font>
      <sz val="12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</fills>
  <borders count="71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theme="2" tint="-0.499984740745262"/>
      </right>
      <top/>
      <bottom/>
      <diagonal/>
    </border>
    <border>
      <left style="double">
        <color theme="2" tint="-0.499984740745262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theme="2" tint="-0.499984740745262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theme="2" tint="-0.499984740745262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theme="2" tint="-0.499984740745262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theme="2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double">
        <color theme="2" tint="-0.499984740745262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double">
        <color theme="2" tint="-0.249977111117893"/>
      </right>
      <top/>
      <bottom/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/>
      <right style="double">
        <color theme="1"/>
      </right>
      <top/>
      <bottom style="hair">
        <color indexed="64"/>
      </bottom>
      <diagonal/>
    </border>
    <border>
      <left/>
      <right style="double">
        <color theme="1"/>
      </right>
      <top/>
      <bottom/>
      <diagonal/>
    </border>
    <border>
      <left style="hair">
        <color indexed="64"/>
      </left>
      <right style="double">
        <color theme="1"/>
      </right>
      <top/>
      <bottom style="hair">
        <color indexed="64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0" borderId="0" xfId="0" applyAlignment="1">
      <alignment horizontal="center"/>
    </xf>
    <xf numFmtId="0" fontId="7" fillId="2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left" vertical="center"/>
    </xf>
    <xf numFmtId="0" fontId="0" fillId="8" borderId="10" xfId="0" applyFill="1" applyBorder="1"/>
    <xf numFmtId="0" fontId="0" fillId="5" borderId="7" xfId="0" applyFill="1" applyBorder="1"/>
    <xf numFmtId="0" fontId="4" fillId="5" borderId="11" xfId="0" applyFont="1" applyFill="1" applyBorder="1" applyAlignment="1">
      <alignment horizontal="left" vertical="center"/>
    </xf>
    <xf numFmtId="0" fontId="0" fillId="8" borderId="16" xfId="0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7" borderId="0" xfId="0" applyFill="1"/>
    <xf numFmtId="0" fontId="0" fillId="0" borderId="0" xfId="0" applyAlignment="1">
      <alignment horizontal="left" vertical="center"/>
    </xf>
    <xf numFmtId="0" fontId="0" fillId="7" borderId="11" xfId="0" applyFill="1" applyBorder="1"/>
    <xf numFmtId="0" fontId="12" fillId="6" borderId="0" xfId="0" applyFont="1" applyFill="1" applyAlignment="1">
      <alignment horizontal="center" vertical="center" textRotation="90"/>
    </xf>
    <xf numFmtId="0" fontId="13" fillId="6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0" fillId="0" borderId="0" xfId="0" applyAlignment="1">
      <alignment horizontal="center" vertical="center" textRotation="90"/>
    </xf>
    <xf numFmtId="0" fontId="2" fillId="0" borderId="0" xfId="0" applyFont="1" applyAlignment="1">
      <alignment vertical="center" textRotation="9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4" fillId="0" borderId="0" xfId="0" applyFont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2" fillId="5" borderId="23" xfId="0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2" fillId="3" borderId="5" xfId="0" applyFont="1" applyFill="1" applyBorder="1" applyAlignment="1">
      <alignment horizontal="center"/>
    </xf>
    <xf numFmtId="0" fontId="0" fillId="6" borderId="9" xfId="0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4" fillId="6" borderId="17" xfId="0" applyFont="1" applyFill="1" applyBorder="1" applyAlignment="1">
      <alignment vertical="center"/>
    </xf>
    <xf numFmtId="0" fontId="2" fillId="3" borderId="9" xfId="0" applyFont="1" applyFill="1" applyBorder="1"/>
    <xf numFmtId="0" fontId="0" fillId="6" borderId="6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21" fillId="0" borderId="0" xfId="0" applyFont="1"/>
    <xf numFmtId="0" fontId="0" fillId="0" borderId="0" xfId="0" applyAlignment="1">
      <alignment textRotation="90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0" fontId="15" fillId="0" borderId="0" xfId="0" applyFont="1" applyAlignment="1">
      <alignment vertical="center" textRotation="90"/>
    </xf>
    <xf numFmtId="0" fontId="15" fillId="5" borderId="37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 vertical="center"/>
    </xf>
    <xf numFmtId="0" fontId="26" fillId="5" borderId="38" xfId="0" applyFont="1" applyFill="1" applyBorder="1" applyAlignment="1">
      <alignment horizontal="center" vertical="center" wrapText="1"/>
    </xf>
    <xf numFmtId="0" fontId="27" fillId="5" borderId="38" xfId="0" applyFont="1" applyFill="1" applyBorder="1" applyAlignment="1">
      <alignment horizontal="center" vertical="center" wrapText="1"/>
    </xf>
    <xf numFmtId="0" fontId="16" fillId="4" borderId="47" xfId="0" applyFont="1" applyFill="1" applyBorder="1" applyAlignment="1">
      <alignment horizontal="center" vertical="center" wrapText="1"/>
    </xf>
    <xf numFmtId="0" fontId="15" fillId="5" borderId="48" xfId="0" applyFont="1" applyFill="1" applyBorder="1" applyAlignment="1">
      <alignment horizontal="center" vertical="center" wrapText="1"/>
    </xf>
    <xf numFmtId="0" fontId="15" fillId="5" borderId="49" xfId="0" applyFont="1" applyFill="1" applyBorder="1" applyAlignment="1">
      <alignment horizontal="center" vertical="center" wrapText="1"/>
    </xf>
    <xf numFmtId="0" fontId="0" fillId="6" borderId="50" xfId="0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7" borderId="63" xfId="0" applyFont="1" applyFill="1" applyBorder="1" applyAlignment="1">
      <alignment horizontal="center" vertical="center"/>
    </xf>
    <xf numFmtId="0" fontId="0" fillId="6" borderId="64" xfId="0" applyFill="1" applyBorder="1" applyAlignment="1">
      <alignment horizontal="center" vertical="center"/>
    </xf>
    <xf numFmtId="0" fontId="0" fillId="6" borderId="62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0" fillId="5" borderId="62" xfId="0" applyFill="1" applyBorder="1" applyAlignment="1">
      <alignment horizontal="center" vertical="center"/>
    </xf>
    <xf numFmtId="0" fontId="15" fillId="5" borderId="58" xfId="0" applyFont="1" applyFill="1" applyBorder="1" applyAlignment="1">
      <alignment horizontal="center" vertical="center" wrapText="1"/>
    </xf>
    <xf numFmtId="0" fontId="0" fillId="6" borderId="59" xfId="0" applyFill="1" applyBorder="1" applyAlignment="1">
      <alignment horizontal="center" vertical="center"/>
    </xf>
    <xf numFmtId="0" fontId="15" fillId="5" borderId="66" xfId="0" applyFont="1" applyFill="1" applyBorder="1" applyAlignment="1">
      <alignment horizontal="center" vertical="center" wrapText="1"/>
    </xf>
    <xf numFmtId="0" fontId="15" fillId="5" borderId="67" xfId="0" applyFont="1" applyFill="1" applyBorder="1" applyAlignment="1">
      <alignment horizontal="center" vertical="center" wrapText="1"/>
    </xf>
    <xf numFmtId="0" fontId="15" fillId="5" borderId="55" xfId="0" applyFont="1" applyFill="1" applyBorder="1" applyAlignment="1">
      <alignment horizontal="center" vertical="center" wrapText="1"/>
    </xf>
    <xf numFmtId="0" fontId="0" fillId="6" borderId="57" xfId="0" applyFill="1" applyBorder="1" applyAlignment="1">
      <alignment horizontal="center" vertical="center"/>
    </xf>
    <xf numFmtId="0" fontId="15" fillId="5" borderId="68" xfId="0" applyFont="1" applyFill="1" applyBorder="1" applyAlignment="1">
      <alignment horizontal="center" vertical="center" wrapText="1"/>
    </xf>
    <xf numFmtId="0" fontId="15" fillId="5" borderId="69" xfId="0" applyFont="1" applyFill="1" applyBorder="1" applyAlignment="1">
      <alignment horizontal="center" vertical="center" wrapText="1"/>
    </xf>
    <xf numFmtId="0" fontId="15" fillId="5" borderId="60" xfId="0" applyFont="1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/>
    </xf>
    <xf numFmtId="0" fontId="15" fillId="5" borderId="70" xfId="0" applyFont="1" applyFill="1" applyBorder="1" applyAlignment="1">
      <alignment horizontal="center" vertical="center" wrapText="1"/>
    </xf>
    <xf numFmtId="0" fontId="0" fillId="6" borderId="54" xfId="0" applyFill="1" applyBorder="1" applyAlignment="1">
      <alignment horizontal="center" vertical="center"/>
    </xf>
    <xf numFmtId="0" fontId="0" fillId="6" borderId="54" xfId="0" applyFill="1" applyBorder="1" applyAlignment="1">
      <alignment vertical="center"/>
    </xf>
    <xf numFmtId="0" fontId="16" fillId="4" borderId="51" xfId="0" applyFont="1" applyFill="1" applyBorder="1" applyAlignment="1">
      <alignment vertical="center" wrapText="1"/>
    </xf>
    <xf numFmtId="0" fontId="0" fillId="6" borderId="57" xfId="0" applyFill="1" applyBorder="1" applyAlignment="1">
      <alignment vertical="center"/>
    </xf>
    <xf numFmtId="0" fontId="5" fillId="5" borderId="55" xfId="0" applyFont="1" applyFill="1" applyBorder="1" applyAlignment="1">
      <alignment vertical="center" wrapText="1"/>
    </xf>
    <xf numFmtId="0" fontId="5" fillId="5" borderId="56" xfId="0" applyFont="1" applyFill="1" applyBorder="1" applyAlignment="1">
      <alignment vertical="center" wrapText="1"/>
    </xf>
    <xf numFmtId="0" fontId="16" fillId="4" borderId="35" xfId="0" applyFont="1" applyFill="1" applyBorder="1" applyAlignment="1">
      <alignment vertical="center" wrapText="1"/>
    </xf>
    <xf numFmtId="0" fontId="5" fillId="5" borderId="52" xfId="0" applyFont="1" applyFill="1" applyBorder="1" applyAlignment="1">
      <alignment vertical="center" wrapText="1"/>
    </xf>
    <xf numFmtId="0" fontId="5" fillId="5" borderId="53" xfId="0" applyFont="1" applyFill="1" applyBorder="1" applyAlignment="1">
      <alignment vertical="center" wrapText="1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8" xfId="0" applyFill="1" applyBorder="1" applyAlignment="1">
      <alignment horizontal="center" vertical="center"/>
    </xf>
    <xf numFmtId="0" fontId="0" fillId="7" borderId="6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12" xfId="0" applyFill="1" applyBorder="1"/>
    <xf numFmtId="0" fontId="0" fillId="0" borderId="11" xfId="0" applyBorder="1"/>
    <xf numFmtId="0" fontId="0" fillId="7" borderId="9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/>
    </xf>
    <xf numFmtId="0" fontId="16" fillId="4" borderId="0" xfId="0" applyFont="1" applyFill="1" applyAlignment="1">
      <alignment vertical="center"/>
    </xf>
    <xf numFmtId="0" fontId="16" fillId="4" borderId="0" xfId="0" applyFont="1" applyFill="1" applyAlignment="1">
      <alignment vertical="center" textRotation="90" wrapText="1"/>
    </xf>
    <xf numFmtId="0" fontId="16" fillId="4" borderId="0" xfId="0" applyFont="1" applyFill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Border="1"/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5" fillId="5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5" borderId="20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 vertical="center" textRotation="90"/>
    </xf>
    <xf numFmtId="0" fontId="10" fillId="2" borderId="18" xfId="0" applyFont="1" applyFill="1" applyBorder="1" applyAlignment="1">
      <alignment horizontal="center" vertical="center" textRotation="90"/>
    </xf>
    <xf numFmtId="0" fontId="10" fillId="2" borderId="9" xfId="0" applyFont="1" applyFill="1" applyBorder="1" applyAlignment="1">
      <alignment horizontal="center" vertical="center" textRotation="90"/>
    </xf>
    <xf numFmtId="0" fontId="6" fillId="2" borderId="0" xfId="0" applyFont="1" applyFill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4" xfId="0" applyFill="1" applyBorder="1" applyAlignment="1">
      <alignment horizontal="center"/>
    </xf>
    <xf numFmtId="0" fontId="4" fillId="6" borderId="0" xfId="0" applyFont="1" applyFill="1" applyAlignment="1">
      <alignment horizontal="center" vertical="center" textRotation="90"/>
    </xf>
    <xf numFmtId="0" fontId="3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3" fillId="4" borderId="35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 textRotation="90" wrapText="1"/>
    </xf>
    <xf numFmtId="0" fontId="17" fillId="4" borderId="0" xfId="0" applyFont="1" applyFill="1" applyAlignment="1">
      <alignment horizontal="center" vertical="center" textRotation="90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3" fillId="4" borderId="65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7" fillId="4" borderId="34" xfId="0" applyFont="1" applyFill="1" applyBorder="1" applyAlignment="1">
      <alignment horizontal="center" vertical="center" textRotation="90" wrapText="1"/>
    </xf>
    <xf numFmtId="0" fontId="17" fillId="4" borderId="31" xfId="0" applyFont="1" applyFill="1" applyBorder="1" applyAlignment="1">
      <alignment horizontal="center" vertical="center" textRotation="90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8" fillId="0" borderId="0" xfId="0" applyFont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41" fontId="23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</cellXfs>
  <cellStyles count="1">
    <cellStyle name="Normal" xfId="0" builtinId="0"/>
  </cellStyles>
  <dxfs count="11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7B95ADD1-260F-407D-8FB9-DB5526A6CF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48225" y="95249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11EAC6F9-0175-4CD1-B97A-D3E3B9ABA51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7350" y="133349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6BCE-4795-4EDF-8B5B-4C44BE1F9D0F}">
  <sheetPr codeName="Hoja9"/>
  <dimension ref="A1:AR115"/>
  <sheetViews>
    <sheetView workbookViewId="0">
      <pane xSplit="2" ySplit="3" topLeftCell="C61" activePane="bottomRight" state="frozen"/>
      <selection pane="topRight" activeCell="C1" sqref="C1"/>
      <selection pane="bottomLeft" activeCell="A4" sqref="A4"/>
      <selection pane="bottomRight" activeCell="AK77" sqref="AK77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3.7109375" customWidth="1"/>
    <col min="4" max="4" width="5.140625" customWidth="1"/>
    <col min="5" max="38" width="3.7109375" customWidth="1"/>
    <col min="39" max="39" width="5.42578125" customWidth="1"/>
    <col min="40" max="40" width="8.140625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5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5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5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>
        <v>1</v>
      </c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1</v>
      </c>
      <c r="AN21" s="11">
        <f t="shared" si="1"/>
        <v>25</v>
      </c>
    </row>
    <row r="22" spans="1:40" ht="14.25" customHeight="1">
      <c r="A22" s="141"/>
      <c r="B22" s="12" t="s">
        <v>22</v>
      </c>
      <c r="C22" s="110"/>
      <c r="D22" s="111">
        <v>1</v>
      </c>
      <c r="E22" s="111">
        <v>1</v>
      </c>
      <c r="F22" s="111"/>
      <c r="G22" s="111"/>
      <c r="H22" s="112"/>
      <c r="I22" s="113"/>
      <c r="J22" s="111">
        <v>1</v>
      </c>
      <c r="K22" s="111"/>
      <c r="L22" s="111">
        <v>2</v>
      </c>
      <c r="M22" s="111">
        <v>1</v>
      </c>
      <c r="N22" s="114"/>
      <c r="O22" s="113">
        <v>2</v>
      </c>
      <c r="P22" s="111"/>
      <c r="Q22" s="111"/>
      <c r="R22" s="111"/>
      <c r="S22" s="111"/>
      <c r="T22" s="114">
        <v>2</v>
      </c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10</v>
      </c>
      <c r="AN22" s="11">
        <f t="shared" si="1"/>
        <v>250</v>
      </c>
    </row>
    <row r="23" spans="1:40" ht="14.25" customHeight="1">
      <c r="A23" s="141"/>
      <c r="B23" s="12" t="s">
        <v>23</v>
      </c>
      <c r="C23" s="110">
        <v>2</v>
      </c>
      <c r="D23" s="111">
        <v>2</v>
      </c>
      <c r="E23" s="111">
        <v>1</v>
      </c>
      <c r="F23" s="111">
        <v>2</v>
      </c>
      <c r="G23" s="111"/>
      <c r="H23" s="112"/>
      <c r="I23" s="113"/>
      <c r="J23" s="111">
        <v>2</v>
      </c>
      <c r="K23" s="111"/>
      <c r="L23" s="111">
        <v>1</v>
      </c>
      <c r="M23" s="111">
        <v>2</v>
      </c>
      <c r="N23" s="114">
        <v>2</v>
      </c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>
        <v>2</v>
      </c>
      <c r="AJ23" s="112">
        <v>1</v>
      </c>
      <c r="AK23" s="115"/>
      <c r="AL23" s="119"/>
      <c r="AM23" s="10">
        <f t="shared" si="0"/>
        <v>17</v>
      </c>
      <c r="AN23" s="11">
        <f t="shared" si="1"/>
        <v>425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>
        <v>4</v>
      </c>
      <c r="D25" s="111"/>
      <c r="E25" s="111"/>
      <c r="F25" s="111">
        <v>2</v>
      </c>
      <c r="G25" s="111">
        <v>4</v>
      </c>
      <c r="H25" s="112">
        <v>4</v>
      </c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14</v>
      </c>
      <c r="AN25" s="11">
        <f t="shared" si="1"/>
        <v>350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>
        <v>1</v>
      </c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1</v>
      </c>
      <c r="AN36" s="11">
        <f t="shared" si="1"/>
        <v>25</v>
      </c>
    </row>
    <row r="37" spans="1:44" ht="14.25" customHeight="1">
      <c r="A37" s="141"/>
      <c r="B37" s="12" t="s">
        <v>22</v>
      </c>
      <c r="C37" s="110"/>
      <c r="D37" s="111">
        <v>1</v>
      </c>
      <c r="E37" s="111">
        <v>1</v>
      </c>
      <c r="F37" s="111"/>
      <c r="G37" s="111"/>
      <c r="H37" s="112"/>
      <c r="I37" s="113"/>
      <c r="J37" s="111">
        <v>1</v>
      </c>
      <c r="K37" s="111"/>
      <c r="L37" s="111">
        <v>2</v>
      </c>
      <c r="M37" s="111">
        <v>1</v>
      </c>
      <c r="N37" s="114"/>
      <c r="O37" s="113">
        <v>2</v>
      </c>
      <c r="P37" s="111"/>
      <c r="Q37" s="111"/>
      <c r="R37" s="111"/>
      <c r="S37" s="111"/>
      <c r="T37" s="114">
        <v>2</v>
      </c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10</v>
      </c>
      <c r="AN37" s="11">
        <f t="shared" si="1"/>
        <v>250</v>
      </c>
    </row>
    <row r="38" spans="1:44" ht="14.25" customHeight="1">
      <c r="A38" s="141"/>
      <c r="B38" s="12" t="s">
        <v>23</v>
      </c>
      <c r="C38" s="110">
        <v>2</v>
      </c>
      <c r="D38" s="111">
        <v>2</v>
      </c>
      <c r="E38" s="111">
        <v>1</v>
      </c>
      <c r="F38" s="111">
        <v>2</v>
      </c>
      <c r="G38" s="111"/>
      <c r="H38" s="112"/>
      <c r="I38" s="113"/>
      <c r="J38" s="111">
        <v>2</v>
      </c>
      <c r="K38" s="111"/>
      <c r="L38" s="111">
        <v>1</v>
      </c>
      <c r="M38" s="111">
        <v>2</v>
      </c>
      <c r="N38" s="114">
        <v>2</v>
      </c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>
        <v>2</v>
      </c>
      <c r="AJ38" s="112">
        <v>1</v>
      </c>
      <c r="AK38" s="115"/>
      <c r="AL38" s="118"/>
      <c r="AM38" s="10">
        <f t="shared" si="0"/>
        <v>17</v>
      </c>
      <c r="AN38" s="11">
        <f t="shared" si="1"/>
        <v>425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>
        <v>4</v>
      </c>
      <c r="D40" s="111"/>
      <c r="E40" s="111"/>
      <c r="F40" s="111">
        <v>2</v>
      </c>
      <c r="G40" s="111">
        <v>4</v>
      </c>
      <c r="H40" s="112">
        <v>4</v>
      </c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14</v>
      </c>
      <c r="AN40" s="11">
        <f t="shared" si="1"/>
        <v>350</v>
      </c>
      <c r="AR40" t="s">
        <v>30</v>
      </c>
    </row>
    <row r="41" spans="1:44" ht="14.25" customHeight="1">
      <c r="A41" s="14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34" t="s">
        <v>125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>
        <v>1</v>
      </c>
      <c r="G55" s="134"/>
      <c r="H55" s="134">
        <v>4</v>
      </c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42</v>
      </c>
      <c r="D56" s="28">
        <f>SUM(AN20:AN26)</f>
        <v>1050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42</v>
      </c>
      <c r="D58" s="28">
        <f>SUM(AN35:AN41)</f>
        <v>1050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84</v>
      </c>
      <c r="D60" s="120">
        <f>SUM(D54:D59)</f>
        <v>2100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AM66*25</f>
        <v>0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2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2</v>
      </c>
      <c r="AN67" s="29">
        <f t="shared" ref="AN67:AN72" si="5">AM67*25</f>
        <v>50</v>
      </c>
    </row>
    <row r="68" spans="1:40">
      <c r="A68" s="147"/>
      <c r="B68" s="44" t="s">
        <v>22</v>
      </c>
      <c r="C68" s="54">
        <f t="shared" ref="C68:AL68" si="6">SUM(C6+C14+C22+C30+C37+C45)</f>
        <v>0</v>
      </c>
      <c r="D68" s="54">
        <f t="shared" si="6"/>
        <v>2</v>
      </c>
      <c r="E68" s="54">
        <f t="shared" si="6"/>
        <v>2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2</v>
      </c>
      <c r="K68" s="54">
        <f t="shared" si="6"/>
        <v>0</v>
      </c>
      <c r="L68" s="54">
        <f t="shared" si="6"/>
        <v>4</v>
      </c>
      <c r="M68" s="54">
        <f t="shared" si="6"/>
        <v>2</v>
      </c>
      <c r="N68" s="56">
        <f t="shared" si="6"/>
        <v>0</v>
      </c>
      <c r="O68" s="54">
        <f t="shared" si="6"/>
        <v>4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4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20</v>
      </c>
      <c r="AN68" s="29">
        <f t="shared" si="5"/>
        <v>500</v>
      </c>
    </row>
    <row r="69" spans="1:40">
      <c r="A69" s="147"/>
      <c r="B69" s="44" t="s">
        <v>23</v>
      </c>
      <c r="C69" s="54">
        <f t="shared" ref="C69:AL69" si="7">SUM(C7+C15+C23+C31+C38+C46)</f>
        <v>4</v>
      </c>
      <c r="D69" s="54">
        <f t="shared" si="7"/>
        <v>4</v>
      </c>
      <c r="E69" s="54">
        <f t="shared" si="7"/>
        <v>2</v>
      </c>
      <c r="F69" s="54">
        <f t="shared" si="7"/>
        <v>4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4</v>
      </c>
      <c r="K69" s="54">
        <f t="shared" si="7"/>
        <v>0</v>
      </c>
      <c r="L69" s="54">
        <f t="shared" si="7"/>
        <v>2</v>
      </c>
      <c r="M69" s="54">
        <f t="shared" si="7"/>
        <v>4</v>
      </c>
      <c r="N69" s="56">
        <f t="shared" si="7"/>
        <v>4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4</v>
      </c>
      <c r="AJ69" s="56">
        <f t="shared" si="7"/>
        <v>2</v>
      </c>
      <c r="AK69" s="54">
        <f t="shared" si="7"/>
        <v>0</v>
      </c>
      <c r="AL69" s="56">
        <f t="shared" si="7"/>
        <v>0</v>
      </c>
      <c r="AM69" s="28">
        <f t="shared" si="4"/>
        <v>34</v>
      </c>
      <c r="AN69" s="29">
        <f t="shared" si="5"/>
        <v>850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8</v>
      </c>
      <c r="D71" s="54">
        <f t="shared" si="9"/>
        <v>0</v>
      </c>
      <c r="E71" s="54">
        <f t="shared" si="9"/>
        <v>0</v>
      </c>
      <c r="F71" s="54">
        <f t="shared" si="9"/>
        <v>4</v>
      </c>
      <c r="G71" s="54">
        <f t="shared" si="9"/>
        <v>8</v>
      </c>
      <c r="H71" s="55">
        <f t="shared" si="9"/>
        <v>8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28</v>
      </c>
      <c r="AN71" s="29">
        <f t="shared" si="5"/>
        <v>700</v>
      </c>
    </row>
    <row r="72" spans="1:40">
      <c r="A72" s="14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  <c r="AN73" s="133">
        <f>SUM(AN66:AN72)</f>
        <v>2100</v>
      </c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35:A41"/>
    <mergeCell ref="A43:A49"/>
    <mergeCell ref="A63:AN63"/>
    <mergeCell ref="C64:H64"/>
    <mergeCell ref="I64:N64"/>
    <mergeCell ref="O64:T64"/>
    <mergeCell ref="U64:Z64"/>
    <mergeCell ref="AA64:AF64"/>
    <mergeCell ref="AK64:AK65"/>
    <mergeCell ref="AL64:AL65"/>
    <mergeCell ref="A65:A72"/>
    <mergeCell ref="F52:M52"/>
    <mergeCell ref="F53:I53"/>
    <mergeCell ref="J53:M53"/>
    <mergeCell ref="F54:I54"/>
    <mergeCell ref="J54:M54"/>
    <mergeCell ref="F55:G55"/>
    <mergeCell ref="H55:I55"/>
    <mergeCell ref="J55:M55"/>
    <mergeCell ref="B52:D53"/>
    <mergeCell ref="AG64:AJ64"/>
  </mergeCells>
  <conditionalFormatting sqref="B4:B10">
    <cfRule type="cellIs" dxfId="110" priority="12" operator="equal">
      <formula>0</formula>
    </cfRule>
  </conditionalFormatting>
  <conditionalFormatting sqref="B12:B26">
    <cfRule type="cellIs" dxfId="109" priority="8" operator="equal">
      <formula>0</formula>
    </cfRule>
  </conditionalFormatting>
  <conditionalFormatting sqref="B28:B41">
    <cfRule type="cellIs" dxfId="108" priority="7" operator="equal">
      <formula>0</formula>
    </cfRule>
  </conditionalFormatting>
  <conditionalFormatting sqref="B43:B52 B54:B59">
    <cfRule type="cellIs" dxfId="107" priority="1" operator="equal">
      <formula>0</formula>
    </cfRule>
  </conditionalFormatting>
  <conditionalFormatting sqref="B66:B72">
    <cfRule type="cellIs" dxfId="106" priority="11" operator="equal">
      <formula>0</formula>
    </cfRule>
  </conditionalFormatting>
  <conditionalFormatting sqref="B78:B83 B85">
    <cfRule type="cellIs" dxfId="105" priority="9" operator="equal">
      <formula>0</formula>
    </cfRule>
  </conditionalFormatting>
  <conditionalFormatting sqref="B89:B94 B96 B98">
    <cfRule type="cellIs" dxfId="104" priority="5" operator="equal">
      <formula>0</formula>
    </cfRule>
  </conditionalFormatting>
  <conditionalFormatting sqref="B100:B101">
    <cfRule type="cellIs" dxfId="103" priority="4" operator="equal">
      <formula>0</formula>
    </cfRule>
  </conditionalFormatting>
  <conditionalFormatting sqref="B103:B108">
    <cfRule type="cellIs" dxfId="102" priority="3" operator="equal">
      <formula>0</formula>
    </cfRule>
  </conditionalFormatting>
  <conditionalFormatting sqref="B110:B115">
    <cfRule type="cellIs" dxfId="101" priority="2" operator="equal">
      <formula>0</formula>
    </cfRule>
  </conditionalFormatting>
  <conditionalFormatting sqref="C77:H77">
    <cfRule type="cellIs" dxfId="100" priority="10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84BA-29B8-4422-B81D-3A8406B03BDE}">
  <sheetPr codeName="Hoja8"/>
  <dimension ref="A1:AR115"/>
  <sheetViews>
    <sheetView workbookViewId="0">
      <pane xSplit="2" ySplit="3" topLeftCell="R61" activePane="bottomRight" state="frozen"/>
      <selection pane="topRight" activeCell="C1" sqref="C1"/>
      <selection pane="bottomLeft" activeCell="A4" sqref="A4"/>
      <selection pane="bottomRight" activeCell="AK76" sqref="AK76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7109375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>
        <v>4</v>
      </c>
      <c r="AM4" s="10">
        <f>SUM(C4:AL4)</f>
        <v>4</v>
      </c>
      <c r="AN4" s="11">
        <f>AM4*25</f>
        <v>100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>
        <v>1</v>
      </c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>
        <v>2</v>
      </c>
      <c r="AI5" s="111"/>
      <c r="AJ5" s="112"/>
      <c r="AK5" s="115"/>
      <c r="AL5" s="118"/>
      <c r="AM5" s="10">
        <f t="shared" ref="AM5:AM49" si="0">SUM(C5:AL5)</f>
        <v>3</v>
      </c>
      <c r="AN5" s="11">
        <f t="shared" ref="AN5:AN49" si="1">AM5*25</f>
        <v>75</v>
      </c>
    </row>
    <row r="6" spans="1:40" ht="14.25" customHeight="1">
      <c r="A6" s="153"/>
      <c r="B6" s="12" t="s">
        <v>22</v>
      </c>
      <c r="C6" s="110"/>
      <c r="D6" s="111">
        <v>1</v>
      </c>
      <c r="E6" s="111">
        <v>1</v>
      </c>
      <c r="F6" s="111"/>
      <c r="G6" s="111"/>
      <c r="H6" s="112"/>
      <c r="I6" s="113"/>
      <c r="J6" s="111">
        <v>1</v>
      </c>
      <c r="K6" s="111"/>
      <c r="L6" s="111">
        <v>2</v>
      </c>
      <c r="M6" s="111">
        <v>1</v>
      </c>
      <c r="N6" s="114"/>
      <c r="O6" s="113">
        <v>2</v>
      </c>
      <c r="P6" s="111"/>
      <c r="Q6" s="111"/>
      <c r="R6" s="111"/>
      <c r="S6" s="111"/>
      <c r="T6" s="114">
        <v>2</v>
      </c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>
        <v>2</v>
      </c>
      <c r="AI6" s="111"/>
      <c r="AJ6" s="112"/>
      <c r="AK6" s="115"/>
      <c r="AL6" s="118"/>
      <c r="AM6" s="10">
        <f t="shared" si="0"/>
        <v>12</v>
      </c>
      <c r="AN6" s="11">
        <f t="shared" si="1"/>
        <v>300</v>
      </c>
    </row>
    <row r="7" spans="1:40" ht="14.25" customHeight="1">
      <c r="A7" s="153"/>
      <c r="B7" s="12" t="s">
        <v>23</v>
      </c>
      <c r="C7" s="110">
        <v>4</v>
      </c>
      <c r="D7" s="111">
        <v>2</v>
      </c>
      <c r="E7" s="111">
        <v>1</v>
      </c>
      <c r="F7" s="111">
        <v>4</v>
      </c>
      <c r="G7" s="111">
        <v>4</v>
      </c>
      <c r="H7" s="112">
        <v>4</v>
      </c>
      <c r="I7" s="113"/>
      <c r="J7" s="111">
        <v>2</v>
      </c>
      <c r="K7" s="111"/>
      <c r="L7" s="111">
        <v>1</v>
      </c>
      <c r="M7" s="111">
        <v>2</v>
      </c>
      <c r="N7" s="114">
        <v>2</v>
      </c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>
        <v>2</v>
      </c>
      <c r="AH7" s="111"/>
      <c r="AI7" s="111">
        <v>2</v>
      </c>
      <c r="AJ7" s="112">
        <v>1</v>
      </c>
      <c r="AK7" s="115"/>
      <c r="AL7" s="118"/>
      <c r="AM7" s="10">
        <f t="shared" si="0"/>
        <v>31</v>
      </c>
      <c r="AN7" s="11">
        <f t="shared" si="1"/>
        <v>775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>
        <v>2</v>
      </c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2</v>
      </c>
      <c r="AN9" s="11">
        <f t="shared" si="1"/>
        <v>50</v>
      </c>
    </row>
    <row r="10" spans="1:40" ht="14.25" customHeight="1">
      <c r="A10" s="153"/>
      <c r="B10" s="12" t="s">
        <v>123</v>
      </c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>
        <v>1</v>
      </c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1</v>
      </c>
      <c r="AN21" s="11">
        <f t="shared" si="1"/>
        <v>25</v>
      </c>
    </row>
    <row r="22" spans="1:40" ht="14.25" customHeight="1">
      <c r="A22" s="141"/>
      <c r="B22" s="12" t="s">
        <v>22</v>
      </c>
      <c r="C22" s="110"/>
      <c r="D22" s="111">
        <v>1</v>
      </c>
      <c r="E22" s="111">
        <v>1</v>
      </c>
      <c r="F22" s="111"/>
      <c r="G22" s="111"/>
      <c r="H22" s="112"/>
      <c r="I22" s="113"/>
      <c r="J22" s="111">
        <v>1</v>
      </c>
      <c r="K22" s="111"/>
      <c r="L22" s="111">
        <v>2</v>
      </c>
      <c r="M22" s="111">
        <v>1</v>
      </c>
      <c r="N22" s="114"/>
      <c r="O22" s="113">
        <v>2</v>
      </c>
      <c r="P22" s="111"/>
      <c r="Q22" s="111"/>
      <c r="R22" s="111"/>
      <c r="S22" s="111"/>
      <c r="T22" s="114">
        <v>2</v>
      </c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10</v>
      </c>
      <c r="AN22" s="11">
        <f t="shared" si="1"/>
        <v>250</v>
      </c>
    </row>
    <row r="23" spans="1:40" ht="14.25" customHeight="1">
      <c r="A23" s="141"/>
      <c r="B23" s="12" t="s">
        <v>23</v>
      </c>
      <c r="C23" s="110">
        <v>6</v>
      </c>
      <c r="D23" s="111">
        <v>2</v>
      </c>
      <c r="E23" s="111">
        <v>1</v>
      </c>
      <c r="F23" s="111">
        <v>4</v>
      </c>
      <c r="G23" s="111">
        <v>4</v>
      </c>
      <c r="H23" s="112">
        <v>4</v>
      </c>
      <c r="I23" s="113"/>
      <c r="J23" s="111">
        <v>2</v>
      </c>
      <c r="K23" s="111"/>
      <c r="L23" s="111">
        <v>1</v>
      </c>
      <c r="M23" s="111">
        <v>2</v>
      </c>
      <c r="N23" s="114">
        <v>2</v>
      </c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>SUM(C23:AL23)</f>
        <v>28</v>
      </c>
      <c r="AN23" s="11">
        <f t="shared" si="1"/>
        <v>700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>
        <v>5</v>
      </c>
      <c r="AM35" s="10">
        <f t="shared" si="0"/>
        <v>5</v>
      </c>
      <c r="AN35" s="11">
        <f t="shared" si="1"/>
        <v>125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>
        <v>1</v>
      </c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>
        <v>2</v>
      </c>
      <c r="AI36" s="111"/>
      <c r="AJ36" s="112"/>
      <c r="AK36" s="115"/>
      <c r="AL36" s="118"/>
      <c r="AM36" s="10">
        <f t="shared" si="0"/>
        <v>3</v>
      </c>
      <c r="AN36" s="11">
        <f t="shared" si="1"/>
        <v>75</v>
      </c>
    </row>
    <row r="37" spans="1:44" ht="14.25" customHeight="1">
      <c r="A37" s="141"/>
      <c r="B37" s="12" t="s">
        <v>22</v>
      </c>
      <c r="C37" s="110"/>
      <c r="D37" s="111">
        <v>1</v>
      </c>
      <c r="E37" s="111">
        <v>1</v>
      </c>
      <c r="F37" s="111"/>
      <c r="G37" s="111"/>
      <c r="H37" s="112"/>
      <c r="I37" s="113"/>
      <c r="J37" s="111">
        <v>1</v>
      </c>
      <c r="K37" s="111"/>
      <c r="L37" s="111">
        <v>2</v>
      </c>
      <c r="M37" s="111">
        <v>1</v>
      </c>
      <c r="N37" s="114"/>
      <c r="O37" s="113">
        <v>2</v>
      </c>
      <c r="P37" s="111"/>
      <c r="Q37" s="111"/>
      <c r="R37" s="111"/>
      <c r="S37" s="111"/>
      <c r="T37" s="114">
        <v>2</v>
      </c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>
        <v>2</v>
      </c>
      <c r="AI37" s="111"/>
      <c r="AJ37" s="112"/>
      <c r="AK37" s="115"/>
      <c r="AL37" s="118"/>
      <c r="AM37" s="10">
        <f t="shared" si="0"/>
        <v>12</v>
      </c>
      <c r="AN37" s="11">
        <f t="shared" si="1"/>
        <v>300</v>
      </c>
    </row>
    <row r="38" spans="1:44" ht="14.25" customHeight="1">
      <c r="A38" s="141"/>
      <c r="B38" s="12" t="s">
        <v>23</v>
      </c>
      <c r="C38" s="110">
        <v>6</v>
      </c>
      <c r="D38" s="111">
        <v>2</v>
      </c>
      <c r="E38" s="111">
        <v>1</v>
      </c>
      <c r="F38" s="111">
        <v>4</v>
      </c>
      <c r="G38" s="111">
        <v>4</v>
      </c>
      <c r="H38" s="112">
        <v>4</v>
      </c>
      <c r="I38" s="113"/>
      <c r="J38" s="111">
        <v>2</v>
      </c>
      <c r="K38" s="111"/>
      <c r="L38" s="111">
        <v>1</v>
      </c>
      <c r="M38" s="111">
        <v>2</v>
      </c>
      <c r="N38" s="114">
        <v>2</v>
      </c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>
        <v>1</v>
      </c>
      <c r="AK38" s="115"/>
      <c r="AL38" s="118"/>
      <c r="AM38" s="10">
        <f t="shared" si="0"/>
        <v>29</v>
      </c>
      <c r="AN38" s="11">
        <f t="shared" si="1"/>
        <v>725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4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52</v>
      </c>
      <c r="D54" s="28">
        <f>SUM(AN4:AN10)</f>
        <v>1300</v>
      </c>
      <c r="E54" s="17"/>
      <c r="F54" s="134" t="str">
        <f>'1'!F54</f>
        <v>Agosto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>
        <v>7</v>
      </c>
      <c r="G55" s="134"/>
      <c r="H55" s="134">
        <v>11</v>
      </c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39</v>
      </c>
      <c r="D56" s="28">
        <f>SUM(AN20:AN26)</f>
        <v>975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49</v>
      </c>
      <c r="D58" s="28">
        <f>SUM(AN35:AN41)</f>
        <v>1225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140</v>
      </c>
      <c r="D60" s="120">
        <f>SUM(D54:D59)</f>
        <v>3500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9</v>
      </c>
      <c r="AM66" s="28">
        <f>SUM(C66:AL66)</f>
        <v>9</v>
      </c>
      <c r="AN66" s="29">
        <f>AM66*25</f>
        <v>225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3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4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7</v>
      </c>
      <c r="AN67" s="29">
        <f t="shared" ref="AN67:AN72" si="5">AM67*25</f>
        <v>175</v>
      </c>
    </row>
    <row r="68" spans="1:40">
      <c r="A68" s="147"/>
      <c r="B68" s="44" t="s">
        <v>22</v>
      </c>
      <c r="C68" s="54">
        <f t="shared" ref="C68:AL68" si="6">SUM(C6+C14+C22+C30+C37+C45)</f>
        <v>0</v>
      </c>
      <c r="D68" s="54">
        <f t="shared" si="6"/>
        <v>3</v>
      </c>
      <c r="E68" s="54">
        <f t="shared" si="6"/>
        <v>3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3</v>
      </c>
      <c r="K68" s="54">
        <f t="shared" si="6"/>
        <v>0</v>
      </c>
      <c r="L68" s="54">
        <f t="shared" si="6"/>
        <v>6</v>
      </c>
      <c r="M68" s="54">
        <f t="shared" si="6"/>
        <v>3</v>
      </c>
      <c r="N68" s="56">
        <f t="shared" si="6"/>
        <v>0</v>
      </c>
      <c r="O68" s="54">
        <f t="shared" si="6"/>
        <v>6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6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4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34</v>
      </c>
      <c r="AN68" s="29">
        <f t="shared" si="5"/>
        <v>850</v>
      </c>
    </row>
    <row r="69" spans="1:40">
      <c r="A69" s="147"/>
      <c r="B69" s="44" t="s">
        <v>23</v>
      </c>
      <c r="C69" s="54">
        <f t="shared" ref="C69:AL69" si="7">SUM(C7+C15+C23+C31+C38+C46)</f>
        <v>16</v>
      </c>
      <c r="D69" s="54">
        <f t="shared" si="7"/>
        <v>6</v>
      </c>
      <c r="E69" s="54">
        <f t="shared" si="7"/>
        <v>3</v>
      </c>
      <c r="F69" s="54">
        <f t="shared" si="7"/>
        <v>12</v>
      </c>
      <c r="G69" s="54">
        <f t="shared" si="7"/>
        <v>12</v>
      </c>
      <c r="H69" s="55">
        <f t="shared" si="7"/>
        <v>12</v>
      </c>
      <c r="I69" s="54">
        <f t="shared" si="7"/>
        <v>0</v>
      </c>
      <c r="J69" s="54">
        <f t="shared" si="7"/>
        <v>6</v>
      </c>
      <c r="K69" s="54">
        <f t="shared" si="7"/>
        <v>0</v>
      </c>
      <c r="L69" s="54">
        <f t="shared" si="7"/>
        <v>3</v>
      </c>
      <c r="M69" s="54">
        <f t="shared" si="7"/>
        <v>6</v>
      </c>
      <c r="N69" s="56">
        <f t="shared" si="7"/>
        <v>6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2</v>
      </c>
      <c r="AH69" s="54">
        <f t="shared" si="7"/>
        <v>0</v>
      </c>
      <c r="AI69" s="54">
        <f t="shared" si="7"/>
        <v>2</v>
      </c>
      <c r="AJ69" s="56">
        <f t="shared" si="7"/>
        <v>2</v>
      </c>
      <c r="AK69" s="54">
        <f t="shared" si="7"/>
        <v>0</v>
      </c>
      <c r="AL69" s="56">
        <f t="shared" si="7"/>
        <v>0</v>
      </c>
      <c r="AM69" s="28">
        <f t="shared" si="4"/>
        <v>88</v>
      </c>
      <c r="AN69" s="29">
        <f t="shared" si="5"/>
        <v>2200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2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2</v>
      </c>
      <c r="AN71" s="29">
        <f t="shared" si="5"/>
        <v>50</v>
      </c>
    </row>
    <row r="72" spans="1:40">
      <c r="A72" s="14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  <c r="AN73" s="133">
        <f>SUM(AN66:AN72)</f>
        <v>3500</v>
      </c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99" priority="12" operator="equal">
      <formula>0</formula>
    </cfRule>
  </conditionalFormatting>
  <conditionalFormatting sqref="B12:B26">
    <cfRule type="cellIs" dxfId="98" priority="8" operator="equal">
      <formula>0</formula>
    </cfRule>
  </conditionalFormatting>
  <conditionalFormatting sqref="B28:B41">
    <cfRule type="cellIs" dxfId="97" priority="7" operator="equal">
      <formula>0</formula>
    </cfRule>
  </conditionalFormatting>
  <conditionalFormatting sqref="B43:B52 B54:B59">
    <cfRule type="cellIs" dxfId="96" priority="1" operator="equal">
      <formula>0</formula>
    </cfRule>
  </conditionalFormatting>
  <conditionalFormatting sqref="B66:B72">
    <cfRule type="cellIs" dxfId="95" priority="11" operator="equal">
      <formula>0</formula>
    </cfRule>
  </conditionalFormatting>
  <conditionalFormatting sqref="B78:B83 B85">
    <cfRule type="cellIs" dxfId="94" priority="9" operator="equal">
      <formula>0</formula>
    </cfRule>
  </conditionalFormatting>
  <conditionalFormatting sqref="B89:B94 B96 B98">
    <cfRule type="cellIs" dxfId="93" priority="5" operator="equal">
      <formula>0</formula>
    </cfRule>
  </conditionalFormatting>
  <conditionalFormatting sqref="B100:B101">
    <cfRule type="cellIs" dxfId="92" priority="4" operator="equal">
      <formula>0</formula>
    </cfRule>
  </conditionalFormatting>
  <conditionalFormatting sqref="B103:B108">
    <cfRule type="cellIs" dxfId="91" priority="3" operator="equal">
      <formula>0</formula>
    </cfRule>
  </conditionalFormatting>
  <conditionalFormatting sqref="B110:B115">
    <cfRule type="cellIs" dxfId="90" priority="2" operator="equal">
      <formula>0</formula>
    </cfRule>
  </conditionalFormatting>
  <conditionalFormatting sqref="C77:H77">
    <cfRule type="cellIs" dxfId="89" priority="10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4A9B-6D47-405A-86C9-021451F709A5}">
  <sheetPr codeName="Hoja7"/>
  <dimension ref="A1:AR115"/>
  <sheetViews>
    <sheetView workbookViewId="0">
      <pane xSplit="2" ySplit="3" topLeftCell="S61" activePane="bottomRight" state="frozen"/>
      <selection pane="topRight" activeCell="C1" sqref="C1"/>
      <selection pane="bottomLeft" activeCell="A4" sqref="A4"/>
      <selection pane="bottomRight" activeCell="AN66" sqref="AN66:AN72"/>
    </sheetView>
  </sheetViews>
  <sheetFormatPr baseColWidth="10" defaultColWidth="11" defaultRowHeight="15"/>
  <cols>
    <col min="1" max="1" width="1.7109375" customWidth="1"/>
    <col min="2" max="2" width="19.7109375" customWidth="1"/>
    <col min="3" max="39" width="5.5703125" customWidth="1"/>
    <col min="40" max="40" width="10.5703125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>
        <v>2</v>
      </c>
      <c r="AI4" s="106"/>
      <c r="AJ4" s="107"/>
      <c r="AK4" s="109"/>
      <c r="AL4" s="117"/>
      <c r="AM4" s="10">
        <f>SUM(C4:AL4)</f>
        <v>2</v>
      </c>
      <c r="AN4" s="11">
        <f>AM4*25</f>
        <v>50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53"/>
      <c r="B6" s="12" t="s">
        <v>22</v>
      </c>
      <c r="C6" s="110"/>
      <c r="D6" s="111">
        <v>1</v>
      </c>
      <c r="E6" s="111">
        <v>1</v>
      </c>
      <c r="F6" s="111"/>
      <c r="G6" s="111"/>
      <c r="H6" s="112"/>
      <c r="I6" s="113"/>
      <c r="J6" s="111">
        <v>1</v>
      </c>
      <c r="K6" s="111"/>
      <c r="L6" s="111">
        <v>2</v>
      </c>
      <c r="M6" s="111">
        <v>1</v>
      </c>
      <c r="N6" s="114"/>
      <c r="O6" s="113">
        <v>2</v>
      </c>
      <c r="P6" s="111"/>
      <c r="Q6" s="111"/>
      <c r="R6" s="111"/>
      <c r="S6" s="111"/>
      <c r="T6" s="114">
        <v>2</v>
      </c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10</v>
      </c>
      <c r="AN6" s="11">
        <f t="shared" si="1"/>
        <v>250</v>
      </c>
    </row>
    <row r="7" spans="1:40" ht="14.25" customHeight="1">
      <c r="A7" s="153"/>
      <c r="B7" s="12" t="s">
        <v>23</v>
      </c>
      <c r="C7" s="110">
        <v>6</v>
      </c>
      <c r="D7" s="111">
        <v>2</v>
      </c>
      <c r="E7" s="111">
        <v>1</v>
      </c>
      <c r="F7" s="111">
        <v>4</v>
      </c>
      <c r="G7" s="111">
        <v>4</v>
      </c>
      <c r="H7" s="112">
        <v>4</v>
      </c>
      <c r="I7" s="113"/>
      <c r="J7" s="111">
        <v>2</v>
      </c>
      <c r="K7" s="111"/>
      <c r="L7" s="111">
        <v>1</v>
      </c>
      <c r="M7" s="111">
        <v>2</v>
      </c>
      <c r="N7" s="114">
        <v>2</v>
      </c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>
        <v>2</v>
      </c>
      <c r="AH7" s="111"/>
      <c r="AI7" s="111">
        <v>2</v>
      </c>
      <c r="AJ7" s="112">
        <v>1</v>
      </c>
      <c r="AK7" s="115"/>
      <c r="AL7" s="118"/>
      <c r="AM7" s="10">
        <f t="shared" si="0"/>
        <v>33</v>
      </c>
      <c r="AN7" s="11">
        <f t="shared" si="1"/>
        <v>825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5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>
        <v>1</v>
      </c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1</v>
      </c>
      <c r="AN21" s="11">
        <f t="shared" si="1"/>
        <v>25</v>
      </c>
    </row>
    <row r="22" spans="1:40" ht="14.25" customHeight="1">
      <c r="A22" s="141"/>
      <c r="B22" s="12" t="s">
        <v>22</v>
      </c>
      <c r="C22" s="110"/>
      <c r="D22" s="111">
        <v>3</v>
      </c>
      <c r="E22" s="111">
        <v>2</v>
      </c>
      <c r="F22" s="111">
        <v>1</v>
      </c>
      <c r="G22" s="111">
        <v>1</v>
      </c>
      <c r="H22" s="112">
        <v>1</v>
      </c>
      <c r="I22" s="113"/>
      <c r="J22" s="111">
        <v>3</v>
      </c>
      <c r="K22" s="111"/>
      <c r="L22" s="111">
        <v>3</v>
      </c>
      <c r="M22" s="111">
        <v>3</v>
      </c>
      <c r="N22" s="114">
        <v>2</v>
      </c>
      <c r="O22" s="113">
        <v>2</v>
      </c>
      <c r="P22" s="111"/>
      <c r="Q22" s="111"/>
      <c r="R22" s="111"/>
      <c r="S22" s="111"/>
      <c r="T22" s="114">
        <v>2</v>
      </c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23</v>
      </c>
      <c r="AN22" s="11">
        <f t="shared" si="1"/>
        <v>575</v>
      </c>
    </row>
    <row r="23" spans="1:40" ht="14.25" customHeight="1">
      <c r="A23" s="141"/>
      <c r="B23" s="12" t="s">
        <v>23</v>
      </c>
      <c r="C23" s="110">
        <v>6</v>
      </c>
      <c r="D23" s="111"/>
      <c r="E23" s="111"/>
      <c r="F23" s="111">
        <v>3</v>
      </c>
      <c r="G23" s="111">
        <v>3</v>
      </c>
      <c r="H23" s="112">
        <v>4</v>
      </c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16</v>
      </c>
      <c r="AN23" s="11">
        <f t="shared" si="1"/>
        <v>400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4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4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42"/>
      <c r="B41" s="12" t="s">
        <v>124</v>
      </c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SUM(AM4:AM9)</f>
        <v>45</v>
      </c>
      <c r="D54" s="28">
        <f>SUM(AN4:AN10)</f>
        <v>1125</v>
      </c>
      <c r="E54" s="17"/>
      <c r="F54" s="134" t="str">
        <f>'1'!F54</f>
        <v>Agosto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>
        <v>14</v>
      </c>
      <c r="G55" s="134"/>
      <c r="H55" s="134">
        <v>18</v>
      </c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40</v>
      </c>
      <c r="D56" s="28">
        <f>SUM(AN20:AN26)</f>
        <v>1000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SUM(AM35:AM40)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85</v>
      </c>
      <c r="D60" s="120">
        <f>SUM(D54:D59)</f>
        <v>2125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2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2</v>
      </c>
      <c r="AN66" s="29">
        <f>AM66*25</f>
        <v>50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1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1</v>
      </c>
      <c r="AN67" s="29">
        <f t="shared" ref="AN67:AN72" si="5">AM67*25</f>
        <v>25</v>
      </c>
    </row>
    <row r="68" spans="1:40">
      <c r="A68" s="147"/>
      <c r="B68" s="44" t="s">
        <v>22</v>
      </c>
      <c r="C68" s="54">
        <f t="shared" ref="C68:AL68" si="6">SUM(C6+C14+C22+C30+C37+C45)</f>
        <v>0</v>
      </c>
      <c r="D68" s="54">
        <f t="shared" si="6"/>
        <v>4</v>
      </c>
      <c r="E68" s="54">
        <f t="shared" si="6"/>
        <v>3</v>
      </c>
      <c r="F68" s="54">
        <f t="shared" si="6"/>
        <v>1</v>
      </c>
      <c r="G68" s="54">
        <f t="shared" si="6"/>
        <v>1</v>
      </c>
      <c r="H68" s="55">
        <f t="shared" si="6"/>
        <v>1</v>
      </c>
      <c r="I68" s="54">
        <f t="shared" si="6"/>
        <v>0</v>
      </c>
      <c r="J68" s="54">
        <f t="shared" si="6"/>
        <v>4</v>
      </c>
      <c r="K68" s="54">
        <f t="shared" si="6"/>
        <v>0</v>
      </c>
      <c r="L68" s="54">
        <f t="shared" si="6"/>
        <v>5</v>
      </c>
      <c r="M68" s="54">
        <f t="shared" si="6"/>
        <v>4</v>
      </c>
      <c r="N68" s="56">
        <f t="shared" si="6"/>
        <v>2</v>
      </c>
      <c r="O68" s="54">
        <f t="shared" si="6"/>
        <v>4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4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33</v>
      </c>
      <c r="AN68" s="29">
        <f t="shared" si="5"/>
        <v>825</v>
      </c>
    </row>
    <row r="69" spans="1:40">
      <c r="A69" s="147"/>
      <c r="B69" s="44" t="s">
        <v>23</v>
      </c>
      <c r="C69" s="54">
        <f t="shared" ref="C69:AL69" si="7">SUM(C7+C15+C23+C31+C38+C46)</f>
        <v>12</v>
      </c>
      <c r="D69" s="54">
        <f t="shared" si="7"/>
        <v>2</v>
      </c>
      <c r="E69" s="54">
        <f t="shared" si="7"/>
        <v>1</v>
      </c>
      <c r="F69" s="54">
        <f t="shared" si="7"/>
        <v>7</v>
      </c>
      <c r="G69" s="54">
        <f t="shared" si="7"/>
        <v>7</v>
      </c>
      <c r="H69" s="55">
        <f t="shared" si="7"/>
        <v>8</v>
      </c>
      <c r="I69" s="54">
        <f t="shared" si="7"/>
        <v>0</v>
      </c>
      <c r="J69" s="54">
        <f t="shared" si="7"/>
        <v>2</v>
      </c>
      <c r="K69" s="54">
        <f t="shared" si="7"/>
        <v>0</v>
      </c>
      <c r="L69" s="54">
        <f t="shared" si="7"/>
        <v>1</v>
      </c>
      <c r="M69" s="54">
        <f t="shared" si="7"/>
        <v>2</v>
      </c>
      <c r="N69" s="56">
        <f t="shared" si="7"/>
        <v>2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2</v>
      </c>
      <c r="AH69" s="54">
        <f t="shared" si="7"/>
        <v>0</v>
      </c>
      <c r="AI69" s="54">
        <f t="shared" si="7"/>
        <v>2</v>
      </c>
      <c r="AJ69" s="56">
        <f t="shared" si="7"/>
        <v>1</v>
      </c>
      <c r="AK69" s="54">
        <f t="shared" si="7"/>
        <v>0</v>
      </c>
      <c r="AL69" s="56">
        <f t="shared" si="7"/>
        <v>0</v>
      </c>
      <c r="AM69" s="28">
        <f t="shared" si="4"/>
        <v>49</v>
      </c>
      <c r="AN69" s="29">
        <f t="shared" si="5"/>
        <v>1225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4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  <c r="AN73" s="133">
        <f>SUM(AN66:AN72)</f>
        <v>2125</v>
      </c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88" priority="13" operator="equal">
      <formula>0</formula>
    </cfRule>
  </conditionalFormatting>
  <conditionalFormatting sqref="B12:B26">
    <cfRule type="cellIs" dxfId="87" priority="9" operator="equal">
      <formula>0</formula>
    </cfRule>
  </conditionalFormatting>
  <conditionalFormatting sqref="B28:B41">
    <cfRule type="cellIs" dxfId="86" priority="8" operator="equal">
      <formula>0</formula>
    </cfRule>
  </conditionalFormatting>
  <conditionalFormatting sqref="B43:B52 B54:B59">
    <cfRule type="cellIs" dxfId="85" priority="1" operator="equal">
      <formula>0</formula>
    </cfRule>
  </conditionalFormatting>
  <conditionalFormatting sqref="B66:B72">
    <cfRule type="cellIs" dxfId="84" priority="12" operator="equal">
      <formula>0</formula>
    </cfRule>
  </conditionalFormatting>
  <conditionalFormatting sqref="B78:B83 B85">
    <cfRule type="cellIs" dxfId="83" priority="10" operator="equal">
      <formula>0</formula>
    </cfRule>
  </conditionalFormatting>
  <conditionalFormatting sqref="B89:B94 B96 B98">
    <cfRule type="cellIs" dxfId="82" priority="6" operator="equal">
      <formula>0</formula>
    </cfRule>
  </conditionalFormatting>
  <conditionalFormatting sqref="B100:B101">
    <cfRule type="cellIs" dxfId="81" priority="5" operator="equal">
      <formula>0</formula>
    </cfRule>
  </conditionalFormatting>
  <conditionalFormatting sqref="B103:B108">
    <cfRule type="cellIs" dxfId="80" priority="4" operator="equal">
      <formula>0</formula>
    </cfRule>
  </conditionalFormatting>
  <conditionalFormatting sqref="B110:B115">
    <cfRule type="cellIs" dxfId="79" priority="3" operator="equal">
      <formula>0</formula>
    </cfRule>
  </conditionalFormatting>
  <conditionalFormatting sqref="C77:H77">
    <cfRule type="cellIs" dxfId="78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5E46-0625-4729-97E5-1AAF5E31C883}">
  <sheetPr codeName="Hoja6"/>
  <dimension ref="A1:AR115"/>
  <sheetViews>
    <sheetView workbookViewId="0">
      <pane xSplit="2" ySplit="3" topLeftCell="Q61" activePane="bottomRight" state="frozen"/>
      <selection pane="topRight" activeCell="C1" sqref="C1"/>
      <selection pane="bottomLeft" activeCell="A4" sqref="A4"/>
      <selection pane="bottomRight" activeCell="AN66" sqref="AN66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6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>
        <v>2</v>
      </c>
      <c r="AI4" s="106"/>
      <c r="AJ4" s="107"/>
      <c r="AK4" s="109"/>
      <c r="AL4" s="117"/>
      <c r="AM4" s="10">
        <f>SUM(C4:AL4)</f>
        <v>2</v>
      </c>
      <c r="AN4" s="11">
        <f>AM4*25</f>
        <v>50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>
        <v>2</v>
      </c>
      <c r="P5" s="111">
        <v>2</v>
      </c>
      <c r="Q5" s="111"/>
      <c r="R5" s="111"/>
      <c r="S5" s="111">
        <v>2</v>
      </c>
      <c r="T5" s="114">
        <v>2</v>
      </c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8</v>
      </c>
      <c r="AN5" s="11">
        <f t="shared" ref="AN5:AN49" si="1">AM5*25</f>
        <v>200</v>
      </c>
    </row>
    <row r="6" spans="1:40" ht="14.25" customHeight="1">
      <c r="A6" s="153"/>
      <c r="B6" s="12" t="s">
        <v>22</v>
      </c>
      <c r="C6" s="110">
        <v>4</v>
      </c>
      <c r="D6" s="111">
        <v>2</v>
      </c>
      <c r="E6" s="111">
        <v>2</v>
      </c>
      <c r="F6" s="111">
        <v>2</v>
      </c>
      <c r="G6" s="111">
        <v>4</v>
      </c>
      <c r="H6" s="112">
        <v>4</v>
      </c>
      <c r="I6" s="113">
        <v>1</v>
      </c>
      <c r="J6" s="111">
        <v>2</v>
      </c>
      <c r="K6" s="111"/>
      <c r="L6" s="111">
        <v>1</v>
      </c>
      <c r="M6" s="111">
        <v>1</v>
      </c>
      <c r="N6" s="114">
        <v>2</v>
      </c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>
        <v>1</v>
      </c>
      <c r="AH6" s="111"/>
      <c r="AI6" s="111">
        <v>2</v>
      </c>
      <c r="AJ6" s="112">
        <v>2</v>
      </c>
      <c r="AK6" s="115"/>
      <c r="AL6" s="118"/>
      <c r="AM6" s="10">
        <f t="shared" si="0"/>
        <v>30</v>
      </c>
      <c r="AN6" s="11">
        <f t="shared" si="1"/>
        <v>750</v>
      </c>
    </row>
    <row r="7" spans="1:40" ht="14.25" customHeight="1">
      <c r="A7" s="15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5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4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4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4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4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4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40</v>
      </c>
      <c r="D54" s="28">
        <f>SUM(AN4:AN10)</f>
        <v>1000</v>
      </c>
      <c r="E54" s="17"/>
      <c r="F54" s="134" t="str">
        <f>'1'!F54</f>
        <v>Agosto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>
        <v>21</v>
      </c>
      <c r="G55" s="134"/>
      <c r="H55" s="134">
        <v>25</v>
      </c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40</v>
      </c>
      <c r="D60" s="120">
        <f>SUM(D54:D59)</f>
        <v>1000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2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2</v>
      </c>
      <c r="AN66" s="29">
        <f>AM66*25</f>
        <v>50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2</v>
      </c>
      <c r="P67" s="54">
        <f t="shared" si="3"/>
        <v>2</v>
      </c>
      <c r="Q67" s="54">
        <f t="shared" si="3"/>
        <v>0</v>
      </c>
      <c r="R67" s="54">
        <f t="shared" si="3"/>
        <v>0</v>
      </c>
      <c r="S67" s="54">
        <f t="shared" si="3"/>
        <v>2</v>
      </c>
      <c r="T67" s="56">
        <f t="shared" si="3"/>
        <v>2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8</v>
      </c>
      <c r="AN67" s="29">
        <f t="shared" ref="AN67:AN71" si="5">AM67*25</f>
        <v>200</v>
      </c>
    </row>
    <row r="68" spans="1:40">
      <c r="A68" s="147"/>
      <c r="B68" s="44" t="s">
        <v>22</v>
      </c>
      <c r="C68" s="54">
        <f t="shared" ref="C68:AL68" si="6">SUM(C6+C14+C22+C30+C37+C45)</f>
        <v>4</v>
      </c>
      <c r="D68" s="54">
        <f t="shared" si="6"/>
        <v>2</v>
      </c>
      <c r="E68" s="54">
        <f t="shared" si="6"/>
        <v>2</v>
      </c>
      <c r="F68" s="54">
        <f t="shared" si="6"/>
        <v>2</v>
      </c>
      <c r="G68" s="54">
        <f t="shared" si="6"/>
        <v>4</v>
      </c>
      <c r="H68" s="55">
        <f t="shared" si="6"/>
        <v>4</v>
      </c>
      <c r="I68" s="54">
        <f t="shared" si="6"/>
        <v>1</v>
      </c>
      <c r="J68" s="54">
        <f t="shared" si="6"/>
        <v>2</v>
      </c>
      <c r="K68" s="54">
        <f t="shared" si="6"/>
        <v>0</v>
      </c>
      <c r="L68" s="54">
        <f t="shared" si="6"/>
        <v>1</v>
      </c>
      <c r="M68" s="54">
        <f t="shared" si="6"/>
        <v>1</v>
      </c>
      <c r="N68" s="56">
        <f t="shared" si="6"/>
        <v>2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1</v>
      </c>
      <c r="AH68" s="54">
        <f t="shared" si="6"/>
        <v>0</v>
      </c>
      <c r="AI68" s="54">
        <f t="shared" si="6"/>
        <v>2</v>
      </c>
      <c r="AJ68" s="56">
        <f t="shared" si="6"/>
        <v>2</v>
      </c>
      <c r="AK68" s="54">
        <f t="shared" si="6"/>
        <v>0</v>
      </c>
      <c r="AL68" s="56">
        <f t="shared" si="6"/>
        <v>0</v>
      </c>
      <c r="AM68" s="28">
        <f t="shared" si="4"/>
        <v>30</v>
      </c>
      <c r="AN68" s="29">
        <f t="shared" si="5"/>
        <v>750</v>
      </c>
    </row>
    <row r="69" spans="1:40">
      <c r="A69" s="14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47"/>
      <c r="B72" s="44" t="s">
        <v>126</v>
      </c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v>40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  <c r="AN73" s="133">
        <f>SUM(AN66:AN72)</f>
        <v>1040</v>
      </c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77" priority="13" operator="equal">
      <formula>0</formula>
    </cfRule>
  </conditionalFormatting>
  <conditionalFormatting sqref="B12:B26">
    <cfRule type="cellIs" dxfId="76" priority="9" operator="equal">
      <formula>0</formula>
    </cfRule>
  </conditionalFormatting>
  <conditionalFormatting sqref="B28:B41">
    <cfRule type="cellIs" dxfId="75" priority="8" operator="equal">
      <formula>0</formula>
    </cfRule>
  </conditionalFormatting>
  <conditionalFormatting sqref="B43:B52 B54:B59">
    <cfRule type="cellIs" dxfId="74" priority="1" operator="equal">
      <formula>0</formula>
    </cfRule>
  </conditionalFormatting>
  <conditionalFormatting sqref="B66:B72">
    <cfRule type="cellIs" dxfId="73" priority="12" operator="equal">
      <formula>0</formula>
    </cfRule>
  </conditionalFormatting>
  <conditionalFormatting sqref="B78:B83 B85">
    <cfRule type="cellIs" dxfId="72" priority="10" operator="equal">
      <formula>0</formula>
    </cfRule>
  </conditionalFormatting>
  <conditionalFormatting sqref="B89:B94 B96 B98">
    <cfRule type="cellIs" dxfId="71" priority="6" operator="equal">
      <formula>0</formula>
    </cfRule>
  </conditionalFormatting>
  <conditionalFormatting sqref="B100:B101">
    <cfRule type="cellIs" dxfId="70" priority="5" operator="equal">
      <formula>0</formula>
    </cfRule>
  </conditionalFormatting>
  <conditionalFormatting sqref="B103:B108">
    <cfRule type="cellIs" dxfId="69" priority="4" operator="equal">
      <formula>0</formula>
    </cfRule>
  </conditionalFormatting>
  <conditionalFormatting sqref="B110:B115">
    <cfRule type="cellIs" dxfId="68" priority="3" operator="equal">
      <formula>0</formula>
    </cfRule>
  </conditionalFormatting>
  <conditionalFormatting sqref="C77:H77">
    <cfRule type="cellIs" dxfId="67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40AC-C5A8-45E3-9896-67B283FE3377}">
  <sheetPr codeName="Hoja5"/>
  <dimension ref="A1:AR115"/>
  <sheetViews>
    <sheetView workbookViewId="0">
      <pane xSplit="2" ySplit="3" topLeftCell="R19" activePane="bottomRight" state="frozen"/>
      <selection pane="topRight" activeCell="C1" sqref="C1"/>
      <selection pane="bottomLeft" activeCell="A4" sqref="A4"/>
      <selection pane="bottomRight" activeCell="AM76" sqref="AM76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>
        <v>2</v>
      </c>
      <c r="AI4" s="106"/>
      <c r="AJ4" s="107"/>
      <c r="AK4" s="109"/>
      <c r="AL4" s="117">
        <v>3</v>
      </c>
      <c r="AM4" s="10">
        <f>SUM(C4:AL4)</f>
        <v>5</v>
      </c>
      <c r="AN4" s="11">
        <f>AM4*25</f>
        <v>125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>
        <v>2</v>
      </c>
      <c r="P5" s="111">
        <v>2</v>
      </c>
      <c r="Q5" s="111"/>
      <c r="R5" s="111"/>
      <c r="S5" s="111">
        <v>2</v>
      </c>
      <c r="T5" s="114">
        <v>2</v>
      </c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8</v>
      </c>
      <c r="AN5" s="11">
        <f t="shared" ref="AN5:AN49" si="1">AM5*25</f>
        <v>200</v>
      </c>
    </row>
    <row r="6" spans="1:40" ht="14.25" customHeight="1">
      <c r="A6" s="153"/>
      <c r="B6" s="12" t="s">
        <v>22</v>
      </c>
      <c r="C6" s="110">
        <v>4</v>
      </c>
      <c r="D6" s="111">
        <v>2</v>
      </c>
      <c r="E6" s="111">
        <v>2</v>
      </c>
      <c r="F6" s="111">
        <v>2</v>
      </c>
      <c r="G6" s="111">
        <v>4</v>
      </c>
      <c r="H6" s="112">
        <v>4</v>
      </c>
      <c r="I6" s="113">
        <v>1</v>
      </c>
      <c r="J6" s="111">
        <v>2</v>
      </c>
      <c r="K6" s="111"/>
      <c r="L6" s="111">
        <v>1</v>
      </c>
      <c r="M6" s="111">
        <v>1</v>
      </c>
      <c r="N6" s="114">
        <v>2</v>
      </c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>
        <v>1</v>
      </c>
      <c r="AH6" s="111"/>
      <c r="AI6" s="111">
        <v>2</v>
      </c>
      <c r="AJ6" s="112">
        <v>2</v>
      </c>
      <c r="AK6" s="115"/>
      <c r="AL6" s="118"/>
      <c r="AM6" s="10">
        <f t="shared" si="0"/>
        <v>30</v>
      </c>
      <c r="AN6" s="11">
        <f t="shared" si="1"/>
        <v>750</v>
      </c>
    </row>
    <row r="7" spans="1:40" ht="14.25" customHeight="1">
      <c r="A7" s="15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5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25"/>
      <c r="AL20" s="124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25"/>
      <c r="AL21" s="124"/>
      <c r="AM21" s="10">
        <f t="shared" si="0"/>
        <v>0</v>
      </c>
      <c r="AN21" s="11">
        <f t="shared" si="1"/>
        <v>0</v>
      </c>
    </row>
    <row r="22" spans="1:40" ht="14.25" customHeight="1">
      <c r="A22" s="14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25"/>
      <c r="AL22" s="124"/>
      <c r="AM22" s="10">
        <f t="shared" si="0"/>
        <v>0</v>
      </c>
      <c r="AN22" s="11">
        <f t="shared" si="1"/>
        <v>0</v>
      </c>
    </row>
    <row r="23" spans="1:40" ht="14.25" customHeight="1">
      <c r="A23" s="14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25"/>
      <c r="AL23" s="124"/>
      <c r="AM23" s="10">
        <f t="shared" si="0"/>
        <v>0</v>
      </c>
      <c r="AN23" s="11">
        <f t="shared" si="1"/>
        <v>0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25"/>
      <c r="AL24" s="124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25"/>
      <c r="AL25" s="124"/>
      <c r="AM25" s="10">
        <f t="shared" si="0"/>
        <v>0</v>
      </c>
      <c r="AN25" s="11">
        <f t="shared" si="1"/>
        <v>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4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4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4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43</v>
      </c>
      <c r="D54" s="28">
        <f>SUM(AN4:AN10)</f>
        <v>1075</v>
      </c>
      <c r="E54" s="17"/>
      <c r="F54" s="134" t="str">
        <f>'1'!F54</f>
        <v>Agosto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>
        <v>28</v>
      </c>
      <c r="G55" s="134"/>
      <c r="H55" s="134">
        <v>31</v>
      </c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43</v>
      </c>
      <c r="D60" s="120">
        <f>SUM(D54:D59)</f>
        <v>1075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2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3</v>
      </c>
      <c r="AM66" s="28">
        <f>SUM(C66:AL66)</f>
        <v>5</v>
      </c>
      <c r="AN66" s="29">
        <f>AM66*25</f>
        <v>125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2</v>
      </c>
      <c r="P67" s="54">
        <f t="shared" si="3"/>
        <v>2</v>
      </c>
      <c r="Q67" s="54">
        <f t="shared" si="3"/>
        <v>0</v>
      </c>
      <c r="R67" s="54">
        <f t="shared" si="3"/>
        <v>0</v>
      </c>
      <c r="S67" s="54">
        <f t="shared" si="3"/>
        <v>2</v>
      </c>
      <c r="T67" s="56">
        <f t="shared" si="3"/>
        <v>2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8</v>
      </c>
      <c r="AN67" s="29">
        <f t="shared" ref="AN67:AN71" si="5">AM67*25</f>
        <v>200</v>
      </c>
    </row>
    <row r="68" spans="1:40">
      <c r="A68" s="147"/>
      <c r="B68" s="44" t="s">
        <v>22</v>
      </c>
      <c r="C68" s="54">
        <f t="shared" ref="C68:AL68" si="6">SUM(C6+C14+C22+C30+C37+C45)</f>
        <v>4</v>
      </c>
      <c r="D68" s="54">
        <f t="shared" si="6"/>
        <v>2</v>
      </c>
      <c r="E68" s="54">
        <f t="shared" si="6"/>
        <v>2</v>
      </c>
      <c r="F68" s="54">
        <f t="shared" si="6"/>
        <v>2</v>
      </c>
      <c r="G68" s="54">
        <f t="shared" si="6"/>
        <v>4</v>
      </c>
      <c r="H68" s="55">
        <f t="shared" si="6"/>
        <v>4</v>
      </c>
      <c r="I68" s="54">
        <f t="shared" si="6"/>
        <v>1</v>
      </c>
      <c r="J68" s="54">
        <f t="shared" si="6"/>
        <v>2</v>
      </c>
      <c r="K68" s="54">
        <f t="shared" si="6"/>
        <v>0</v>
      </c>
      <c r="L68" s="54">
        <f t="shared" si="6"/>
        <v>1</v>
      </c>
      <c r="M68" s="54">
        <f t="shared" si="6"/>
        <v>1</v>
      </c>
      <c r="N68" s="56">
        <f t="shared" si="6"/>
        <v>2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1</v>
      </c>
      <c r="AH68" s="54">
        <f t="shared" si="6"/>
        <v>0</v>
      </c>
      <c r="AI68" s="54">
        <f t="shared" si="6"/>
        <v>2</v>
      </c>
      <c r="AJ68" s="56">
        <f t="shared" si="6"/>
        <v>2</v>
      </c>
      <c r="AK68" s="54">
        <f t="shared" si="6"/>
        <v>0</v>
      </c>
      <c r="AL68" s="56">
        <f t="shared" si="6"/>
        <v>0</v>
      </c>
      <c r="AM68" s="28">
        <f t="shared" si="4"/>
        <v>30</v>
      </c>
      <c r="AN68" s="29">
        <f t="shared" si="5"/>
        <v>750</v>
      </c>
    </row>
    <row r="69" spans="1:40">
      <c r="A69" s="14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4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ref="AN72" si="11">AM72*215</f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  <c r="AN73" s="133">
        <f>SUM(AN66:AN71)</f>
        <v>1075</v>
      </c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66" priority="13" operator="equal">
      <formula>0</formula>
    </cfRule>
  </conditionalFormatting>
  <conditionalFormatting sqref="B12:B26">
    <cfRule type="cellIs" dxfId="65" priority="9" operator="equal">
      <formula>0</formula>
    </cfRule>
  </conditionalFormatting>
  <conditionalFormatting sqref="B28:B41">
    <cfRule type="cellIs" dxfId="64" priority="8" operator="equal">
      <formula>0</formula>
    </cfRule>
  </conditionalFormatting>
  <conditionalFormatting sqref="B43:B52 B54:B59">
    <cfRule type="cellIs" dxfId="63" priority="1" operator="equal">
      <formula>0</formula>
    </cfRule>
  </conditionalFormatting>
  <conditionalFormatting sqref="B66:B72">
    <cfRule type="cellIs" dxfId="62" priority="12" operator="equal">
      <formula>0</formula>
    </cfRule>
  </conditionalFormatting>
  <conditionalFormatting sqref="B78:B83 B85">
    <cfRule type="cellIs" dxfId="61" priority="10" operator="equal">
      <formula>0</formula>
    </cfRule>
  </conditionalFormatting>
  <conditionalFormatting sqref="B89:B94 B96 B98">
    <cfRule type="cellIs" dxfId="60" priority="6" operator="equal">
      <formula>0</formula>
    </cfRule>
  </conditionalFormatting>
  <conditionalFormatting sqref="B100:B101">
    <cfRule type="cellIs" dxfId="59" priority="5" operator="equal">
      <formula>0</formula>
    </cfRule>
  </conditionalFormatting>
  <conditionalFormatting sqref="B103:B108">
    <cfRule type="cellIs" dxfId="58" priority="4" operator="equal">
      <formula>0</formula>
    </cfRule>
  </conditionalFormatting>
  <conditionalFormatting sqref="B110:B115">
    <cfRule type="cellIs" dxfId="57" priority="3" operator="equal">
      <formula>0</formula>
    </cfRule>
  </conditionalFormatting>
  <conditionalFormatting sqref="C77:H77">
    <cfRule type="cellIs" dxfId="56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749F-BB92-4AD6-A586-F480F029C7C8}">
  <sheetPr codeName="Hoja4"/>
  <dimension ref="A1:AR115"/>
  <sheetViews>
    <sheetView workbookViewId="0">
      <pane xSplit="2" ySplit="3" topLeftCell="C46" activePane="bottomRight" state="frozen"/>
      <selection pane="topRight" activeCell="C1" sqref="C1"/>
      <selection pane="bottomLeft" activeCell="A4" sqref="A4"/>
      <selection pane="bottomRight" activeCell="C4" sqref="C4:AL14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4.85546875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5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5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5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4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4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4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4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4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34" t="str">
        <f>'1'!F54</f>
        <v>Agosto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>
        <v>31</v>
      </c>
      <c r="G55" s="134"/>
      <c r="H55" s="134">
        <v>31</v>
      </c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4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4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4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55" priority="13" operator="equal">
      <formula>0</formula>
    </cfRule>
  </conditionalFormatting>
  <conditionalFormatting sqref="B12:B26">
    <cfRule type="cellIs" dxfId="54" priority="9" operator="equal">
      <formula>0</formula>
    </cfRule>
  </conditionalFormatting>
  <conditionalFormatting sqref="B28:B41">
    <cfRule type="cellIs" dxfId="53" priority="8" operator="equal">
      <formula>0</formula>
    </cfRule>
  </conditionalFormatting>
  <conditionalFormatting sqref="B43:B52 B54:B59">
    <cfRule type="cellIs" dxfId="52" priority="1" operator="equal">
      <formula>0</formula>
    </cfRule>
  </conditionalFormatting>
  <conditionalFormatting sqref="B66:B72">
    <cfRule type="cellIs" dxfId="51" priority="12" operator="equal">
      <formula>0</formula>
    </cfRule>
  </conditionalFormatting>
  <conditionalFormatting sqref="B78:B83 B85">
    <cfRule type="cellIs" dxfId="50" priority="10" operator="equal">
      <formula>0</formula>
    </cfRule>
  </conditionalFormatting>
  <conditionalFormatting sqref="B89:B94 B96 B98">
    <cfRule type="cellIs" dxfId="49" priority="6" operator="equal">
      <formula>0</formula>
    </cfRule>
  </conditionalFormatting>
  <conditionalFormatting sqref="B100:B101">
    <cfRule type="cellIs" dxfId="48" priority="5" operator="equal">
      <formula>0</formula>
    </cfRule>
  </conditionalFormatting>
  <conditionalFormatting sqref="B103:B108">
    <cfRule type="cellIs" dxfId="47" priority="4" operator="equal">
      <formula>0</formula>
    </cfRule>
  </conditionalFormatting>
  <conditionalFormatting sqref="B110:B115">
    <cfRule type="cellIs" dxfId="46" priority="3" operator="equal">
      <formula>0</formula>
    </cfRule>
  </conditionalFormatting>
  <conditionalFormatting sqref="C77:H77">
    <cfRule type="cellIs" dxfId="45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B987-454C-4FD6-AAB1-850F498605EB}">
  <sheetPr codeName="Hoja3"/>
  <dimension ref="A1:AR11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5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5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5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4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4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4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4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4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34" t="str">
        <f>'1'!F54</f>
        <v>Agosto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/>
      <c r="G55" s="134"/>
      <c r="H55" s="134"/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4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4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4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44" priority="13" operator="equal">
      <formula>0</formula>
    </cfRule>
  </conditionalFormatting>
  <conditionalFormatting sqref="B12:B26">
    <cfRule type="cellIs" dxfId="43" priority="9" operator="equal">
      <formula>0</formula>
    </cfRule>
  </conditionalFormatting>
  <conditionalFormatting sqref="B28:B41">
    <cfRule type="cellIs" dxfId="42" priority="8" operator="equal">
      <formula>0</formula>
    </cfRule>
  </conditionalFormatting>
  <conditionalFormatting sqref="B43:B52 B54:B59">
    <cfRule type="cellIs" dxfId="41" priority="1" operator="equal">
      <formula>0</formula>
    </cfRule>
  </conditionalFormatting>
  <conditionalFormatting sqref="B66:B72">
    <cfRule type="cellIs" dxfId="40" priority="12" operator="equal">
      <formula>0</formula>
    </cfRule>
  </conditionalFormatting>
  <conditionalFormatting sqref="B78:B83 B85">
    <cfRule type="cellIs" dxfId="39" priority="10" operator="equal">
      <formula>0</formula>
    </cfRule>
  </conditionalFormatting>
  <conditionalFormatting sqref="B89:B94 B96 B98">
    <cfRule type="cellIs" dxfId="38" priority="6" operator="equal">
      <formula>0</formula>
    </cfRule>
  </conditionalFormatting>
  <conditionalFormatting sqref="B100:B101">
    <cfRule type="cellIs" dxfId="37" priority="5" operator="equal">
      <formula>0</formula>
    </cfRule>
  </conditionalFormatting>
  <conditionalFormatting sqref="B103:B108">
    <cfRule type="cellIs" dxfId="36" priority="4" operator="equal">
      <formula>0</formula>
    </cfRule>
  </conditionalFormatting>
  <conditionalFormatting sqref="B110:B115">
    <cfRule type="cellIs" dxfId="35" priority="3" operator="equal">
      <formula>0</formula>
    </cfRule>
  </conditionalFormatting>
  <conditionalFormatting sqref="C77:H77">
    <cfRule type="cellIs" dxfId="34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7FC8-9C60-4E4F-811C-996AB328B38A}">
  <sheetPr codeName="Hoja2"/>
  <dimension ref="A1:AR115"/>
  <sheetViews>
    <sheetView workbookViewId="0">
      <pane xSplit="2" ySplit="3" topLeftCell="C46" activePane="bottomRight" state="frozen"/>
      <selection pane="topRight" activeCell="C1" sqref="C1"/>
      <selection pane="bottomLeft" activeCell="A4" sqref="A4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5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5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5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4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4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4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4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4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34" t="str">
        <f>'1'!F54</f>
        <v>Agosto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/>
      <c r="G55" s="134"/>
      <c r="H55" s="134"/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4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4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4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33" priority="13" operator="equal">
      <formula>0</formula>
    </cfRule>
  </conditionalFormatting>
  <conditionalFormatting sqref="B12:B26">
    <cfRule type="cellIs" dxfId="32" priority="9" operator="equal">
      <formula>0</formula>
    </cfRule>
  </conditionalFormatting>
  <conditionalFormatting sqref="B28:B41">
    <cfRule type="cellIs" dxfId="31" priority="8" operator="equal">
      <formula>0</formula>
    </cfRule>
  </conditionalFormatting>
  <conditionalFormatting sqref="B43:B52 B54:B59">
    <cfRule type="cellIs" dxfId="30" priority="1" operator="equal">
      <formula>0</formula>
    </cfRule>
  </conditionalFormatting>
  <conditionalFormatting sqref="B66:B72">
    <cfRule type="cellIs" dxfId="29" priority="12" operator="equal">
      <formula>0</formula>
    </cfRule>
  </conditionalFormatting>
  <conditionalFormatting sqref="B78:B83 B85">
    <cfRule type="cellIs" dxfId="28" priority="10" operator="equal">
      <formula>0</formula>
    </cfRule>
  </conditionalFormatting>
  <conditionalFormatting sqref="B89:B94 B96 B98">
    <cfRule type="cellIs" dxfId="27" priority="6" operator="equal">
      <formula>0</formula>
    </cfRule>
  </conditionalFormatting>
  <conditionalFormatting sqref="B100:B101">
    <cfRule type="cellIs" dxfId="26" priority="5" operator="equal">
      <formula>0</formula>
    </cfRule>
  </conditionalFormatting>
  <conditionalFormatting sqref="B103:B108">
    <cfRule type="cellIs" dxfId="25" priority="4" operator="equal">
      <formula>0</formula>
    </cfRule>
  </conditionalFormatting>
  <conditionalFormatting sqref="B110:B115">
    <cfRule type="cellIs" dxfId="24" priority="3" operator="equal">
      <formula>0</formula>
    </cfRule>
  </conditionalFormatting>
  <conditionalFormatting sqref="C77:H77">
    <cfRule type="cellIs" dxfId="23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DFBB-51BD-4781-9E8B-1CDA20BC09FE}">
  <sheetPr codeName="Hoja1"/>
  <dimension ref="A1:AR115"/>
  <sheetViews>
    <sheetView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5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5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5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4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4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4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4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4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34" t="str">
        <f>'1'!F54</f>
        <v>Agosto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/>
      <c r="G55" s="134"/>
      <c r="H55" s="134"/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4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4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4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22" priority="13" operator="equal">
      <formula>0</formula>
    </cfRule>
  </conditionalFormatting>
  <conditionalFormatting sqref="B12:B26">
    <cfRule type="cellIs" dxfId="21" priority="9" operator="equal">
      <formula>0</formula>
    </cfRule>
  </conditionalFormatting>
  <conditionalFormatting sqref="B28:B41">
    <cfRule type="cellIs" dxfId="20" priority="8" operator="equal">
      <formula>0</formula>
    </cfRule>
  </conditionalFormatting>
  <conditionalFormatting sqref="B43:B52 B54:B59">
    <cfRule type="cellIs" dxfId="19" priority="1" operator="equal">
      <formula>0</formula>
    </cfRule>
  </conditionalFormatting>
  <conditionalFormatting sqref="B66:B72">
    <cfRule type="cellIs" dxfId="18" priority="12" operator="equal">
      <formula>0</formula>
    </cfRule>
  </conditionalFormatting>
  <conditionalFormatting sqref="B78:B83 B85">
    <cfRule type="cellIs" dxfId="17" priority="10" operator="equal">
      <formula>0</formula>
    </cfRule>
  </conditionalFormatting>
  <conditionalFormatting sqref="B89:B94 B96 B98">
    <cfRule type="cellIs" dxfId="16" priority="6" operator="equal">
      <formula>0</formula>
    </cfRule>
  </conditionalFormatting>
  <conditionalFormatting sqref="B100:B101">
    <cfRule type="cellIs" dxfId="15" priority="5" operator="equal">
      <formula>0</formula>
    </cfRule>
  </conditionalFormatting>
  <conditionalFormatting sqref="B103:B108">
    <cfRule type="cellIs" dxfId="14" priority="4" operator="equal">
      <formula>0</formula>
    </cfRule>
  </conditionalFormatting>
  <conditionalFormatting sqref="B110:B115">
    <cfRule type="cellIs" dxfId="13" priority="3" operator="equal">
      <formula>0</formula>
    </cfRule>
  </conditionalFormatting>
  <conditionalFormatting sqref="C77:H77">
    <cfRule type="cellIs" dxfId="12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788C-BDBB-4E77-BF5B-0FD146EBE88B}">
  <sheetPr codeName="Hoja10"/>
  <dimension ref="A1:AR115"/>
  <sheetViews>
    <sheetView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3" t="s">
        <v>7</v>
      </c>
      <c r="D2" s="143"/>
      <c r="E2" s="143"/>
      <c r="F2" s="143"/>
      <c r="G2" s="143"/>
      <c r="H2" s="143"/>
      <c r="I2" s="143" t="s">
        <v>8</v>
      </c>
      <c r="J2" s="143"/>
      <c r="K2" s="143"/>
      <c r="L2" s="143"/>
      <c r="M2" s="143"/>
      <c r="N2" s="143"/>
      <c r="O2" s="143" t="s">
        <v>9</v>
      </c>
      <c r="P2" s="143"/>
      <c r="Q2" s="143"/>
      <c r="R2" s="143"/>
      <c r="S2" s="143"/>
      <c r="T2" s="143"/>
      <c r="U2" s="143" t="s">
        <v>10</v>
      </c>
      <c r="V2" s="143"/>
      <c r="W2" s="143"/>
      <c r="X2" s="143"/>
      <c r="Y2" s="143"/>
      <c r="Z2" s="143"/>
      <c r="AA2" s="143" t="s">
        <v>11</v>
      </c>
      <c r="AB2" s="143"/>
      <c r="AC2" s="143"/>
      <c r="AD2" s="143"/>
      <c r="AE2" s="143"/>
      <c r="AF2" s="143"/>
      <c r="AG2" s="143" t="s">
        <v>12</v>
      </c>
      <c r="AH2" s="143"/>
      <c r="AI2" s="143"/>
      <c r="AJ2" s="143"/>
      <c r="AK2" s="152" t="s">
        <v>13</v>
      </c>
      <c r="AL2" s="15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52"/>
      <c r="AL3" s="152"/>
      <c r="AM3" s="7" t="s">
        <v>17</v>
      </c>
      <c r="AN3" s="8" t="s">
        <v>18</v>
      </c>
    </row>
    <row r="4" spans="1:40" ht="14.25" customHeight="1">
      <c r="A4" s="15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5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5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5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5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5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5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4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4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4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4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4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4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4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4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4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4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4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4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4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4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4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4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4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4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4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4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4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4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4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4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4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4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4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4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4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4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4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4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4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4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4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37" t="s">
        <v>36</v>
      </c>
      <c r="C52" s="137"/>
      <c r="D52" s="137"/>
      <c r="E52" s="47"/>
      <c r="F52" s="148" t="s">
        <v>37</v>
      </c>
      <c r="G52" s="148"/>
      <c r="H52" s="148"/>
      <c r="I52" s="148"/>
      <c r="J52" s="148"/>
      <c r="K52" s="148"/>
      <c r="L52" s="148"/>
      <c r="M52" s="14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37"/>
      <c r="C53" s="137"/>
      <c r="D53" s="137"/>
      <c r="E53" s="47"/>
      <c r="F53" s="149" t="s">
        <v>6</v>
      </c>
      <c r="G53" s="149"/>
      <c r="H53" s="149"/>
      <c r="I53" s="149"/>
      <c r="J53" s="149" t="s">
        <v>38</v>
      </c>
      <c r="K53" s="149"/>
      <c r="L53" s="149"/>
      <c r="M53" s="14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34" t="str">
        <f>'1'!F54</f>
        <v>Agosto</v>
      </c>
      <c r="G54" s="134"/>
      <c r="H54" s="134"/>
      <c r="I54" s="134"/>
      <c r="J54" s="150"/>
      <c r="K54" s="150"/>
      <c r="L54" s="150"/>
      <c r="M54" s="15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34"/>
      <c r="G55" s="134"/>
      <c r="H55" s="134"/>
      <c r="I55" s="134"/>
      <c r="J55" s="135"/>
      <c r="K55" s="136"/>
      <c r="L55" s="136"/>
      <c r="M55" s="13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43" t="s">
        <v>32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spans="1:40">
      <c r="C64" s="138" t="s">
        <v>7</v>
      </c>
      <c r="D64" s="138"/>
      <c r="E64" s="138"/>
      <c r="F64" s="138"/>
      <c r="G64" s="138"/>
      <c r="H64" s="139"/>
      <c r="I64" s="138" t="s">
        <v>8</v>
      </c>
      <c r="J64" s="138"/>
      <c r="K64" s="138"/>
      <c r="L64" s="138"/>
      <c r="M64" s="138"/>
      <c r="N64" s="139"/>
      <c r="O64" s="144" t="s">
        <v>9</v>
      </c>
      <c r="P64" s="138"/>
      <c r="Q64" s="138"/>
      <c r="R64" s="138"/>
      <c r="S64" s="138"/>
      <c r="T64" s="139"/>
      <c r="U64" s="138" t="s">
        <v>33</v>
      </c>
      <c r="V64" s="138"/>
      <c r="W64" s="138"/>
      <c r="X64" s="138"/>
      <c r="Y64" s="138"/>
      <c r="Z64" s="139"/>
      <c r="AA64" s="138" t="s">
        <v>11</v>
      </c>
      <c r="AB64" s="138"/>
      <c r="AC64" s="138"/>
      <c r="AD64" s="138"/>
      <c r="AE64" s="138"/>
      <c r="AF64" s="139"/>
      <c r="AG64" s="138" t="s">
        <v>12</v>
      </c>
      <c r="AH64" s="138"/>
      <c r="AI64" s="138"/>
      <c r="AJ64" s="139"/>
      <c r="AK64" s="145" t="s">
        <v>13</v>
      </c>
      <c r="AL64" s="146" t="s">
        <v>14</v>
      </c>
      <c r="AM64" s="16"/>
      <c r="AN64" s="16"/>
    </row>
    <row r="65" spans="1:40">
      <c r="A65" s="14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45"/>
      <c r="AL65" s="146"/>
      <c r="AM65" s="26" t="s">
        <v>17</v>
      </c>
      <c r="AN65" s="27" t="s">
        <v>18</v>
      </c>
    </row>
    <row r="66" spans="1:40" ht="15" customHeight="1">
      <c r="A66" s="14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4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4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4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4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4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4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11" priority="13" operator="equal">
      <formula>0</formula>
    </cfRule>
  </conditionalFormatting>
  <conditionalFormatting sqref="B12:B26">
    <cfRule type="cellIs" dxfId="10" priority="9" operator="equal">
      <formula>0</formula>
    </cfRule>
  </conditionalFormatting>
  <conditionalFormatting sqref="B28:B41">
    <cfRule type="cellIs" dxfId="9" priority="8" operator="equal">
      <formula>0</formula>
    </cfRule>
  </conditionalFormatting>
  <conditionalFormatting sqref="B43:B52 B54:B59">
    <cfRule type="cellIs" dxfId="8" priority="1" operator="equal">
      <formula>0</formula>
    </cfRule>
  </conditionalFormatting>
  <conditionalFormatting sqref="B66:B72">
    <cfRule type="cellIs" dxfId="7" priority="12" operator="equal">
      <formula>0</formula>
    </cfRule>
  </conditionalFormatting>
  <conditionalFormatting sqref="B78:B83 B85">
    <cfRule type="cellIs" dxfId="6" priority="10" operator="equal">
      <formula>0</formula>
    </cfRule>
  </conditionalFormatting>
  <conditionalFormatting sqref="B89:B94 B96 B98">
    <cfRule type="cellIs" dxfId="5" priority="6" operator="equal">
      <formula>0</formula>
    </cfRule>
  </conditionalFormatting>
  <conditionalFormatting sqref="B100:B101">
    <cfRule type="cellIs" dxfId="4" priority="5" operator="equal">
      <formula>0</formula>
    </cfRule>
  </conditionalFormatting>
  <conditionalFormatting sqref="B103:B108">
    <cfRule type="cellIs" dxfId="3" priority="4" operator="equal">
      <formula>0</formula>
    </cfRule>
  </conditionalFormatting>
  <conditionalFormatting sqref="B110:B115">
    <cfRule type="cellIs" dxfId="2" priority="3" operator="equal">
      <formula>0</formula>
    </cfRule>
  </conditionalFormatting>
  <conditionalFormatting sqref="C77:H77">
    <cfRule type="cellIs" dxfId="1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A88C-D64F-4014-A8BA-34A01FAF7A56}">
  <dimension ref="A1:AM51"/>
  <sheetViews>
    <sheetView topLeftCell="A10" workbookViewId="0">
      <selection activeCell="M23" sqref="M23"/>
    </sheetView>
  </sheetViews>
  <sheetFormatPr baseColWidth="10" defaultRowHeight="15"/>
  <cols>
    <col min="1" max="1" width="22.140625" customWidth="1"/>
    <col min="2" max="3" width="10.5703125" customWidth="1"/>
    <col min="4" max="37" width="6" customWidth="1"/>
    <col min="38" max="39" width="4.28515625" customWidth="1"/>
  </cols>
  <sheetData>
    <row r="1" spans="1:39" s="21" customFormat="1">
      <c r="A1" s="21" t="s">
        <v>119</v>
      </c>
      <c r="B1" s="78" t="s">
        <v>70</v>
      </c>
      <c r="C1" s="78" t="s">
        <v>71</v>
      </c>
      <c r="D1" s="78" t="s">
        <v>72</v>
      </c>
      <c r="E1" s="78" t="s">
        <v>73</v>
      </c>
      <c r="F1" s="78" t="s">
        <v>75</v>
      </c>
      <c r="G1" s="80" t="s">
        <v>76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80" t="s">
        <v>83</v>
      </c>
      <c r="N1" s="78" t="s">
        <v>98</v>
      </c>
      <c r="O1" s="78" t="s">
        <v>99</v>
      </c>
      <c r="P1" s="78" t="s">
        <v>100</v>
      </c>
      <c r="Q1" s="78" t="s">
        <v>101</v>
      </c>
      <c r="R1" s="78" t="s">
        <v>102</v>
      </c>
      <c r="S1" s="80" t="s">
        <v>103</v>
      </c>
      <c r="T1" s="78" t="s">
        <v>104</v>
      </c>
      <c r="U1" s="78" t="s">
        <v>105</v>
      </c>
      <c r="V1" s="78" t="s">
        <v>106</v>
      </c>
      <c r="W1" s="78" t="s">
        <v>107</v>
      </c>
      <c r="X1" s="78" t="s">
        <v>108</v>
      </c>
      <c r="Y1" s="80" t="s">
        <v>109</v>
      </c>
      <c r="Z1" s="78" t="s">
        <v>110</v>
      </c>
      <c r="AA1" s="78" t="s">
        <v>111</v>
      </c>
      <c r="AB1" s="78" t="s">
        <v>112</v>
      </c>
      <c r="AC1" s="78" t="s">
        <v>113</v>
      </c>
      <c r="AD1" s="78" t="s">
        <v>114</v>
      </c>
      <c r="AE1" s="80" t="s">
        <v>115</v>
      </c>
      <c r="AF1" s="78" t="s">
        <v>86</v>
      </c>
      <c r="AG1" s="78" t="s">
        <v>87</v>
      </c>
      <c r="AH1" s="78" t="s">
        <v>88</v>
      </c>
      <c r="AI1" s="80" t="s">
        <v>89</v>
      </c>
      <c r="AJ1" s="79" t="s">
        <v>13</v>
      </c>
      <c r="AK1" s="83" t="s">
        <v>14</v>
      </c>
      <c r="AL1" s="79"/>
      <c r="AM1" s="83"/>
    </row>
    <row r="2" spans="1:39">
      <c r="A2" s="57" t="s">
        <v>41</v>
      </c>
      <c r="B2" s="54">
        <f>'1'!C66+'2'!C66+'3'!C66+'4'!C66+'5'!C66+'6'!C66+'7'!C66+'8'!C66+'9'!C66+'10'!C66</f>
        <v>0</v>
      </c>
      <c r="C2" s="54">
        <f>'1'!D66+'2'!D66+'3'!D66+'4'!D66+'5'!D66+'6'!D66+'7'!D66+'8'!D66+'9'!D66+'10'!D66</f>
        <v>0</v>
      </c>
      <c r="D2" s="54">
        <f>'1'!E66+'2'!E66+'3'!E66+'4'!E66+'5'!E66+'6'!E66+'7'!E66+'8'!E66+'9'!E66+'10'!E66</f>
        <v>0</v>
      </c>
      <c r="E2" s="54">
        <f>'1'!F66+'2'!F66+'3'!F66+'4'!F66+'5'!F66+'6'!F66+'7'!F66+'8'!F66+'9'!F66+'10'!F66</f>
        <v>0</v>
      </c>
      <c r="F2" s="54">
        <f>'1'!G66+'2'!G66+'3'!G66+'4'!G66+'5'!G66+'6'!G66+'7'!G66+'8'!G66+'9'!G66+'10'!G66</f>
        <v>0</v>
      </c>
      <c r="G2" s="81">
        <f>'1'!H66+'2'!H66+'3'!H66+'4'!H66+'5'!H66+'6'!H66+'7'!H66+'8'!H66+'9'!H66+'10'!H66</f>
        <v>0</v>
      </c>
      <c r="H2" s="54">
        <f>'1'!I66+'2'!I66+'3'!I66+'4'!I66+'5'!I66+'6'!I66+'7'!I66+'8'!I66+'9'!I66+'10'!I66</f>
        <v>0</v>
      </c>
      <c r="I2" s="54">
        <f>'1'!J66+'2'!J66+'3'!J66+'4'!J66+'5'!J66+'6'!J66+'7'!J66+'8'!J66+'9'!J66+'10'!J66</f>
        <v>0</v>
      </c>
      <c r="J2" s="54">
        <f>'1'!K66+'2'!K66+'3'!K66+'4'!K66+'5'!K66+'6'!K66+'7'!K66+'8'!K66+'9'!K66+'10'!K66</f>
        <v>0</v>
      </c>
      <c r="K2" s="54">
        <f>'1'!L66+'2'!L66+'3'!L66+'4'!L66+'5'!L66+'6'!L66+'7'!L66+'8'!L66+'9'!L66+'10'!L66</f>
        <v>0</v>
      </c>
      <c r="L2" s="54">
        <f>'1'!M66+'2'!M66+'3'!M66+'4'!M66+'5'!M66+'6'!M66+'7'!M66+'8'!M66+'9'!M66+'10'!M66</f>
        <v>0</v>
      </c>
      <c r="M2" s="82">
        <f>'1'!N66+'2'!N66+'3'!N66+'4'!N66+'5'!N66+'6'!N66+'7'!N66+'8'!N66+'9'!N66+'10'!N66</f>
        <v>0</v>
      </c>
      <c r="N2" s="54">
        <f>'1'!O66+'2'!O66+'3'!O66+'4'!O66+'5'!O66+'6'!O66+'7'!O66+'8'!O66+'9'!O66+'10'!O66</f>
        <v>0</v>
      </c>
      <c r="O2" s="54">
        <f>'1'!P66+'2'!P66+'3'!P66+'4'!P66+'5'!P66+'6'!P66+'7'!P66+'8'!P66+'9'!P66+'10'!P66</f>
        <v>0</v>
      </c>
      <c r="P2" s="54">
        <f>'1'!Q66+'2'!Q66+'3'!Q66+'4'!Q66+'5'!Q66+'6'!Q66+'7'!Q66+'8'!Q66+'9'!Q66+'10'!Q66</f>
        <v>0</v>
      </c>
      <c r="Q2" s="54">
        <f>'1'!R66+'2'!R66+'3'!R66+'4'!R66+'5'!R66+'6'!R66+'7'!R66+'8'!R66+'9'!R66+'10'!R66</f>
        <v>0</v>
      </c>
      <c r="R2" s="54">
        <f>'1'!S66+'2'!S66+'3'!S66+'4'!S66+'5'!S66+'6'!S66+'7'!S66+'8'!S66+'9'!S66+'10'!S66</f>
        <v>0</v>
      </c>
      <c r="S2" s="82">
        <f>'1'!T66+'2'!T66+'3'!T66+'4'!T66+'5'!T66+'6'!T66+'7'!T66+'8'!T66+'9'!T66+'10'!T66</f>
        <v>0</v>
      </c>
      <c r="T2" s="54">
        <f>'1'!U66+'2'!U66+'3'!U66+'4'!U66+'5'!U66+'6'!U66+'7'!U66+'8'!U66+'9'!U66+'10'!U66</f>
        <v>0</v>
      </c>
      <c r="U2" s="54">
        <f>'1'!V66+'2'!V66+'3'!V66+'4'!V66+'5'!V66+'6'!V66+'7'!V66+'8'!V66+'9'!V66+'10'!V66</f>
        <v>0</v>
      </c>
      <c r="V2" s="54">
        <f>'1'!W66+'2'!W66+'3'!W66+'4'!W66+'5'!W66+'6'!W66+'7'!W66+'8'!W66+'9'!W66+'10'!W66</f>
        <v>0</v>
      </c>
      <c r="W2" s="54">
        <f>'1'!X66+'2'!X66+'3'!X66+'4'!X66+'5'!X66+'6'!X66+'7'!X66+'8'!X66+'9'!X66+'10'!X66</f>
        <v>0</v>
      </c>
      <c r="X2" s="54">
        <f>'1'!Y66+'2'!Y66+'3'!Y66+'4'!Y66+'5'!Y66+'6'!Y66+'7'!Y66+'8'!Y66+'9'!Y66+'10'!Y66</f>
        <v>0</v>
      </c>
      <c r="Y2" s="82">
        <f>'1'!Z66+'2'!Z66+'3'!Z66+'4'!Z66+'5'!Z66+'6'!Z66+'7'!Z66+'8'!Z66+'9'!Z66+'10'!Z66</f>
        <v>0</v>
      </c>
      <c r="Z2" s="54">
        <f>'1'!AA66+'2'!AA66+'3'!AA66+'4'!AA66+'5'!AA66+'6'!AA66+'7'!AA66+'8'!AA66+'9'!AA66+'10'!AA66</f>
        <v>0</v>
      </c>
      <c r="AA2" s="54">
        <f>'1'!AB66+'2'!AB66+'3'!AB66+'4'!AB66+'5'!AB66+'6'!AB66+'7'!AB66+'8'!AB66+'9'!AB66+'10'!AB66</f>
        <v>0</v>
      </c>
      <c r="AB2" s="54">
        <f>'1'!AC66+'2'!AC66+'3'!AC66+'4'!AC66+'5'!AC66+'6'!AC66+'7'!AC66+'8'!AC66+'9'!AC66+'10'!AC66</f>
        <v>0</v>
      </c>
      <c r="AC2" s="54">
        <f>'1'!AD66+'2'!AD66+'3'!AD66+'4'!AD66+'5'!AD66+'6'!AD66+'7'!AD66+'8'!AD66+'9'!AD66+'10'!AD66</f>
        <v>0</v>
      </c>
      <c r="AD2" s="54">
        <f>'1'!AE66+'2'!AE66+'3'!AE66+'4'!AE66+'5'!AE66+'6'!AE66+'7'!AE66+'8'!AE66+'9'!AE66+'10'!AE66</f>
        <v>0</v>
      </c>
      <c r="AE2" s="82">
        <f>'1'!AF66+'2'!AF66+'3'!AF66+'4'!AF66+'5'!AF66+'6'!AF66+'7'!AF66+'8'!AF66+'9'!AF66+'10'!AF66</f>
        <v>0</v>
      </c>
      <c r="AF2" s="54">
        <f>'1'!AG66+'2'!AG66+'3'!AG66+'4'!AG66+'5'!AG66+'6'!AG66+'7'!AG66+'8'!AG66+'9'!AG66+'10'!AG66</f>
        <v>0</v>
      </c>
      <c r="AG2" s="54">
        <f>'1'!AH66+'2'!AH66+'3'!AH66+'4'!AH66+'5'!AH66+'6'!AH66+'7'!AH66+'8'!AH66+'9'!AH66+'10'!AH66</f>
        <v>6</v>
      </c>
      <c r="AH2" s="54">
        <f>'1'!AI66+'2'!AI66+'3'!AI66+'4'!AI66+'5'!AI66+'6'!AI66+'7'!AI66+'8'!AI66+'9'!AI66+'10'!AI66</f>
        <v>0</v>
      </c>
      <c r="AI2" s="82">
        <f>'1'!AJ66+'2'!AJ66+'3'!AJ66+'4'!AJ66+'5'!AJ66+'6'!AJ66+'7'!AJ66+'8'!AJ66+'9'!AJ66+'10'!AJ66</f>
        <v>0</v>
      </c>
      <c r="AJ2" s="54">
        <f>'1'!AK66+'2'!AK66+'3'!AK66+'4'!AK66+'5'!AK66+'6'!AK66+'7'!AK66+'8'!AK66+'9'!AK66+'10'!AK66</f>
        <v>0</v>
      </c>
      <c r="AK2" s="82">
        <f>'1'!AL66+'2'!AL66+'3'!AL66+'4'!AL66+'5'!AL66+'6'!AL66+'7'!AL66+'8'!AL66+'9'!AL66+'10'!AL66</f>
        <v>12</v>
      </c>
      <c r="AL2" s="28">
        <f>SUM(B2:AK2)</f>
        <v>18</v>
      </c>
      <c r="AM2" s="84">
        <f>AL2*215</f>
        <v>3870</v>
      </c>
    </row>
    <row r="3" spans="1:39">
      <c r="A3" s="57" t="s">
        <v>21</v>
      </c>
      <c r="B3" s="54">
        <f>'1'!C67+'2'!C67+'3'!C67+'4'!C67+'5'!C67+'6'!C67+'7'!C67+'8'!C67+'9'!C67+'10'!C67</f>
        <v>0</v>
      </c>
      <c r="C3" s="54">
        <f>'1'!D67+'2'!D67+'3'!D67+'4'!D67+'5'!D67+'6'!D67+'7'!D67+'8'!D67+'9'!D67+'10'!D67</f>
        <v>0</v>
      </c>
      <c r="D3" s="54">
        <f>'1'!E67+'2'!E67+'3'!E67+'4'!E67+'5'!E67+'6'!E67+'7'!E67+'8'!E67+'9'!E67+'10'!E67</f>
        <v>0</v>
      </c>
      <c r="E3" s="54">
        <f>'1'!F67+'2'!F67+'3'!F67+'4'!F67+'5'!F67+'6'!F67+'7'!F67+'8'!F67+'9'!F67+'10'!F67</f>
        <v>0</v>
      </c>
      <c r="F3" s="54">
        <f>'1'!G67+'2'!G67+'3'!G67+'4'!G67+'5'!G67+'6'!G67+'7'!G67+'8'!G67+'9'!G67+'10'!G67</f>
        <v>0</v>
      </c>
      <c r="G3" s="81">
        <f>'1'!H67+'2'!H67+'3'!H67+'4'!H67+'5'!H67+'6'!H67+'7'!H67+'8'!H67+'9'!H67+'10'!H67</f>
        <v>0</v>
      </c>
      <c r="H3" s="54">
        <f>'1'!I67+'2'!I67+'3'!I67+'4'!I67+'5'!I67+'6'!I67+'7'!I67+'8'!I67+'9'!I67+'10'!I67</f>
        <v>0</v>
      </c>
      <c r="I3" s="54">
        <f>'1'!J67+'2'!J67+'3'!J67+'4'!J67+'5'!J67+'6'!J67+'7'!J67+'8'!J67+'9'!J67+'10'!J67</f>
        <v>0</v>
      </c>
      <c r="J3" s="54">
        <f>'1'!K67+'2'!K67+'3'!K67+'4'!K67+'5'!K67+'6'!K67+'7'!K67+'8'!K67+'9'!K67+'10'!K67</f>
        <v>0</v>
      </c>
      <c r="K3" s="54">
        <f>'1'!L67+'2'!L67+'3'!L67+'4'!L67+'5'!L67+'6'!L67+'7'!L67+'8'!L67+'9'!L67+'10'!L67</f>
        <v>0</v>
      </c>
      <c r="L3" s="54">
        <f>'1'!M67+'2'!M67+'3'!M67+'4'!M67+'5'!M67+'6'!M67+'7'!M67+'8'!M67+'9'!M67+'10'!M67</f>
        <v>0</v>
      </c>
      <c r="M3" s="82">
        <f>'1'!N67+'2'!N67+'3'!N67+'4'!N67+'5'!N67+'6'!N67+'7'!N67+'8'!N67+'9'!N67+'10'!N67</f>
        <v>0</v>
      </c>
      <c r="N3" s="54">
        <f>'1'!O67+'2'!O67+'3'!O67+'4'!O67+'5'!O67+'6'!O67+'7'!O67+'8'!O67+'9'!O67+'10'!O67</f>
        <v>4</v>
      </c>
      <c r="O3" s="54">
        <f>'1'!P67+'2'!P67+'3'!P67+'4'!P67+'5'!P67+'6'!P67+'7'!P67+'8'!P67+'9'!P67+'10'!P67</f>
        <v>10</v>
      </c>
      <c r="P3" s="54">
        <f>'1'!Q67+'2'!Q67+'3'!Q67+'4'!Q67+'5'!Q67+'6'!Q67+'7'!Q67+'8'!Q67+'9'!Q67+'10'!Q67</f>
        <v>0</v>
      </c>
      <c r="Q3" s="54">
        <f>'1'!R67+'2'!R67+'3'!R67+'4'!R67+'5'!R67+'6'!R67+'7'!R67+'8'!R67+'9'!R67+'10'!R67</f>
        <v>0</v>
      </c>
      <c r="R3" s="54">
        <f>'1'!S67+'2'!S67+'3'!S67+'4'!S67+'5'!S67+'6'!S67+'7'!S67+'8'!S67+'9'!S67+'10'!S67</f>
        <v>4</v>
      </c>
      <c r="S3" s="82">
        <f>'1'!T67+'2'!T67+'3'!T67+'4'!T67+'5'!T67+'6'!T67+'7'!T67+'8'!T67+'9'!T67+'10'!T67</f>
        <v>4</v>
      </c>
      <c r="T3" s="54">
        <f>'1'!U67+'2'!U67+'3'!U67+'4'!U67+'5'!U67+'6'!U67+'7'!U67+'8'!U67+'9'!U67+'10'!U67</f>
        <v>0</v>
      </c>
      <c r="U3" s="54">
        <f>'1'!V67+'2'!V67+'3'!V67+'4'!V67+'5'!V67+'6'!V67+'7'!V67+'8'!V67+'9'!V67+'10'!V67</f>
        <v>0</v>
      </c>
      <c r="V3" s="54">
        <f>'1'!W67+'2'!W67+'3'!W67+'4'!W67+'5'!W67+'6'!W67+'7'!W67+'8'!W67+'9'!W67+'10'!W67</f>
        <v>0</v>
      </c>
      <c r="W3" s="54">
        <f>'1'!X67+'2'!X67+'3'!X67+'4'!X67+'5'!X67+'6'!X67+'7'!X67+'8'!X67+'9'!X67+'10'!X67</f>
        <v>0</v>
      </c>
      <c r="X3" s="54">
        <f>'1'!Y67+'2'!Y67+'3'!Y67+'4'!Y67+'5'!Y67+'6'!Y67+'7'!Y67+'8'!Y67+'9'!Y67+'10'!Y67</f>
        <v>0</v>
      </c>
      <c r="Y3" s="82">
        <f>'1'!Z67+'2'!Z67+'3'!Z67+'4'!Z67+'5'!Z67+'6'!Z67+'7'!Z67+'8'!Z67+'9'!Z67+'10'!Z67</f>
        <v>0</v>
      </c>
      <c r="Z3" s="54">
        <f>'1'!AA67+'2'!AA67+'3'!AA67+'4'!AA67+'5'!AA67+'6'!AA67+'7'!AA67+'8'!AA67+'9'!AA67+'10'!AA67</f>
        <v>0</v>
      </c>
      <c r="AA3" s="54">
        <f>'1'!AB67+'2'!AB67+'3'!AB67+'4'!AB67+'5'!AB67+'6'!AB67+'7'!AB67+'8'!AB67+'9'!AB67+'10'!AB67</f>
        <v>0</v>
      </c>
      <c r="AB3" s="54">
        <f>'1'!AC67+'2'!AC67+'3'!AC67+'4'!AC67+'5'!AC67+'6'!AC67+'7'!AC67+'8'!AC67+'9'!AC67+'10'!AC67</f>
        <v>0</v>
      </c>
      <c r="AC3" s="54">
        <f>'1'!AD67+'2'!AD67+'3'!AD67+'4'!AD67+'5'!AD67+'6'!AD67+'7'!AD67+'8'!AD67+'9'!AD67+'10'!AD67</f>
        <v>0</v>
      </c>
      <c r="AD3" s="54">
        <f>'1'!AE67+'2'!AE67+'3'!AE67+'4'!AE67+'5'!AE67+'6'!AE67+'7'!AE67+'8'!AE67+'9'!AE67+'10'!AE67</f>
        <v>0</v>
      </c>
      <c r="AE3" s="82">
        <f>'1'!AF67+'2'!AF67+'3'!AF67+'4'!AF67+'5'!AF67+'6'!AF67+'7'!AF67+'8'!AF67+'9'!AF67+'10'!AF67</f>
        <v>0</v>
      </c>
      <c r="AF3" s="54">
        <f>'1'!AG67+'2'!AG67+'3'!AG67+'4'!AG67+'5'!AG67+'6'!AG67+'7'!AG67+'8'!AG67+'9'!AG67+'10'!AG67</f>
        <v>0</v>
      </c>
      <c r="AG3" s="54">
        <f>'1'!AH67+'2'!AH67+'3'!AH67+'4'!AH67+'5'!AH67+'6'!AH67+'7'!AH67+'8'!AH67+'9'!AH67+'10'!AH67</f>
        <v>4</v>
      </c>
      <c r="AH3" s="54">
        <f>'1'!AI67+'2'!AI67+'3'!AI67+'4'!AI67+'5'!AI67+'6'!AI67+'7'!AI67+'8'!AI67+'9'!AI67+'10'!AI67</f>
        <v>0</v>
      </c>
      <c r="AI3" s="82">
        <f>'1'!AJ67+'2'!AJ67+'3'!AJ67+'4'!AJ67+'5'!AJ67+'6'!AJ67+'7'!AJ67+'8'!AJ67+'9'!AJ67+'10'!AJ67</f>
        <v>0</v>
      </c>
      <c r="AJ3" s="54">
        <f>'1'!AK67+'2'!AK67+'3'!AK67+'4'!AK67+'5'!AK67+'6'!AK67+'7'!AK67+'8'!AK67+'9'!AK67+'10'!AK67</f>
        <v>0</v>
      </c>
      <c r="AK3" s="82">
        <f>'1'!AL67+'2'!AL67+'3'!AL67+'4'!AL67+'5'!AL67+'6'!AL67+'7'!AL67+'8'!AL67+'9'!AL67+'10'!AL67</f>
        <v>0</v>
      </c>
      <c r="AL3" s="28">
        <f t="shared" ref="AL3:AL8" si="0">SUM(B3:AK3)</f>
        <v>26</v>
      </c>
      <c r="AM3" s="84">
        <f t="shared" ref="AM3:AM8" si="1">AL3*215</f>
        <v>5590</v>
      </c>
    </row>
    <row r="4" spans="1:39">
      <c r="A4" s="57" t="s">
        <v>22</v>
      </c>
      <c r="B4" s="54">
        <f>'1'!C68+'2'!C68+'3'!C68+'4'!C68+'5'!C68+'6'!C68+'7'!C68+'8'!C68+'9'!C68+'10'!C68</f>
        <v>8</v>
      </c>
      <c r="C4" s="54">
        <f>'1'!D68+'2'!D68+'3'!D68+'4'!D68+'5'!D68+'6'!D68+'7'!D68+'8'!D68+'9'!D68+'10'!D68</f>
        <v>13</v>
      </c>
      <c r="D4" s="54">
        <f>'1'!E68+'2'!E68+'3'!E68+'4'!E68+'5'!E68+'6'!E68+'7'!E68+'8'!E68+'9'!E68+'10'!E68</f>
        <v>12</v>
      </c>
      <c r="E4" s="54">
        <f>'1'!F68+'2'!F68+'3'!F68+'4'!F68+'5'!F68+'6'!F68+'7'!F68+'8'!F68+'9'!F68+'10'!F68</f>
        <v>5</v>
      </c>
      <c r="F4" s="54">
        <f>'1'!G68+'2'!G68+'3'!G68+'4'!G68+'5'!G68+'6'!G68+'7'!G68+'8'!G68+'9'!G68+'10'!G68</f>
        <v>9</v>
      </c>
      <c r="G4" s="81">
        <f>'1'!H68+'2'!H68+'3'!H68+'4'!H68+'5'!H68+'6'!H68+'7'!H68+'8'!H68+'9'!H68+'10'!H68</f>
        <v>9</v>
      </c>
      <c r="H4" s="54">
        <f>'1'!I68+'2'!I68+'3'!I68+'4'!I68+'5'!I68+'6'!I68+'7'!I68+'8'!I68+'9'!I68+'10'!I68</f>
        <v>2</v>
      </c>
      <c r="I4" s="54">
        <f>'1'!J68+'2'!J68+'3'!J68+'4'!J68+'5'!J68+'6'!J68+'7'!J68+'8'!J68+'9'!J68+'10'!J68</f>
        <v>13</v>
      </c>
      <c r="J4" s="54">
        <f>'1'!K68+'2'!K68+'3'!K68+'4'!K68+'5'!K68+'6'!K68+'7'!K68+'8'!K68+'9'!K68+'10'!K68</f>
        <v>0</v>
      </c>
      <c r="K4" s="54">
        <f>'1'!L68+'2'!L68+'3'!L68+'4'!L68+'5'!L68+'6'!L68+'7'!L68+'8'!L68+'9'!L68+'10'!L68</f>
        <v>17</v>
      </c>
      <c r="L4" s="54">
        <f>'1'!M68+'2'!M68+'3'!M68+'4'!M68+'5'!M68+'6'!M68+'7'!M68+'8'!M68+'9'!M68+'10'!M68</f>
        <v>11</v>
      </c>
      <c r="M4" s="82">
        <f>'1'!N68+'2'!N68+'3'!N68+'4'!N68+'5'!N68+'6'!N68+'7'!N68+'8'!N68+'9'!N68+'10'!N68</f>
        <v>6</v>
      </c>
      <c r="N4" s="54">
        <f>'1'!O68+'2'!O68+'3'!O68+'4'!O68+'5'!O68+'6'!O68+'7'!O68+'8'!O68+'9'!O68+'10'!O68</f>
        <v>14</v>
      </c>
      <c r="O4" s="54">
        <f>'1'!P68+'2'!P68+'3'!P68+'4'!P68+'5'!P68+'6'!P68+'7'!P68+'8'!P68+'9'!P68+'10'!P68</f>
        <v>0</v>
      </c>
      <c r="P4" s="54">
        <f>'1'!Q68+'2'!Q68+'3'!Q68+'4'!Q68+'5'!Q68+'6'!Q68+'7'!Q68+'8'!Q68+'9'!Q68+'10'!Q68</f>
        <v>0</v>
      </c>
      <c r="Q4" s="54">
        <f>'1'!R68+'2'!R68+'3'!R68+'4'!R68+'5'!R68+'6'!R68+'7'!R68+'8'!R68+'9'!R68+'10'!R68</f>
        <v>0</v>
      </c>
      <c r="R4" s="54">
        <f>'1'!S68+'2'!S68+'3'!S68+'4'!S68+'5'!S68+'6'!S68+'7'!S68+'8'!S68+'9'!S68+'10'!S68</f>
        <v>0</v>
      </c>
      <c r="S4" s="82">
        <f>'1'!T68+'2'!T68+'3'!T68+'4'!T68+'5'!T68+'6'!T68+'7'!T68+'8'!T68+'9'!T68+'10'!T68</f>
        <v>14</v>
      </c>
      <c r="T4" s="54">
        <f>'1'!U68+'2'!U68+'3'!U68+'4'!U68+'5'!U68+'6'!U68+'7'!U68+'8'!U68+'9'!U68+'10'!U68</f>
        <v>0</v>
      </c>
      <c r="U4" s="54">
        <f>'1'!V68+'2'!V68+'3'!V68+'4'!V68+'5'!V68+'6'!V68+'7'!V68+'8'!V68+'9'!V68+'10'!V68</f>
        <v>0</v>
      </c>
      <c r="V4" s="54">
        <f>'1'!W68+'2'!W68+'3'!W68+'4'!W68+'5'!W68+'6'!W68+'7'!W68+'8'!W68+'9'!W68+'10'!W68</f>
        <v>0</v>
      </c>
      <c r="W4" s="54">
        <f>'1'!X68+'2'!X68+'3'!X68+'4'!X68+'5'!X68+'6'!X68+'7'!X68+'8'!X68+'9'!X68+'10'!X68</f>
        <v>0</v>
      </c>
      <c r="X4" s="54">
        <f>'1'!Y68+'2'!Y68+'3'!Y68+'4'!Y68+'5'!Y68+'6'!Y68+'7'!Y68+'8'!Y68+'9'!Y68+'10'!Y68</f>
        <v>0</v>
      </c>
      <c r="Y4" s="82">
        <f>'1'!Z68+'2'!Z68+'3'!Z68+'4'!Z68+'5'!Z68+'6'!Z68+'7'!Z68+'8'!Z68+'9'!Z68+'10'!Z68</f>
        <v>0</v>
      </c>
      <c r="Z4" s="54">
        <f>'1'!AA68+'2'!AA68+'3'!AA68+'4'!AA68+'5'!AA68+'6'!AA68+'7'!AA68+'8'!AA68+'9'!AA68+'10'!AA68</f>
        <v>0</v>
      </c>
      <c r="AA4" s="54">
        <f>'1'!AB68+'2'!AB68+'3'!AB68+'4'!AB68+'5'!AB68+'6'!AB68+'7'!AB68+'8'!AB68+'9'!AB68+'10'!AB68</f>
        <v>0</v>
      </c>
      <c r="AB4" s="54">
        <f>'1'!AC68+'2'!AC68+'3'!AC68+'4'!AC68+'5'!AC68+'6'!AC68+'7'!AC68+'8'!AC68+'9'!AC68+'10'!AC68</f>
        <v>0</v>
      </c>
      <c r="AC4" s="54">
        <f>'1'!AD68+'2'!AD68+'3'!AD68+'4'!AD68+'5'!AD68+'6'!AD68+'7'!AD68+'8'!AD68+'9'!AD68+'10'!AD68</f>
        <v>0</v>
      </c>
      <c r="AD4" s="54">
        <f>'1'!AE68+'2'!AE68+'3'!AE68+'4'!AE68+'5'!AE68+'6'!AE68+'7'!AE68+'8'!AE68+'9'!AE68+'10'!AE68</f>
        <v>0</v>
      </c>
      <c r="AE4" s="82">
        <f>'1'!AF68+'2'!AF68+'3'!AF68+'4'!AF68+'5'!AF68+'6'!AF68+'7'!AF68+'8'!AF68+'9'!AF68+'10'!AF68</f>
        <v>0</v>
      </c>
      <c r="AF4" s="54">
        <f>'1'!AG68+'2'!AG68+'3'!AG68+'4'!AG68+'5'!AG68+'6'!AG68+'7'!AG68+'8'!AG68+'9'!AG68+'10'!AG68</f>
        <v>2</v>
      </c>
      <c r="AG4" s="54">
        <f>'1'!AH68+'2'!AH68+'3'!AH68+'4'!AH68+'5'!AH68+'6'!AH68+'7'!AH68+'8'!AH68+'9'!AH68+'10'!AH68</f>
        <v>4</v>
      </c>
      <c r="AH4" s="54">
        <f>'1'!AI68+'2'!AI68+'3'!AI68+'4'!AI68+'5'!AI68+'6'!AI68+'7'!AI68+'8'!AI68+'9'!AI68+'10'!AI68</f>
        <v>4</v>
      </c>
      <c r="AI4" s="82">
        <f>'1'!AJ68+'2'!AJ68+'3'!AJ68+'4'!AJ68+'5'!AJ68+'6'!AJ68+'7'!AJ68+'8'!AJ68+'9'!AJ68+'10'!AJ68</f>
        <v>4</v>
      </c>
      <c r="AJ4" s="54">
        <f>'1'!AK68+'2'!AK68+'3'!AK68+'4'!AK68+'5'!AK68+'6'!AK68+'7'!AK68+'8'!AK68+'9'!AK68+'10'!AK68</f>
        <v>0</v>
      </c>
      <c r="AK4" s="82">
        <f>'1'!AL68+'2'!AL68+'3'!AL68+'4'!AL68+'5'!AL68+'6'!AL68+'7'!AL68+'8'!AL68+'9'!AL68+'10'!AL68</f>
        <v>0</v>
      </c>
      <c r="AL4" s="28">
        <f t="shared" si="0"/>
        <v>147</v>
      </c>
      <c r="AM4" s="84">
        <f t="shared" si="1"/>
        <v>31605</v>
      </c>
    </row>
    <row r="5" spans="1:39">
      <c r="A5" s="57" t="s">
        <v>23</v>
      </c>
      <c r="B5" s="54">
        <f>'1'!C69+'2'!C69+'3'!C69+'4'!C69+'5'!C69+'6'!C69+'7'!C69+'8'!C69+'9'!C69+'10'!C69</f>
        <v>32</v>
      </c>
      <c r="C5" s="54">
        <f>'1'!D69+'2'!D69+'3'!D69+'4'!D69+'5'!D69+'6'!D69+'7'!D69+'8'!D69+'9'!D69+'10'!D69</f>
        <v>12</v>
      </c>
      <c r="D5" s="54">
        <f>'1'!E69+'2'!E69+'3'!E69+'4'!E69+'5'!E69+'6'!E69+'7'!E69+'8'!E69+'9'!E69+'10'!E69</f>
        <v>6</v>
      </c>
      <c r="E5" s="54">
        <f>'1'!F69+'2'!F69+'3'!F69+'4'!F69+'5'!F69+'6'!F69+'7'!F69+'8'!F69+'9'!F69+'10'!F69</f>
        <v>23</v>
      </c>
      <c r="F5" s="54">
        <f>'1'!G69+'2'!G69+'3'!G69+'4'!G69+'5'!G69+'6'!G69+'7'!G69+'8'!G69+'9'!G69+'10'!G69</f>
        <v>19</v>
      </c>
      <c r="G5" s="81">
        <f>'1'!H69+'2'!H69+'3'!H69+'4'!H69+'5'!H69+'6'!H69+'7'!H69+'8'!H69+'9'!H69+'10'!H69</f>
        <v>20</v>
      </c>
      <c r="H5" s="54">
        <f>'1'!I69+'2'!I69+'3'!I69+'4'!I69+'5'!I69+'6'!I69+'7'!I69+'8'!I69+'9'!I69+'10'!I69</f>
        <v>0</v>
      </c>
      <c r="I5" s="54">
        <f>'1'!J69+'2'!J69+'3'!J69+'4'!J69+'5'!J69+'6'!J69+'7'!J69+'8'!J69+'9'!J69+'10'!J69</f>
        <v>12</v>
      </c>
      <c r="J5" s="54">
        <f>'1'!K69+'2'!K69+'3'!K69+'4'!K69+'5'!K69+'6'!K69+'7'!K69+'8'!K69+'9'!K69+'10'!K69</f>
        <v>0</v>
      </c>
      <c r="K5" s="54">
        <f>'1'!L69+'2'!L69+'3'!L69+'4'!L69+'5'!L69+'6'!L69+'7'!L69+'8'!L69+'9'!L69+'10'!L69</f>
        <v>6</v>
      </c>
      <c r="L5" s="54">
        <f>'1'!M69+'2'!M69+'3'!M69+'4'!M69+'5'!M69+'6'!M69+'7'!M69+'8'!M69+'9'!M69+'10'!M69</f>
        <v>12</v>
      </c>
      <c r="M5" s="82">
        <f>'1'!N69+'2'!N69+'3'!N69+'4'!N69+'5'!N69+'6'!N69+'7'!N69+'8'!N69+'9'!N69+'10'!N69</f>
        <v>12</v>
      </c>
      <c r="N5" s="54">
        <f>'1'!O69+'2'!O69+'3'!O69+'4'!O69+'5'!O69+'6'!O69+'7'!O69+'8'!O69+'9'!O69+'10'!O69</f>
        <v>0</v>
      </c>
      <c r="O5" s="54">
        <f>'1'!P69+'2'!P69+'3'!P69+'4'!P69+'5'!P69+'6'!P69+'7'!P69+'8'!P69+'9'!P69+'10'!P69</f>
        <v>0</v>
      </c>
      <c r="P5" s="54">
        <f>'1'!Q69+'2'!Q69+'3'!Q69+'4'!Q69+'5'!Q69+'6'!Q69+'7'!Q69+'8'!Q69+'9'!Q69+'10'!Q69</f>
        <v>0</v>
      </c>
      <c r="Q5" s="54">
        <f>'1'!R69+'2'!R69+'3'!R69+'4'!R69+'5'!R69+'6'!R69+'7'!R69+'8'!R69+'9'!R69+'10'!R69</f>
        <v>0</v>
      </c>
      <c r="R5" s="54">
        <f>'1'!S69+'2'!S69+'3'!S69+'4'!S69+'5'!S69+'6'!S69+'7'!S69+'8'!S69+'9'!S69+'10'!S69</f>
        <v>0</v>
      </c>
      <c r="S5" s="82">
        <f>'1'!T69+'2'!T69+'3'!T69+'4'!T69+'5'!T69+'6'!T69+'7'!T69+'8'!T69+'9'!T69+'10'!T69</f>
        <v>0</v>
      </c>
      <c r="T5" s="54">
        <f>'1'!U69+'2'!U69+'3'!U69+'4'!U69+'5'!U69+'6'!U69+'7'!U69+'8'!U69+'9'!U69+'10'!U69</f>
        <v>0</v>
      </c>
      <c r="U5" s="54">
        <f>'1'!V69+'2'!V69+'3'!V69+'4'!V69+'5'!V69+'6'!V69+'7'!V69+'8'!V69+'9'!V69+'10'!V69</f>
        <v>0</v>
      </c>
      <c r="V5" s="54">
        <f>'1'!W69+'2'!W69+'3'!W69+'4'!W69+'5'!W69+'6'!W69+'7'!W69+'8'!W69+'9'!W69+'10'!W69</f>
        <v>0</v>
      </c>
      <c r="W5" s="54">
        <f>'1'!X69+'2'!X69+'3'!X69+'4'!X69+'5'!X69+'6'!X69+'7'!X69+'8'!X69+'9'!X69+'10'!X69</f>
        <v>0</v>
      </c>
      <c r="X5" s="54">
        <f>'1'!Y69+'2'!Y69+'3'!Y69+'4'!Y69+'5'!Y69+'6'!Y69+'7'!Y69+'8'!Y69+'9'!Y69+'10'!Y69</f>
        <v>0</v>
      </c>
      <c r="Y5" s="82">
        <f>'1'!Z69+'2'!Z69+'3'!Z69+'4'!Z69+'5'!Z69+'6'!Z69+'7'!Z69+'8'!Z69+'9'!Z69+'10'!Z69</f>
        <v>0</v>
      </c>
      <c r="Z5" s="54">
        <f>'1'!AA69+'2'!AA69+'3'!AA69+'4'!AA69+'5'!AA69+'6'!AA69+'7'!AA69+'8'!AA69+'9'!AA69+'10'!AA69</f>
        <v>0</v>
      </c>
      <c r="AA5" s="54">
        <f>'1'!AB69+'2'!AB69+'3'!AB69+'4'!AB69+'5'!AB69+'6'!AB69+'7'!AB69+'8'!AB69+'9'!AB69+'10'!AB69</f>
        <v>0</v>
      </c>
      <c r="AB5" s="54">
        <f>'1'!AC69+'2'!AC69+'3'!AC69+'4'!AC69+'5'!AC69+'6'!AC69+'7'!AC69+'8'!AC69+'9'!AC69+'10'!AC69</f>
        <v>0</v>
      </c>
      <c r="AC5" s="54">
        <f>'1'!AD69+'2'!AD69+'3'!AD69+'4'!AD69+'5'!AD69+'6'!AD69+'7'!AD69+'8'!AD69+'9'!AD69+'10'!AD69</f>
        <v>0</v>
      </c>
      <c r="AD5" s="54">
        <f>'1'!AE69+'2'!AE69+'3'!AE69+'4'!AE69+'5'!AE69+'6'!AE69+'7'!AE69+'8'!AE69+'9'!AE69+'10'!AE69</f>
        <v>0</v>
      </c>
      <c r="AE5" s="82">
        <f>'1'!AF69+'2'!AF69+'3'!AF69+'4'!AF69+'5'!AF69+'6'!AF69+'7'!AF69+'8'!AF69+'9'!AF69+'10'!AF69</f>
        <v>0</v>
      </c>
      <c r="AF5" s="54">
        <f>'1'!AG69+'2'!AG69+'3'!AG69+'4'!AG69+'5'!AG69+'6'!AG69+'7'!AG69+'8'!AG69+'9'!AG69+'10'!AG69</f>
        <v>4</v>
      </c>
      <c r="AG5" s="54">
        <f>'1'!AH69+'2'!AH69+'3'!AH69+'4'!AH69+'5'!AH69+'6'!AH69+'7'!AH69+'8'!AH69+'9'!AH69+'10'!AH69</f>
        <v>0</v>
      </c>
      <c r="AH5" s="54">
        <f>'1'!AI69+'2'!AI69+'3'!AI69+'4'!AI69+'5'!AI69+'6'!AI69+'7'!AI69+'8'!AI69+'9'!AI69+'10'!AI69</f>
        <v>8</v>
      </c>
      <c r="AI5" s="82">
        <f>'1'!AJ69+'2'!AJ69+'3'!AJ69+'4'!AJ69+'5'!AJ69+'6'!AJ69+'7'!AJ69+'8'!AJ69+'9'!AJ69+'10'!AJ69</f>
        <v>5</v>
      </c>
      <c r="AJ5" s="54">
        <f>'1'!AK69+'2'!AK69+'3'!AK69+'4'!AK69+'5'!AK69+'6'!AK69+'7'!AK69+'8'!AK69+'9'!AK69+'10'!AK69</f>
        <v>0</v>
      </c>
      <c r="AK5" s="82">
        <f>'1'!AL69+'2'!AL69+'3'!AL69+'4'!AL69+'5'!AL69+'6'!AL69+'7'!AL69+'8'!AL69+'9'!AL69+'10'!AL69</f>
        <v>0</v>
      </c>
      <c r="AL5" s="28">
        <f t="shared" si="0"/>
        <v>171</v>
      </c>
      <c r="AM5" s="84">
        <f t="shared" si="1"/>
        <v>36765</v>
      </c>
    </row>
    <row r="6" spans="1:39">
      <c r="A6" s="57" t="s">
        <v>24</v>
      </c>
      <c r="B6" s="54">
        <f>'1'!C70+'2'!C70+'3'!C70+'4'!C70+'5'!C70+'6'!C70+'7'!C70+'8'!C70+'9'!C70+'10'!C70</f>
        <v>0</v>
      </c>
      <c r="C6" s="54">
        <f>'1'!D70+'2'!D70+'3'!D70+'4'!D70+'5'!D70+'6'!D70+'7'!D70+'8'!D70+'9'!D70+'10'!D70</f>
        <v>0</v>
      </c>
      <c r="D6" s="54">
        <f>'1'!E70+'2'!E70+'3'!E70+'4'!E70+'5'!E70+'6'!E70+'7'!E70+'8'!E70+'9'!E70+'10'!E70</f>
        <v>0</v>
      </c>
      <c r="E6" s="54">
        <f>'1'!F70+'2'!F70+'3'!F70+'4'!F70+'5'!F70+'6'!F70+'7'!F70+'8'!F70+'9'!F70+'10'!F70</f>
        <v>0</v>
      </c>
      <c r="F6" s="54">
        <f>'1'!G70+'2'!G70+'3'!G70+'4'!G70+'5'!G70+'6'!G70+'7'!G70+'8'!G70+'9'!G70+'10'!G70</f>
        <v>0</v>
      </c>
      <c r="G6" s="81">
        <f>'1'!H70+'2'!H70+'3'!H70+'4'!H70+'5'!H70+'6'!H70+'7'!H70+'8'!H70+'9'!H70+'10'!H70</f>
        <v>0</v>
      </c>
      <c r="H6" s="54">
        <f>'1'!I70+'2'!I70+'3'!I70+'4'!I70+'5'!I70+'6'!I70+'7'!I70+'8'!I70+'9'!I70+'10'!I70</f>
        <v>0</v>
      </c>
      <c r="I6" s="54">
        <f>'1'!J70+'2'!J70+'3'!J70+'4'!J70+'5'!J70+'6'!J70+'7'!J70+'8'!J70+'9'!J70+'10'!J70</f>
        <v>0</v>
      </c>
      <c r="J6" s="54">
        <f>'1'!K70+'2'!K70+'3'!K70+'4'!K70+'5'!K70+'6'!K70+'7'!K70+'8'!K70+'9'!K70+'10'!K70</f>
        <v>0</v>
      </c>
      <c r="K6" s="54">
        <f>'1'!L70+'2'!L70+'3'!L70+'4'!L70+'5'!L70+'6'!L70+'7'!L70+'8'!L70+'9'!L70+'10'!L70</f>
        <v>0</v>
      </c>
      <c r="L6" s="54">
        <f>'1'!M70+'2'!M70+'3'!M70+'4'!M70+'5'!M70+'6'!M70+'7'!M70+'8'!M70+'9'!M70+'10'!M70</f>
        <v>0</v>
      </c>
      <c r="M6" s="82">
        <f>'1'!N70+'2'!N70+'3'!N70+'4'!N70+'5'!N70+'6'!N70+'7'!N70+'8'!N70+'9'!N70+'10'!N70</f>
        <v>0</v>
      </c>
      <c r="N6" s="54">
        <f>'1'!O70+'2'!O70+'3'!O70+'4'!O70+'5'!O70+'6'!O70+'7'!O70+'8'!O70+'9'!O70+'10'!O70</f>
        <v>0</v>
      </c>
      <c r="O6" s="54">
        <f>'1'!P70+'2'!P70+'3'!P70+'4'!P70+'5'!P70+'6'!P70+'7'!P70+'8'!P70+'9'!P70+'10'!P70</f>
        <v>0</v>
      </c>
      <c r="P6" s="54">
        <f>'1'!Q70+'2'!Q70+'3'!Q70+'4'!Q70+'5'!Q70+'6'!Q70+'7'!Q70+'8'!Q70+'9'!Q70+'10'!Q70</f>
        <v>0</v>
      </c>
      <c r="Q6" s="54">
        <f>'1'!R70+'2'!R70+'3'!R70+'4'!R70+'5'!R70+'6'!R70+'7'!R70+'8'!R70+'9'!R70+'10'!R70</f>
        <v>0</v>
      </c>
      <c r="R6" s="54">
        <f>'1'!S70+'2'!S70+'3'!S70+'4'!S70+'5'!S70+'6'!S70+'7'!S70+'8'!S70+'9'!S70+'10'!S70</f>
        <v>0</v>
      </c>
      <c r="S6" s="82">
        <f>'1'!T70+'2'!T70+'3'!T70+'4'!T70+'5'!T70+'6'!T70+'7'!T70+'8'!T70+'9'!T70+'10'!T70</f>
        <v>0</v>
      </c>
      <c r="T6" s="54">
        <f>'1'!U70+'2'!U70+'3'!U70+'4'!U70+'5'!U70+'6'!U70+'7'!U70+'8'!U70+'9'!U70+'10'!U70</f>
        <v>0</v>
      </c>
      <c r="U6" s="54">
        <f>'1'!V70+'2'!V70+'3'!V70+'4'!V70+'5'!V70+'6'!V70+'7'!V70+'8'!V70+'9'!V70+'10'!V70</f>
        <v>0</v>
      </c>
      <c r="V6" s="54">
        <f>'1'!W70+'2'!W70+'3'!W70+'4'!W70+'5'!W70+'6'!W70+'7'!W70+'8'!W70+'9'!W70+'10'!W70</f>
        <v>0</v>
      </c>
      <c r="W6" s="54">
        <f>'1'!X70+'2'!X70+'3'!X70+'4'!X70+'5'!X70+'6'!X70+'7'!X70+'8'!X70+'9'!X70+'10'!X70</f>
        <v>0</v>
      </c>
      <c r="X6" s="54">
        <f>'1'!Y70+'2'!Y70+'3'!Y70+'4'!Y70+'5'!Y70+'6'!Y70+'7'!Y70+'8'!Y70+'9'!Y70+'10'!Y70</f>
        <v>0</v>
      </c>
      <c r="Y6" s="82">
        <f>'1'!Z70+'2'!Z70+'3'!Z70+'4'!Z70+'5'!Z70+'6'!Z70+'7'!Z70+'8'!Z70+'9'!Z70+'10'!Z70</f>
        <v>0</v>
      </c>
      <c r="Z6" s="54">
        <f>'1'!AA70+'2'!AA70+'3'!AA70+'4'!AA70+'5'!AA70+'6'!AA70+'7'!AA70+'8'!AA70+'9'!AA70+'10'!AA70</f>
        <v>0</v>
      </c>
      <c r="AA6" s="54">
        <f>'1'!AB70+'2'!AB70+'3'!AB70+'4'!AB70+'5'!AB70+'6'!AB70+'7'!AB70+'8'!AB70+'9'!AB70+'10'!AB70</f>
        <v>0</v>
      </c>
      <c r="AB6" s="54">
        <f>'1'!AC70+'2'!AC70+'3'!AC70+'4'!AC70+'5'!AC70+'6'!AC70+'7'!AC70+'8'!AC70+'9'!AC70+'10'!AC70</f>
        <v>0</v>
      </c>
      <c r="AC6" s="54">
        <f>'1'!AD70+'2'!AD70+'3'!AD70+'4'!AD70+'5'!AD70+'6'!AD70+'7'!AD70+'8'!AD70+'9'!AD70+'10'!AD70</f>
        <v>0</v>
      </c>
      <c r="AD6" s="54">
        <f>'1'!AE70+'2'!AE70+'3'!AE70+'4'!AE70+'5'!AE70+'6'!AE70+'7'!AE70+'8'!AE70+'9'!AE70+'10'!AE70</f>
        <v>0</v>
      </c>
      <c r="AE6" s="82">
        <f>'1'!AF70+'2'!AF70+'3'!AF70+'4'!AF70+'5'!AF70+'6'!AF70+'7'!AF70+'8'!AF70+'9'!AF70+'10'!AF70</f>
        <v>0</v>
      </c>
      <c r="AF6" s="54">
        <f>'1'!AG70+'2'!AG70+'3'!AG70+'4'!AG70+'5'!AG70+'6'!AG70+'7'!AG70+'8'!AG70+'9'!AG70+'10'!AG70</f>
        <v>0</v>
      </c>
      <c r="AG6" s="54">
        <f>'1'!AH70+'2'!AH70+'3'!AH70+'4'!AH70+'5'!AH70+'6'!AH70+'7'!AH70+'8'!AH70+'9'!AH70+'10'!AH70</f>
        <v>0</v>
      </c>
      <c r="AH6" s="54">
        <f>'1'!AI70+'2'!AI70+'3'!AI70+'4'!AI70+'5'!AI70+'6'!AI70+'7'!AI70+'8'!AI70+'9'!AI70+'10'!AI70</f>
        <v>0</v>
      </c>
      <c r="AI6" s="82">
        <f>'1'!AJ70+'2'!AJ70+'3'!AJ70+'4'!AJ70+'5'!AJ70+'6'!AJ70+'7'!AJ70+'8'!AJ70+'9'!AJ70+'10'!AJ70</f>
        <v>0</v>
      </c>
      <c r="AJ6" s="54">
        <f>'1'!AK70+'2'!AK70+'3'!AK70+'4'!AK70+'5'!AK70+'6'!AK70+'7'!AK70+'8'!AK70+'9'!AK70+'10'!AK70</f>
        <v>0</v>
      </c>
      <c r="AK6" s="82">
        <f>'1'!AL70+'2'!AL70+'3'!AL70+'4'!AL70+'5'!AL70+'6'!AL70+'7'!AL70+'8'!AL70+'9'!AL70+'10'!AL70</f>
        <v>0</v>
      </c>
      <c r="AL6" s="28">
        <f t="shared" si="0"/>
        <v>0</v>
      </c>
      <c r="AM6" s="84">
        <f t="shared" si="1"/>
        <v>0</v>
      </c>
    </row>
    <row r="7" spans="1:39">
      <c r="A7" s="57" t="s">
        <v>25</v>
      </c>
      <c r="B7" s="54">
        <f>'1'!C71+'2'!C71+'3'!C71+'4'!C71+'5'!C71+'6'!C71+'7'!C71+'8'!C71+'9'!C71+'10'!C71</f>
        <v>10</v>
      </c>
      <c r="C7" s="54">
        <f>'1'!D71+'2'!D71+'3'!D71+'4'!D71+'5'!D71+'6'!D71+'7'!D71+'8'!D71+'9'!D71+'10'!D71</f>
        <v>0</v>
      </c>
      <c r="D7" s="54">
        <f>'1'!E71+'2'!E71+'3'!E71+'4'!E71+'5'!E71+'6'!E71+'7'!E71+'8'!E71+'9'!E71+'10'!E71</f>
        <v>0</v>
      </c>
      <c r="E7" s="54">
        <f>'1'!F71+'2'!F71+'3'!F71+'4'!F71+'5'!F71+'6'!F71+'7'!F71+'8'!F71+'9'!F71+'10'!F71</f>
        <v>4</v>
      </c>
      <c r="F7" s="54">
        <f>'1'!G71+'2'!G71+'3'!G71+'4'!G71+'5'!G71+'6'!G71+'7'!G71+'8'!G71+'9'!G71+'10'!G71</f>
        <v>8</v>
      </c>
      <c r="G7" s="81">
        <f>'1'!H71+'2'!H71+'3'!H71+'4'!H71+'5'!H71+'6'!H71+'7'!H71+'8'!H71+'9'!H71+'10'!H71</f>
        <v>8</v>
      </c>
      <c r="H7" s="54">
        <f>'1'!I71+'2'!I71+'3'!I71+'4'!I71+'5'!I71+'6'!I71+'7'!I71+'8'!I71+'9'!I71+'10'!I71</f>
        <v>0</v>
      </c>
      <c r="I7" s="54">
        <f>'1'!J71+'2'!J71+'3'!J71+'4'!J71+'5'!J71+'6'!J71+'7'!J71+'8'!J71+'9'!J71+'10'!J71</f>
        <v>0</v>
      </c>
      <c r="J7" s="54">
        <f>'1'!K71+'2'!K71+'3'!K71+'4'!K71+'5'!K71+'6'!K71+'7'!K71+'8'!K71+'9'!K71+'10'!K71</f>
        <v>0</v>
      </c>
      <c r="K7" s="54">
        <f>'1'!L71+'2'!L71+'3'!L71+'4'!L71+'5'!L71+'6'!L71+'7'!L71+'8'!L71+'9'!L71+'10'!L71</f>
        <v>0</v>
      </c>
      <c r="L7" s="54">
        <f>'1'!M71+'2'!M71+'3'!M71+'4'!M71+'5'!M71+'6'!M71+'7'!M71+'8'!M71+'9'!M71+'10'!M71</f>
        <v>0</v>
      </c>
      <c r="M7" s="82">
        <f>'1'!N71+'2'!N71+'3'!N71+'4'!N71+'5'!N71+'6'!N71+'7'!N71+'8'!N71+'9'!N71+'10'!N71</f>
        <v>0</v>
      </c>
      <c r="N7" s="54">
        <f>'1'!O71+'2'!O71+'3'!O71+'4'!O71+'5'!O71+'6'!O71+'7'!O71+'8'!O71+'9'!O71+'10'!O71</f>
        <v>0</v>
      </c>
      <c r="O7" s="54">
        <f>'1'!P71+'2'!P71+'3'!P71+'4'!P71+'5'!P71+'6'!P71+'7'!P71+'8'!P71+'9'!P71+'10'!P71</f>
        <v>0</v>
      </c>
      <c r="P7" s="54">
        <f>'1'!Q71+'2'!Q71+'3'!Q71+'4'!Q71+'5'!Q71+'6'!Q71+'7'!Q71+'8'!Q71+'9'!Q71+'10'!Q71</f>
        <v>0</v>
      </c>
      <c r="Q7" s="54">
        <f>'1'!R71+'2'!R71+'3'!R71+'4'!R71+'5'!R71+'6'!R71+'7'!R71+'8'!R71+'9'!R71+'10'!R71</f>
        <v>0</v>
      </c>
      <c r="R7" s="54">
        <f>'1'!S71+'2'!S71+'3'!S71+'4'!S71+'5'!S71+'6'!S71+'7'!S71+'8'!S71+'9'!S71+'10'!S71</f>
        <v>0</v>
      </c>
      <c r="S7" s="82">
        <f>'1'!T71+'2'!T71+'3'!T71+'4'!T71+'5'!T71+'6'!T71+'7'!T71+'8'!T71+'9'!T71+'10'!T71</f>
        <v>0</v>
      </c>
      <c r="T7" s="54">
        <f>'1'!U71+'2'!U71+'3'!U71+'4'!U71+'5'!U71+'6'!U71+'7'!U71+'8'!U71+'9'!U71+'10'!U71</f>
        <v>0</v>
      </c>
      <c r="U7" s="54">
        <f>'1'!V71+'2'!V71+'3'!V71+'4'!V71+'5'!V71+'6'!V71+'7'!V71+'8'!V71+'9'!V71+'10'!V71</f>
        <v>0</v>
      </c>
      <c r="V7" s="54">
        <f>'1'!W71+'2'!W71+'3'!W71+'4'!W71+'5'!W71+'6'!W71+'7'!W71+'8'!W71+'9'!W71+'10'!W71</f>
        <v>0</v>
      </c>
      <c r="W7" s="54">
        <f>'1'!X71+'2'!X71+'3'!X71+'4'!X71+'5'!X71+'6'!X71+'7'!X71+'8'!X71+'9'!X71+'10'!X71</f>
        <v>0</v>
      </c>
      <c r="X7" s="54">
        <f>'1'!Y71+'2'!Y71+'3'!Y71+'4'!Y71+'5'!Y71+'6'!Y71+'7'!Y71+'8'!Y71+'9'!Y71+'10'!Y71</f>
        <v>0</v>
      </c>
      <c r="Y7" s="82">
        <f>'1'!Z71+'2'!Z71+'3'!Z71+'4'!Z71+'5'!Z71+'6'!Z71+'7'!Z71+'8'!Z71+'9'!Z71+'10'!Z71</f>
        <v>0</v>
      </c>
      <c r="Z7" s="54">
        <f>'1'!AA71+'2'!AA71+'3'!AA71+'4'!AA71+'5'!AA71+'6'!AA71+'7'!AA71+'8'!AA71+'9'!AA71+'10'!AA71</f>
        <v>0</v>
      </c>
      <c r="AA7" s="54">
        <f>'1'!AB71+'2'!AB71+'3'!AB71+'4'!AB71+'5'!AB71+'6'!AB71+'7'!AB71+'8'!AB71+'9'!AB71+'10'!AB71</f>
        <v>0</v>
      </c>
      <c r="AB7" s="54">
        <f>'1'!AC71+'2'!AC71+'3'!AC71+'4'!AC71+'5'!AC71+'6'!AC71+'7'!AC71+'8'!AC71+'9'!AC71+'10'!AC71</f>
        <v>0</v>
      </c>
      <c r="AC7" s="54">
        <f>'1'!AD71+'2'!AD71+'3'!AD71+'4'!AD71+'5'!AD71+'6'!AD71+'7'!AD71+'8'!AD71+'9'!AD71+'10'!AD71</f>
        <v>0</v>
      </c>
      <c r="AD7" s="54">
        <f>'1'!AE71+'2'!AE71+'3'!AE71+'4'!AE71+'5'!AE71+'6'!AE71+'7'!AE71+'8'!AE71+'9'!AE71+'10'!AE71</f>
        <v>0</v>
      </c>
      <c r="AE7" s="82">
        <f>'1'!AF71+'2'!AF71+'3'!AF71+'4'!AF71+'5'!AF71+'6'!AF71+'7'!AF71+'8'!AF71+'9'!AF71+'10'!AF71</f>
        <v>0</v>
      </c>
      <c r="AF7" s="54">
        <f>'1'!AG71+'2'!AG71+'3'!AG71+'4'!AG71+'5'!AG71+'6'!AG71+'7'!AG71+'8'!AG71+'9'!AG71+'10'!AG71</f>
        <v>0</v>
      </c>
      <c r="AG7" s="54">
        <f>'1'!AH71+'2'!AH71+'3'!AH71+'4'!AH71+'5'!AH71+'6'!AH71+'7'!AH71+'8'!AH71+'9'!AH71+'10'!AH71</f>
        <v>0</v>
      </c>
      <c r="AH7" s="54">
        <f>'1'!AI71+'2'!AI71+'3'!AI71+'4'!AI71+'5'!AI71+'6'!AI71+'7'!AI71+'8'!AI71+'9'!AI71+'10'!AI71</f>
        <v>0</v>
      </c>
      <c r="AI7" s="82">
        <f>'1'!AJ71+'2'!AJ71+'3'!AJ71+'4'!AJ71+'5'!AJ71+'6'!AJ71+'7'!AJ71+'8'!AJ71+'9'!AJ71+'10'!AJ71</f>
        <v>0</v>
      </c>
      <c r="AJ7" s="54">
        <f>'1'!AK71+'2'!AK71+'3'!AK71+'4'!AK71+'5'!AK71+'6'!AK71+'7'!AK71+'8'!AK71+'9'!AK71+'10'!AK71</f>
        <v>0</v>
      </c>
      <c r="AK7" s="82">
        <f>'1'!AL71+'2'!AL71+'3'!AL71+'4'!AL71+'5'!AL71+'6'!AL71+'7'!AL71+'8'!AL71+'9'!AL71+'10'!AL71</f>
        <v>0</v>
      </c>
      <c r="AL7" s="28">
        <f t="shared" si="0"/>
        <v>30</v>
      </c>
      <c r="AM7" s="84">
        <f t="shared" si="1"/>
        <v>6450</v>
      </c>
    </row>
    <row r="8" spans="1:39">
      <c r="A8" s="57"/>
      <c r="B8" s="54">
        <f>'1'!C72+'2'!C72+'3'!C72+'4'!C72+'5'!C72+'6'!C72+'7'!C72+'8'!C72+'9'!C72+'10'!C72</f>
        <v>0</v>
      </c>
      <c r="C8" s="54">
        <f>'1'!D72+'2'!D72+'3'!D72+'4'!D72+'5'!D72+'6'!D72+'7'!D72+'8'!D72+'9'!D72+'10'!D72</f>
        <v>0</v>
      </c>
      <c r="D8" s="54">
        <f>'1'!E72+'2'!E72+'3'!E72+'4'!E72+'5'!E72+'6'!E72+'7'!E72+'8'!E72+'9'!E72+'10'!E72</f>
        <v>0</v>
      </c>
      <c r="E8" s="54">
        <f>'1'!F72+'2'!F72+'3'!F72+'4'!F72+'5'!F72+'6'!F72+'7'!F72+'8'!F72+'9'!F72+'10'!F72</f>
        <v>0</v>
      </c>
      <c r="F8" s="54">
        <f>'1'!G72+'2'!G72+'3'!G72+'4'!G72+'5'!G72+'6'!G72+'7'!G72+'8'!G72+'9'!G72+'10'!G72</f>
        <v>0</v>
      </c>
      <c r="G8" s="81">
        <f>'1'!H72+'2'!H72+'3'!H72+'4'!H72+'5'!H72+'6'!H72+'7'!H72+'8'!H72+'9'!H72+'10'!H72</f>
        <v>0</v>
      </c>
      <c r="H8" s="54">
        <f>'1'!I72+'2'!I72+'3'!I72+'4'!I72+'5'!I72+'6'!I72+'7'!I72+'8'!I72+'9'!I72+'10'!I72</f>
        <v>0</v>
      </c>
      <c r="I8" s="54">
        <f>'1'!J72+'2'!J72+'3'!J72+'4'!J72+'5'!J72+'6'!J72+'7'!J72+'8'!J72+'9'!J72+'10'!J72</f>
        <v>0</v>
      </c>
      <c r="J8" s="54">
        <f>'1'!K72+'2'!K72+'3'!K72+'4'!K72+'5'!K72+'6'!K72+'7'!K72+'8'!K72+'9'!K72+'10'!K72</f>
        <v>0</v>
      </c>
      <c r="K8" s="54">
        <f>'1'!L72+'2'!L72+'3'!L72+'4'!L72+'5'!L72+'6'!L72+'7'!L72+'8'!L72+'9'!L72+'10'!L72</f>
        <v>0</v>
      </c>
      <c r="L8" s="54">
        <f>'1'!M72+'2'!M72+'3'!M72+'4'!M72+'5'!M72+'6'!M72+'7'!M72+'8'!M72+'9'!M72+'10'!M72</f>
        <v>0</v>
      </c>
      <c r="M8" s="82">
        <f>'1'!N72+'2'!N72+'3'!N72+'4'!N72+'5'!N72+'6'!N72+'7'!N72+'8'!N72+'9'!N72+'10'!N72</f>
        <v>0</v>
      </c>
      <c r="N8" s="54">
        <f>'1'!O72+'2'!O72+'3'!O72+'4'!O72+'5'!O72+'6'!O72+'7'!O72+'8'!O72+'9'!O72+'10'!O72</f>
        <v>0</v>
      </c>
      <c r="O8" s="54">
        <f>'1'!P72+'2'!P72+'3'!P72+'4'!P72+'5'!P72+'6'!P72+'7'!P72+'8'!P72+'9'!P72+'10'!P72</f>
        <v>0</v>
      </c>
      <c r="P8" s="54">
        <f>'1'!Q72+'2'!Q72+'3'!Q72+'4'!Q72+'5'!Q72+'6'!Q72+'7'!Q72+'8'!Q72+'9'!Q72+'10'!Q72</f>
        <v>0</v>
      </c>
      <c r="Q8" s="54">
        <f>'1'!R72+'2'!R72+'3'!R72+'4'!R72+'5'!R72+'6'!R72+'7'!R72+'8'!R72+'9'!R72+'10'!R72</f>
        <v>0</v>
      </c>
      <c r="R8" s="54">
        <f>'1'!S72+'2'!S72+'3'!S72+'4'!S72+'5'!S72+'6'!S72+'7'!S72+'8'!S72+'9'!S72+'10'!S72</f>
        <v>0</v>
      </c>
      <c r="S8" s="82">
        <f>'1'!T72+'2'!T72+'3'!T72+'4'!T72+'5'!T72+'6'!T72+'7'!T72+'8'!T72+'9'!T72+'10'!T72</f>
        <v>0</v>
      </c>
      <c r="T8" s="54">
        <f>'1'!U72+'2'!U72+'3'!U72+'4'!U72+'5'!U72+'6'!U72+'7'!U72+'8'!U72+'9'!U72+'10'!U72</f>
        <v>0</v>
      </c>
      <c r="U8" s="54">
        <f>'1'!V72+'2'!V72+'3'!V72+'4'!V72+'5'!V72+'6'!V72+'7'!V72+'8'!V72+'9'!V72+'10'!V72</f>
        <v>0</v>
      </c>
      <c r="V8" s="54">
        <f>'1'!W72+'2'!W72+'3'!W72+'4'!W72+'5'!W72+'6'!W72+'7'!W72+'8'!W72+'9'!W72+'10'!W72</f>
        <v>0</v>
      </c>
      <c r="W8" s="54">
        <f>'1'!X72+'2'!X72+'3'!X72+'4'!X72+'5'!X72+'6'!X72+'7'!X72+'8'!X72+'9'!X72+'10'!X72</f>
        <v>0</v>
      </c>
      <c r="X8" s="54">
        <f>'1'!Y72+'2'!Y72+'3'!Y72+'4'!Y72+'5'!Y72+'6'!Y72+'7'!Y72+'8'!Y72+'9'!Y72+'10'!Y72</f>
        <v>0</v>
      </c>
      <c r="Y8" s="82">
        <f>'1'!Z72+'2'!Z72+'3'!Z72+'4'!Z72+'5'!Z72+'6'!Z72+'7'!Z72+'8'!Z72+'9'!Z72+'10'!Z72</f>
        <v>0</v>
      </c>
      <c r="Z8" s="54">
        <f>'1'!AA72+'2'!AA72+'3'!AA72+'4'!AA72+'5'!AA72+'6'!AA72+'7'!AA72+'8'!AA72+'9'!AA72+'10'!AA72</f>
        <v>0</v>
      </c>
      <c r="AA8" s="54">
        <f>'1'!AB72+'2'!AB72+'3'!AB72+'4'!AB72+'5'!AB72+'6'!AB72+'7'!AB72+'8'!AB72+'9'!AB72+'10'!AB72</f>
        <v>0</v>
      </c>
      <c r="AB8" s="54">
        <f>'1'!AC72+'2'!AC72+'3'!AC72+'4'!AC72+'5'!AC72+'6'!AC72+'7'!AC72+'8'!AC72+'9'!AC72+'10'!AC72</f>
        <v>0</v>
      </c>
      <c r="AC8" s="54">
        <f>'1'!AD72+'2'!AD72+'3'!AD72+'4'!AD72+'5'!AD72+'6'!AD72+'7'!AD72+'8'!AD72+'9'!AD72+'10'!AD72</f>
        <v>0</v>
      </c>
      <c r="AD8" s="54">
        <f>'1'!AE72+'2'!AE72+'3'!AE72+'4'!AE72+'5'!AE72+'6'!AE72+'7'!AE72+'8'!AE72+'9'!AE72+'10'!AE72</f>
        <v>0</v>
      </c>
      <c r="AE8" s="82">
        <f>'1'!AF72+'2'!AF72+'3'!AF72+'4'!AF72+'5'!AF72+'6'!AF72+'7'!AF72+'8'!AF72+'9'!AF72+'10'!AF72</f>
        <v>0</v>
      </c>
      <c r="AF8" s="54">
        <f>'1'!AG72+'2'!AG72+'3'!AG72+'4'!AG72+'5'!AG72+'6'!AG72+'7'!AG72+'8'!AG72+'9'!AG72+'10'!AG72</f>
        <v>0</v>
      </c>
      <c r="AG8" s="54">
        <f>'1'!AH72+'2'!AH72+'3'!AH72+'4'!AH72+'5'!AH72+'6'!AH72+'7'!AH72+'8'!AH72+'9'!AH72+'10'!AH72</f>
        <v>0</v>
      </c>
      <c r="AH8" s="54">
        <f>'1'!AI72+'2'!AI72+'3'!AI72+'4'!AI72+'5'!AI72+'6'!AI72+'7'!AI72+'8'!AI72+'9'!AI72+'10'!AI72</f>
        <v>0</v>
      </c>
      <c r="AI8" s="82">
        <f>'1'!AJ72+'2'!AJ72+'3'!AJ72+'4'!AJ72+'5'!AJ72+'6'!AJ72+'7'!AJ72+'8'!AJ72+'9'!AJ72+'10'!AJ72</f>
        <v>0</v>
      </c>
      <c r="AJ8" s="54">
        <f>'1'!AK72+'2'!AK72+'3'!AK72+'4'!AK72+'5'!AK72+'6'!AK72+'7'!AK72+'8'!AK72+'9'!AK72+'10'!AK72</f>
        <v>0</v>
      </c>
      <c r="AK8" s="82">
        <f>'1'!AL72+'2'!AL72+'3'!AL72+'4'!AL72+'5'!AL72+'6'!AL72+'7'!AL72+'8'!AL72+'9'!AL72+'10'!AL72</f>
        <v>0</v>
      </c>
      <c r="AL8" s="28">
        <f t="shared" si="0"/>
        <v>0</v>
      </c>
      <c r="AM8" s="84">
        <f t="shared" si="1"/>
        <v>0</v>
      </c>
    </row>
    <row r="11" spans="1:39" ht="15.75">
      <c r="A11" s="162" t="s">
        <v>53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58"/>
    </row>
    <row r="12" spans="1:39" ht="2.25" customHeight="1" thickBot="1"/>
    <row r="13" spans="1:39" ht="15.75" thickTop="1">
      <c r="A13" s="163" t="s">
        <v>54</v>
      </c>
      <c r="B13" s="165"/>
      <c r="C13" s="165" t="s">
        <v>55</v>
      </c>
      <c r="D13" s="156" t="s">
        <v>56</v>
      </c>
      <c r="E13" s="156" t="s">
        <v>57</v>
      </c>
      <c r="F13" s="156" t="s">
        <v>58</v>
      </c>
      <c r="G13" s="156" t="s">
        <v>59</v>
      </c>
      <c r="H13" s="156" t="s">
        <v>60</v>
      </c>
      <c r="I13" s="156" t="s">
        <v>21</v>
      </c>
      <c r="J13" s="156" t="s">
        <v>22</v>
      </c>
      <c r="K13" s="156" t="s">
        <v>23</v>
      </c>
      <c r="L13" s="156" t="s">
        <v>24</v>
      </c>
      <c r="M13" s="167" t="s">
        <v>25</v>
      </c>
    </row>
    <row r="14" spans="1:39" ht="54.75" customHeight="1">
      <c r="A14" s="164"/>
      <c r="B14" s="166"/>
      <c r="C14" s="166"/>
      <c r="D14" s="157"/>
      <c r="E14" s="157"/>
      <c r="F14" s="157"/>
      <c r="G14" s="157"/>
      <c r="H14" s="157"/>
      <c r="I14" s="157"/>
      <c r="J14" s="157"/>
      <c r="K14" s="157"/>
      <c r="L14" s="157"/>
      <c r="M14" s="168"/>
      <c r="N14" s="63"/>
    </row>
    <row r="15" spans="1:39" ht="20.25" customHeight="1">
      <c r="A15" s="158" t="s">
        <v>69</v>
      </c>
      <c r="B15" s="64" t="s">
        <v>70</v>
      </c>
      <c r="C15" s="65" t="s">
        <v>65</v>
      </c>
      <c r="D15" s="66"/>
      <c r="E15" s="66"/>
      <c r="F15" s="66"/>
      <c r="G15" s="66"/>
      <c r="H15" s="66">
        <f>B2</f>
        <v>0</v>
      </c>
      <c r="I15" s="66">
        <f>B3</f>
        <v>0</v>
      </c>
      <c r="J15" s="66">
        <f>B4</f>
        <v>8</v>
      </c>
      <c r="K15" s="66">
        <f>B5</f>
        <v>32</v>
      </c>
      <c r="L15" s="66">
        <f>B6</f>
        <v>0</v>
      </c>
      <c r="M15" s="66">
        <f>B7</f>
        <v>10</v>
      </c>
      <c r="N15" s="30" t="str">
        <f>+B15</f>
        <v>SO1</v>
      </c>
    </row>
    <row r="16" spans="1:39" ht="20.25" customHeight="1">
      <c r="A16" s="158"/>
      <c r="B16" s="64" t="s">
        <v>71</v>
      </c>
      <c r="C16" s="65" t="s">
        <v>65</v>
      </c>
      <c r="D16" s="66"/>
      <c r="E16" s="66"/>
      <c r="F16" s="66"/>
      <c r="G16" s="66"/>
      <c r="H16" s="66">
        <f>C2</f>
        <v>0</v>
      </c>
      <c r="I16" s="66">
        <f>C3</f>
        <v>0</v>
      </c>
      <c r="J16" s="66">
        <f>C4</f>
        <v>13</v>
      </c>
      <c r="K16" s="66">
        <f>C5</f>
        <v>12</v>
      </c>
      <c r="L16" s="66">
        <f>C6</f>
        <v>0</v>
      </c>
      <c r="M16" s="66">
        <f>C7</f>
        <v>0</v>
      </c>
      <c r="N16" s="30" t="str">
        <f t="shared" ref="N16:N48" si="2">+B16</f>
        <v>SO2</v>
      </c>
    </row>
    <row r="17" spans="1:14" ht="20.25" customHeight="1">
      <c r="A17" s="158"/>
      <c r="B17" s="64" t="s">
        <v>72</v>
      </c>
      <c r="C17" s="65" t="s">
        <v>63</v>
      </c>
      <c r="D17" s="66"/>
      <c r="E17" s="66"/>
      <c r="F17" s="66"/>
      <c r="G17" s="66"/>
      <c r="H17" s="66">
        <f>D2</f>
        <v>0</v>
      </c>
      <c r="I17" s="66">
        <f>D3</f>
        <v>0</v>
      </c>
      <c r="J17" s="66">
        <f>D4</f>
        <v>12</v>
      </c>
      <c r="K17" s="66">
        <f>D5</f>
        <v>6</v>
      </c>
      <c r="L17" s="66">
        <f>D6</f>
        <v>0</v>
      </c>
      <c r="M17" s="66">
        <f>D7</f>
        <v>0</v>
      </c>
      <c r="N17" s="30" t="str">
        <f t="shared" si="2"/>
        <v>SO3</v>
      </c>
    </row>
    <row r="18" spans="1:14" ht="20.25" customHeight="1">
      <c r="A18" s="158"/>
      <c r="B18" s="64" t="s">
        <v>73</v>
      </c>
      <c r="C18" s="65" t="s">
        <v>74</v>
      </c>
      <c r="D18" s="66"/>
      <c r="E18" s="66"/>
      <c r="F18" s="66"/>
      <c r="G18" s="66"/>
      <c r="H18" s="66">
        <f>E2</f>
        <v>0</v>
      </c>
      <c r="I18" s="66">
        <f>E3</f>
        <v>0</v>
      </c>
      <c r="J18" s="66">
        <f>E4</f>
        <v>5</v>
      </c>
      <c r="K18" s="66">
        <f>E5</f>
        <v>23</v>
      </c>
      <c r="L18" s="66">
        <f>E6</f>
        <v>0</v>
      </c>
      <c r="M18" s="66">
        <f>E7</f>
        <v>4</v>
      </c>
      <c r="N18" s="30" t="str">
        <f t="shared" si="2"/>
        <v>SO4</v>
      </c>
    </row>
    <row r="19" spans="1:14" ht="20.25" customHeight="1">
      <c r="A19" s="158"/>
      <c r="B19" s="64" t="s">
        <v>75</v>
      </c>
      <c r="C19" s="65" t="s">
        <v>74</v>
      </c>
      <c r="D19" s="66"/>
      <c r="E19" s="66"/>
      <c r="F19" s="66"/>
      <c r="G19" s="66"/>
      <c r="H19" s="66">
        <f>F2</f>
        <v>0</v>
      </c>
      <c r="I19" s="66">
        <f>F3</f>
        <v>0</v>
      </c>
      <c r="J19" s="66">
        <f>F4</f>
        <v>9</v>
      </c>
      <c r="K19" s="66">
        <f>F5</f>
        <v>19</v>
      </c>
      <c r="L19" s="66">
        <f>F6</f>
        <v>0</v>
      </c>
      <c r="M19" s="66">
        <f>F7</f>
        <v>8</v>
      </c>
      <c r="N19" s="30" t="str">
        <f t="shared" si="2"/>
        <v>SO5</v>
      </c>
    </row>
    <row r="20" spans="1:14" ht="20.25" customHeight="1" thickBot="1">
      <c r="A20" s="159"/>
      <c r="B20" s="64" t="s">
        <v>76</v>
      </c>
      <c r="C20" s="67" t="s">
        <v>63</v>
      </c>
      <c r="D20" s="68"/>
      <c r="E20" s="68"/>
      <c r="F20" s="68"/>
      <c r="G20" s="68"/>
      <c r="H20" s="66">
        <f>G2</f>
        <v>0</v>
      </c>
      <c r="I20" s="66">
        <f>G3</f>
        <v>0</v>
      </c>
      <c r="J20" s="66">
        <f>G4</f>
        <v>9</v>
      </c>
      <c r="K20" s="66">
        <f>G5</f>
        <v>20</v>
      </c>
      <c r="L20" s="66">
        <f>G6</f>
        <v>0</v>
      </c>
      <c r="M20" s="66">
        <f>G7</f>
        <v>8</v>
      </c>
      <c r="N20" s="30" t="str">
        <f t="shared" si="2"/>
        <v>SO6</v>
      </c>
    </row>
    <row r="21" spans="1:14" ht="20.25" customHeight="1" thickTop="1">
      <c r="A21" s="154" t="s">
        <v>77</v>
      </c>
      <c r="B21" s="69" t="s">
        <v>78</v>
      </c>
      <c r="C21" s="70" t="s">
        <v>67</v>
      </c>
      <c r="D21" s="71"/>
      <c r="E21" s="71"/>
      <c r="F21" s="71"/>
      <c r="G21" s="71"/>
      <c r="H21" s="66">
        <f>H2</f>
        <v>0</v>
      </c>
      <c r="I21" s="66">
        <f>H3</f>
        <v>0</v>
      </c>
      <c r="J21" s="66">
        <f>H4</f>
        <v>2</v>
      </c>
      <c r="K21" s="66">
        <f>H5</f>
        <v>0</v>
      </c>
      <c r="L21" s="66">
        <f>H6</f>
        <v>0</v>
      </c>
      <c r="M21" s="66">
        <f>H7</f>
        <v>0</v>
      </c>
      <c r="N21" s="30"/>
    </row>
    <row r="22" spans="1:14" ht="20.25" customHeight="1">
      <c r="A22" s="154"/>
      <c r="B22" s="69" t="s">
        <v>79</v>
      </c>
      <c r="C22" s="72" t="s">
        <v>64</v>
      </c>
      <c r="D22" s="66"/>
      <c r="E22" s="66"/>
      <c r="F22" s="66"/>
      <c r="G22" s="66"/>
      <c r="H22" s="66">
        <f>I2</f>
        <v>0</v>
      </c>
      <c r="I22" s="66">
        <f>I3</f>
        <v>0</v>
      </c>
      <c r="J22" s="66">
        <f>I4</f>
        <v>13</v>
      </c>
      <c r="K22" s="66">
        <f>I5</f>
        <v>12</v>
      </c>
      <c r="L22" s="66">
        <f>I6</f>
        <v>0</v>
      </c>
      <c r="M22" s="66">
        <f>I7</f>
        <v>0</v>
      </c>
      <c r="N22" s="30"/>
    </row>
    <row r="23" spans="1:14" ht="20.25" customHeight="1">
      <c r="A23" s="154"/>
      <c r="B23" s="69" t="s">
        <v>80</v>
      </c>
      <c r="C23" s="65" t="s">
        <v>63</v>
      </c>
      <c r="D23" s="66"/>
      <c r="E23" s="66"/>
      <c r="F23" s="66"/>
      <c r="G23" s="66"/>
      <c r="H23" s="66">
        <f>J2</f>
        <v>0</v>
      </c>
      <c r="I23" s="66">
        <f>J3</f>
        <v>0</v>
      </c>
      <c r="J23" s="66">
        <f>J4</f>
        <v>0</v>
      </c>
      <c r="K23" s="66">
        <f>J5</f>
        <v>0</v>
      </c>
      <c r="L23" s="66">
        <f>J6</f>
        <v>0</v>
      </c>
      <c r="M23" s="66">
        <f>J7</f>
        <v>0</v>
      </c>
      <c r="N23" s="30"/>
    </row>
    <row r="24" spans="1:14" ht="20.25" customHeight="1">
      <c r="A24" s="154"/>
      <c r="B24" s="69" t="s">
        <v>81</v>
      </c>
      <c r="C24" s="65" t="s">
        <v>63</v>
      </c>
      <c r="D24" s="66"/>
      <c r="E24" s="66"/>
      <c r="F24" s="66"/>
      <c r="G24" s="66"/>
      <c r="H24" s="66">
        <f>K2</f>
        <v>0</v>
      </c>
      <c r="I24" s="66">
        <f>K3</f>
        <v>0</v>
      </c>
      <c r="J24" s="66">
        <f>K4</f>
        <v>17</v>
      </c>
      <c r="K24" s="66">
        <f>K5</f>
        <v>6</v>
      </c>
      <c r="L24" s="66">
        <f>K6</f>
        <v>0</v>
      </c>
      <c r="M24" s="66">
        <f>K7</f>
        <v>0</v>
      </c>
      <c r="N24" s="30"/>
    </row>
    <row r="25" spans="1:14" ht="20.25" customHeight="1">
      <c r="A25" s="154"/>
      <c r="B25" s="69" t="s">
        <v>82</v>
      </c>
      <c r="C25" s="73" t="s">
        <v>63</v>
      </c>
      <c r="D25" s="66"/>
      <c r="E25" s="66"/>
      <c r="F25" s="66"/>
      <c r="G25" s="66"/>
      <c r="H25" s="66">
        <f>L2</f>
        <v>0</v>
      </c>
      <c r="I25" s="66">
        <f>L3</f>
        <v>0</v>
      </c>
      <c r="J25" s="66">
        <f>L4</f>
        <v>11</v>
      </c>
      <c r="K25" s="66">
        <f>L5</f>
        <v>12</v>
      </c>
      <c r="L25" s="66">
        <f>L6</f>
        <v>0</v>
      </c>
      <c r="M25" s="66">
        <f>L7</f>
        <v>0</v>
      </c>
      <c r="N25" s="30"/>
    </row>
    <row r="26" spans="1:14" ht="20.25" customHeight="1" thickBot="1">
      <c r="A26" s="155"/>
      <c r="B26" s="69" t="s">
        <v>83</v>
      </c>
      <c r="C26" s="67" t="s">
        <v>84</v>
      </c>
      <c r="D26" s="68"/>
      <c r="E26" s="68"/>
      <c r="F26" s="68"/>
      <c r="G26" s="68"/>
      <c r="H26" s="66">
        <f>M2</f>
        <v>0</v>
      </c>
      <c r="I26" s="66">
        <f>M3</f>
        <v>0</v>
      </c>
      <c r="J26" s="66">
        <f>M4</f>
        <v>6</v>
      </c>
      <c r="K26" s="66">
        <f>M5</f>
        <v>12</v>
      </c>
      <c r="L26" s="66">
        <f>M6</f>
        <v>0</v>
      </c>
      <c r="M26" s="66">
        <f>M7</f>
        <v>0</v>
      </c>
      <c r="N26" s="30"/>
    </row>
    <row r="27" spans="1:14" ht="20.25" customHeight="1" thickTop="1">
      <c r="A27" s="160" t="s">
        <v>116</v>
      </c>
      <c r="B27" s="69" t="s">
        <v>98</v>
      </c>
      <c r="C27" s="85" t="s">
        <v>67</v>
      </c>
      <c r="D27" s="86"/>
      <c r="E27" s="86"/>
      <c r="F27" s="86"/>
      <c r="G27" s="86"/>
      <c r="H27" s="66">
        <f>N2</f>
        <v>0</v>
      </c>
      <c r="I27" s="66">
        <f>N3</f>
        <v>4</v>
      </c>
      <c r="J27" s="66">
        <f>N4</f>
        <v>14</v>
      </c>
      <c r="K27" s="66">
        <f>N5</f>
        <v>0</v>
      </c>
      <c r="L27" s="66">
        <f>N6</f>
        <v>0</v>
      </c>
      <c r="M27" s="66">
        <f>N7</f>
        <v>0</v>
      </c>
      <c r="N27" s="30"/>
    </row>
    <row r="28" spans="1:14" ht="20.25" customHeight="1">
      <c r="A28" s="158"/>
      <c r="B28" s="69" t="s">
        <v>99</v>
      </c>
      <c r="C28" s="85"/>
      <c r="D28" s="86"/>
      <c r="E28" s="86"/>
      <c r="F28" s="86"/>
      <c r="G28" s="86"/>
      <c r="H28" s="66">
        <f>O2</f>
        <v>0</v>
      </c>
      <c r="I28" s="66">
        <f>O3</f>
        <v>10</v>
      </c>
      <c r="J28" s="66">
        <f>O4</f>
        <v>0</v>
      </c>
      <c r="K28" s="66">
        <f>O5</f>
        <v>0</v>
      </c>
      <c r="L28" s="66">
        <f>O6</f>
        <v>0</v>
      </c>
      <c r="M28" s="66">
        <f>O7</f>
        <v>0</v>
      </c>
      <c r="N28" s="30"/>
    </row>
    <row r="29" spans="1:14" ht="20.25" customHeight="1">
      <c r="A29" s="158"/>
      <c r="B29" s="69" t="s">
        <v>100</v>
      </c>
      <c r="C29" s="85"/>
      <c r="D29" s="86"/>
      <c r="E29" s="86"/>
      <c r="F29" s="86"/>
      <c r="G29" s="86"/>
      <c r="H29" s="66">
        <f>P2</f>
        <v>0</v>
      </c>
      <c r="I29" s="66">
        <f>P3</f>
        <v>0</v>
      </c>
      <c r="J29" s="66">
        <f>P4</f>
        <v>0</v>
      </c>
      <c r="K29" s="66">
        <f>P5</f>
        <v>0</v>
      </c>
      <c r="L29" s="66">
        <f>P6</f>
        <v>0</v>
      </c>
      <c r="M29" s="66">
        <f>P7</f>
        <v>0</v>
      </c>
      <c r="N29" s="30"/>
    </row>
    <row r="30" spans="1:14" ht="20.25" customHeight="1">
      <c r="A30" s="158"/>
      <c r="B30" s="69" t="s">
        <v>101</v>
      </c>
      <c r="C30" s="85"/>
      <c r="D30" s="86"/>
      <c r="E30" s="86"/>
      <c r="F30" s="86"/>
      <c r="G30" s="86"/>
      <c r="H30" s="66">
        <f>Q2</f>
        <v>0</v>
      </c>
      <c r="I30" s="66">
        <f>Q3</f>
        <v>0</v>
      </c>
      <c r="J30" s="66">
        <f>Q4</f>
        <v>0</v>
      </c>
      <c r="K30" s="66">
        <f>Q5</f>
        <v>0</v>
      </c>
      <c r="L30" s="66">
        <f>Q6</f>
        <v>0</v>
      </c>
      <c r="M30" s="66">
        <f>Q7</f>
        <v>0</v>
      </c>
      <c r="N30" s="30"/>
    </row>
    <row r="31" spans="1:14" ht="20.25" customHeight="1">
      <c r="A31" s="158"/>
      <c r="B31" s="69" t="s">
        <v>102</v>
      </c>
      <c r="C31" s="85"/>
      <c r="D31" s="86"/>
      <c r="E31" s="86"/>
      <c r="F31" s="86"/>
      <c r="G31" s="86"/>
      <c r="H31" s="66">
        <f>R2</f>
        <v>0</v>
      </c>
      <c r="I31" s="66">
        <f>R3</f>
        <v>4</v>
      </c>
      <c r="J31" s="66">
        <f>R4</f>
        <v>0</v>
      </c>
      <c r="K31" s="66">
        <f>R5</f>
        <v>0</v>
      </c>
      <c r="L31" s="66">
        <f>R6</f>
        <v>0</v>
      </c>
      <c r="M31" s="66">
        <f>R7</f>
        <v>0</v>
      </c>
      <c r="N31" s="30"/>
    </row>
    <row r="32" spans="1:14" ht="20.25" customHeight="1" thickBot="1">
      <c r="A32" s="158"/>
      <c r="B32" s="88" t="s">
        <v>103</v>
      </c>
      <c r="C32" s="85" t="s">
        <v>67</v>
      </c>
      <c r="D32" s="86"/>
      <c r="E32" s="86"/>
      <c r="F32" s="86"/>
      <c r="G32" s="86"/>
      <c r="H32" s="66">
        <f>S2</f>
        <v>0</v>
      </c>
      <c r="I32" s="66">
        <f>S3</f>
        <v>4</v>
      </c>
      <c r="J32" s="66">
        <f>S4</f>
        <v>14</v>
      </c>
      <c r="K32" s="66">
        <f>S5</f>
        <v>0</v>
      </c>
      <c r="L32" s="66">
        <f>S6</f>
        <v>0</v>
      </c>
      <c r="M32" s="66">
        <f>S7</f>
        <v>0</v>
      </c>
      <c r="N32" s="30"/>
    </row>
    <row r="33" spans="1:14" ht="20.25" customHeight="1" thickTop="1">
      <c r="A33" s="161" t="s">
        <v>117</v>
      </c>
      <c r="B33" s="91" t="s">
        <v>104</v>
      </c>
      <c r="C33" s="89"/>
      <c r="D33" s="90"/>
      <c r="E33" s="90"/>
      <c r="F33" s="90"/>
      <c r="G33" s="90"/>
      <c r="H33" s="66">
        <f>T2</f>
        <v>0</v>
      </c>
      <c r="I33" s="66">
        <f>T3</f>
        <v>0</v>
      </c>
      <c r="J33" s="66">
        <f>T4</f>
        <v>0</v>
      </c>
      <c r="K33" s="66">
        <f>T5</f>
        <v>0</v>
      </c>
      <c r="L33" s="66">
        <f>T6</f>
        <v>0</v>
      </c>
      <c r="M33" s="66">
        <f>T7</f>
        <v>0</v>
      </c>
      <c r="N33" s="30"/>
    </row>
    <row r="34" spans="1:14" ht="20.25" customHeight="1">
      <c r="A34" s="154"/>
      <c r="B34" s="87" t="s">
        <v>105</v>
      </c>
      <c r="C34" s="85"/>
      <c r="D34" s="86"/>
      <c r="E34" s="86"/>
      <c r="F34" s="86"/>
      <c r="G34" s="86"/>
      <c r="H34" s="66">
        <f>U2</f>
        <v>0</v>
      </c>
      <c r="I34" s="66">
        <f>U3</f>
        <v>0</v>
      </c>
      <c r="J34" s="66">
        <f>U4</f>
        <v>0</v>
      </c>
      <c r="K34" s="66">
        <f>U5</f>
        <v>0</v>
      </c>
      <c r="L34" s="66">
        <f>U6</f>
        <v>0</v>
      </c>
      <c r="M34" s="66">
        <f>U7</f>
        <v>0</v>
      </c>
      <c r="N34" s="30"/>
    </row>
    <row r="35" spans="1:14" ht="20.25" customHeight="1">
      <c r="A35" s="154"/>
      <c r="B35" s="87" t="s">
        <v>106</v>
      </c>
      <c r="C35" s="85"/>
      <c r="D35" s="86"/>
      <c r="E35" s="86"/>
      <c r="F35" s="86"/>
      <c r="G35" s="86"/>
      <c r="H35" s="66">
        <f>V2</f>
        <v>0</v>
      </c>
      <c r="I35" s="66">
        <f>V3</f>
        <v>0</v>
      </c>
      <c r="J35" s="66">
        <f>V4</f>
        <v>0</v>
      </c>
      <c r="K35" s="66">
        <f>V5</f>
        <v>0</v>
      </c>
      <c r="L35" s="66">
        <f>V6</f>
        <v>0</v>
      </c>
      <c r="M35" s="66">
        <f>V7</f>
        <v>0</v>
      </c>
      <c r="N35" s="30"/>
    </row>
    <row r="36" spans="1:14" ht="20.25" customHeight="1">
      <c r="A36" s="154"/>
      <c r="B36" s="87" t="s">
        <v>107</v>
      </c>
      <c r="C36" s="85"/>
      <c r="D36" s="86"/>
      <c r="E36" s="86"/>
      <c r="F36" s="86"/>
      <c r="G36" s="86"/>
      <c r="H36" s="66">
        <f>W2</f>
        <v>0</v>
      </c>
      <c r="I36" s="66">
        <f>W3</f>
        <v>0</v>
      </c>
      <c r="J36" s="66">
        <f>W4</f>
        <v>0</v>
      </c>
      <c r="K36" s="66">
        <f>W5</f>
        <v>0</v>
      </c>
      <c r="L36" s="66">
        <f>W6</f>
        <v>0</v>
      </c>
      <c r="M36" s="66">
        <f>W7</f>
        <v>0</v>
      </c>
      <c r="N36" s="30"/>
    </row>
    <row r="37" spans="1:14" ht="20.25" customHeight="1">
      <c r="A37" s="154"/>
      <c r="B37" s="87" t="s">
        <v>108</v>
      </c>
      <c r="C37" s="85"/>
      <c r="D37" s="86"/>
      <c r="E37" s="86"/>
      <c r="F37" s="86"/>
      <c r="G37" s="86"/>
      <c r="H37" s="66">
        <f>X2</f>
        <v>0</v>
      </c>
      <c r="I37" s="66">
        <f>X3</f>
        <v>0</v>
      </c>
      <c r="J37" s="66">
        <f>X4</f>
        <v>0</v>
      </c>
      <c r="K37" s="66">
        <f>X5</f>
        <v>0</v>
      </c>
      <c r="L37" s="66">
        <f>X6</f>
        <v>0</v>
      </c>
      <c r="M37" s="66">
        <f>X7</f>
        <v>0</v>
      </c>
      <c r="N37" s="30"/>
    </row>
    <row r="38" spans="1:14" ht="20.25" customHeight="1" thickBot="1">
      <c r="A38" s="155"/>
      <c r="B38" s="92" t="s">
        <v>109</v>
      </c>
      <c r="C38" s="93"/>
      <c r="D38" s="94"/>
      <c r="E38" s="94"/>
      <c r="F38" s="94"/>
      <c r="G38" s="94"/>
      <c r="H38" s="66">
        <f>Y2</f>
        <v>0</v>
      </c>
      <c r="I38" s="66">
        <f>Y3</f>
        <v>0</v>
      </c>
      <c r="J38" s="66">
        <f>Y4</f>
        <v>0</v>
      </c>
      <c r="K38" s="66">
        <f>Y5</f>
        <v>0</v>
      </c>
      <c r="L38" s="66">
        <f>Y6</f>
        <v>0</v>
      </c>
      <c r="M38" s="66">
        <f>Y7</f>
        <v>0</v>
      </c>
      <c r="N38" s="30"/>
    </row>
    <row r="39" spans="1:14" ht="20.25" customHeight="1" thickTop="1">
      <c r="A39" s="158" t="s">
        <v>118</v>
      </c>
      <c r="B39" s="69" t="s">
        <v>110</v>
      </c>
      <c r="C39" s="85"/>
      <c r="D39" s="86"/>
      <c r="E39" s="86"/>
      <c r="F39" s="86"/>
      <c r="G39" s="86"/>
      <c r="H39" s="66">
        <f>Z2</f>
        <v>0</v>
      </c>
      <c r="I39" s="66">
        <f>Z3</f>
        <v>0</v>
      </c>
      <c r="J39" s="66">
        <f>Z4</f>
        <v>0</v>
      </c>
      <c r="K39" s="66">
        <f>Z5</f>
        <v>0</v>
      </c>
      <c r="L39" s="66">
        <f>Z6</f>
        <v>0</v>
      </c>
      <c r="M39" s="66">
        <f>Z7</f>
        <v>0</v>
      </c>
      <c r="N39" s="30"/>
    </row>
    <row r="40" spans="1:14" ht="20.25" customHeight="1">
      <c r="A40" s="158"/>
      <c r="B40" s="69" t="s">
        <v>111</v>
      </c>
      <c r="C40" s="85"/>
      <c r="D40" s="86"/>
      <c r="E40" s="86"/>
      <c r="F40" s="86"/>
      <c r="G40" s="86"/>
      <c r="H40" s="66">
        <f>AA2</f>
        <v>0</v>
      </c>
      <c r="I40" s="66">
        <f>AA3</f>
        <v>0</v>
      </c>
      <c r="J40" s="66">
        <f>AA4</f>
        <v>0</v>
      </c>
      <c r="K40" s="66">
        <f>AA5</f>
        <v>0</v>
      </c>
      <c r="L40" s="66">
        <f>AA6</f>
        <v>0</v>
      </c>
      <c r="M40" s="66">
        <f>AA7</f>
        <v>0</v>
      </c>
      <c r="N40" s="30"/>
    </row>
    <row r="41" spans="1:14" ht="20.25" customHeight="1">
      <c r="A41" s="158"/>
      <c r="B41" s="69" t="s">
        <v>112</v>
      </c>
      <c r="C41" s="85"/>
      <c r="D41" s="86"/>
      <c r="E41" s="86"/>
      <c r="F41" s="86"/>
      <c r="G41" s="86"/>
      <c r="H41" s="66">
        <f>AB2</f>
        <v>0</v>
      </c>
      <c r="I41" s="66">
        <f>AB3</f>
        <v>0</v>
      </c>
      <c r="J41" s="66">
        <f>AB4</f>
        <v>0</v>
      </c>
      <c r="K41" s="66">
        <f>AB5</f>
        <v>0</v>
      </c>
      <c r="L41" s="66">
        <f>AB6</f>
        <v>0</v>
      </c>
      <c r="M41" s="66">
        <f>AB7</f>
        <v>0</v>
      </c>
      <c r="N41" s="30"/>
    </row>
    <row r="42" spans="1:14" ht="20.25" customHeight="1">
      <c r="A42" s="158"/>
      <c r="B42" s="69" t="s">
        <v>113</v>
      </c>
      <c r="C42" s="85"/>
      <c r="D42" s="86"/>
      <c r="E42" s="86"/>
      <c r="F42" s="86"/>
      <c r="G42" s="86"/>
      <c r="H42" s="66">
        <f>AC2</f>
        <v>0</v>
      </c>
      <c r="I42" s="66">
        <f>AC3</f>
        <v>0</v>
      </c>
      <c r="J42" s="66">
        <f>AC4</f>
        <v>0</v>
      </c>
      <c r="K42" s="66">
        <f>AC5</f>
        <v>0</v>
      </c>
      <c r="L42" s="66">
        <f>AC6</f>
        <v>0</v>
      </c>
      <c r="M42" s="66">
        <f>AC7</f>
        <v>0</v>
      </c>
      <c r="N42" s="30"/>
    </row>
    <row r="43" spans="1:14" ht="20.25" customHeight="1">
      <c r="A43" s="158"/>
      <c r="B43" s="69" t="s">
        <v>114</v>
      </c>
      <c r="C43" s="85"/>
      <c r="D43" s="86"/>
      <c r="E43" s="86"/>
      <c r="F43" s="86"/>
      <c r="G43" s="86"/>
      <c r="H43" s="66">
        <f>AD2</f>
        <v>0</v>
      </c>
      <c r="I43" s="66">
        <f>AD3</f>
        <v>0</v>
      </c>
      <c r="J43" s="66">
        <f>AD4</f>
        <v>0</v>
      </c>
      <c r="K43" s="66">
        <f>AD5</f>
        <v>0</v>
      </c>
      <c r="L43" s="66">
        <f>AD6</f>
        <v>0</v>
      </c>
      <c r="M43" s="66">
        <f>AD7</f>
        <v>0</v>
      </c>
      <c r="N43" s="30"/>
    </row>
    <row r="44" spans="1:14" ht="20.25" customHeight="1" thickBot="1">
      <c r="A44" s="159"/>
      <c r="B44" s="95" t="s">
        <v>115</v>
      </c>
      <c r="C44" s="93"/>
      <c r="D44" s="94"/>
      <c r="E44" s="94"/>
      <c r="F44" s="94"/>
      <c r="G44" s="94"/>
      <c r="H44" s="66">
        <f>AE2</f>
        <v>0</v>
      </c>
      <c r="I44" s="66">
        <f>AE3</f>
        <v>0</v>
      </c>
      <c r="J44" s="66">
        <f>AE4</f>
        <v>0</v>
      </c>
      <c r="K44" s="66">
        <f>AE5</f>
        <v>0</v>
      </c>
      <c r="L44" s="66">
        <f>AE6</f>
        <v>0</v>
      </c>
      <c r="M44" s="66">
        <f>AE7</f>
        <v>0</v>
      </c>
      <c r="N44" s="30"/>
    </row>
    <row r="45" spans="1:14" ht="20.25" customHeight="1" thickTop="1">
      <c r="A45" s="154" t="s">
        <v>85</v>
      </c>
      <c r="B45" s="69" t="s">
        <v>86</v>
      </c>
      <c r="C45" s="70" t="s">
        <v>62</v>
      </c>
      <c r="D45" s="71"/>
      <c r="E45" s="71"/>
      <c r="F45" s="71"/>
      <c r="G45" s="71"/>
      <c r="H45" s="66">
        <f>AF2</f>
        <v>0</v>
      </c>
      <c r="I45" s="66">
        <f>AF3</f>
        <v>0</v>
      </c>
      <c r="J45" s="66">
        <f>AF4</f>
        <v>2</v>
      </c>
      <c r="K45" s="66">
        <f>AF5</f>
        <v>4</v>
      </c>
      <c r="L45" s="66">
        <f>AF6</f>
        <v>0</v>
      </c>
      <c r="M45" s="66">
        <f>AF7</f>
        <v>0</v>
      </c>
      <c r="N45" s="30" t="str">
        <f t="shared" si="2"/>
        <v>C1</v>
      </c>
    </row>
    <row r="46" spans="1:14" ht="20.25" customHeight="1">
      <c r="A46" s="154"/>
      <c r="B46" s="69" t="s">
        <v>87</v>
      </c>
      <c r="C46" s="65" t="s">
        <v>66</v>
      </c>
      <c r="D46" s="66"/>
      <c r="E46" s="66"/>
      <c r="F46" s="66"/>
      <c r="G46" s="66"/>
      <c r="H46" s="66">
        <f>AG2</f>
        <v>6</v>
      </c>
      <c r="I46" s="66">
        <f>AG3</f>
        <v>4</v>
      </c>
      <c r="J46" s="66">
        <f>AG4</f>
        <v>4</v>
      </c>
      <c r="K46" s="66">
        <f>AG5</f>
        <v>0</v>
      </c>
      <c r="L46" s="66">
        <f>AG6</f>
        <v>0</v>
      </c>
      <c r="M46" s="66">
        <f>AG7</f>
        <v>0</v>
      </c>
      <c r="N46" s="30" t="str">
        <f t="shared" si="2"/>
        <v>C2</v>
      </c>
    </row>
    <row r="47" spans="1:14" ht="20.25" customHeight="1">
      <c r="A47" s="154"/>
      <c r="B47" s="69" t="s">
        <v>88</v>
      </c>
      <c r="C47" s="65" t="s">
        <v>74</v>
      </c>
      <c r="D47" s="66"/>
      <c r="E47" s="66"/>
      <c r="F47" s="66"/>
      <c r="G47" s="66"/>
      <c r="H47" s="66">
        <f>AH2</f>
        <v>0</v>
      </c>
      <c r="I47" s="66">
        <f>AH3</f>
        <v>0</v>
      </c>
      <c r="J47" s="66">
        <f>AH4</f>
        <v>4</v>
      </c>
      <c r="K47" s="66">
        <f>AH5</f>
        <v>8</v>
      </c>
      <c r="L47" s="66">
        <f>AH6</f>
        <v>0</v>
      </c>
      <c r="M47" s="66">
        <f>AH7</f>
        <v>0</v>
      </c>
      <c r="N47" s="30" t="str">
        <f t="shared" si="2"/>
        <v>C3</v>
      </c>
    </row>
    <row r="48" spans="1:14" ht="20.25" customHeight="1" thickBot="1">
      <c r="A48" s="155"/>
      <c r="B48" s="69" t="s">
        <v>89</v>
      </c>
      <c r="C48" s="67" t="s">
        <v>74</v>
      </c>
      <c r="D48" s="68"/>
      <c r="E48" s="68"/>
      <c r="F48" s="68"/>
      <c r="G48" s="68"/>
      <c r="H48" s="66">
        <f>AI2</f>
        <v>0</v>
      </c>
      <c r="I48" s="66">
        <f>AI3</f>
        <v>0</v>
      </c>
      <c r="J48" s="66">
        <f>AI4</f>
        <v>4</v>
      </c>
      <c r="K48" s="66">
        <f>AI5</f>
        <v>5</v>
      </c>
      <c r="L48" s="66">
        <f>AI6</f>
        <v>0</v>
      </c>
      <c r="M48" s="66">
        <f>AI7</f>
        <v>0</v>
      </c>
      <c r="N48" s="30" t="str">
        <f t="shared" si="2"/>
        <v>C4</v>
      </c>
    </row>
    <row r="49" spans="1:13" ht="20.25" customHeight="1" thickTop="1" thickBot="1">
      <c r="A49" s="74" t="s">
        <v>90</v>
      </c>
      <c r="B49" s="75"/>
      <c r="C49" s="76" t="s">
        <v>74</v>
      </c>
      <c r="D49" s="77"/>
      <c r="E49" s="77"/>
      <c r="F49" s="77"/>
      <c r="G49" s="77"/>
      <c r="H49" s="77">
        <f>AJ2</f>
        <v>0</v>
      </c>
      <c r="I49" s="77">
        <f>AJ3</f>
        <v>0</v>
      </c>
      <c r="J49" s="77">
        <f>AJ4</f>
        <v>0</v>
      </c>
      <c r="K49" s="77">
        <f>AJ5</f>
        <v>0</v>
      </c>
      <c r="L49" s="77">
        <f>AJ6</f>
        <v>0</v>
      </c>
      <c r="M49" s="77">
        <f>AJ7</f>
        <v>0</v>
      </c>
    </row>
    <row r="50" spans="1:13" ht="20.25" customHeight="1" thickTop="1" thickBot="1">
      <c r="A50" s="98" t="s">
        <v>91</v>
      </c>
      <c r="B50" s="103" t="s">
        <v>68</v>
      </c>
      <c r="C50" s="104" t="s">
        <v>61</v>
      </c>
      <c r="D50" s="97"/>
      <c r="E50" s="97"/>
      <c r="F50" s="97"/>
      <c r="G50" s="97"/>
      <c r="H50" s="96">
        <f>AK2</f>
        <v>12</v>
      </c>
      <c r="I50" s="96">
        <f>AK3</f>
        <v>0</v>
      </c>
      <c r="J50" s="96">
        <f>AK4</f>
        <v>0</v>
      </c>
      <c r="K50" s="96">
        <f>AK5</f>
        <v>0</v>
      </c>
      <c r="L50" s="96">
        <f>AK6</f>
        <v>0</v>
      </c>
      <c r="M50" s="96">
        <f>AK7</f>
        <v>0</v>
      </c>
    </row>
    <row r="51" spans="1:13" ht="20.25" customHeight="1" thickTop="1">
      <c r="A51" s="102" t="s">
        <v>92</v>
      </c>
      <c r="B51" s="100" t="s">
        <v>93</v>
      </c>
      <c r="C51" s="101"/>
      <c r="D51" s="99"/>
      <c r="E51" s="99"/>
      <c r="F51" s="99"/>
      <c r="G51" s="99"/>
      <c r="H51" s="99"/>
      <c r="I51" s="99"/>
      <c r="J51" s="99"/>
      <c r="K51" s="99"/>
      <c r="L51" s="99"/>
      <c r="M51" s="99"/>
    </row>
  </sheetData>
  <mergeCells count="20">
    <mergeCell ref="A11:M11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K13:K14"/>
    <mergeCell ref="L13:L14"/>
    <mergeCell ref="M13:M14"/>
    <mergeCell ref="A45:A48"/>
    <mergeCell ref="J13:J14"/>
    <mergeCell ref="A15:A20"/>
    <mergeCell ref="A21:A26"/>
    <mergeCell ref="A27:A32"/>
    <mergeCell ref="A33:A38"/>
    <mergeCell ref="A39:A44"/>
  </mergeCells>
  <phoneticPr fontId="26" type="noConversion"/>
  <conditionalFormatting sqref="A2:A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A598-0CB9-44E0-A4C3-EBA8F8FB8BCB}">
  <sheetPr codeName="Hoja15">
    <tabColor theme="9" tint="-0.249977111117893"/>
  </sheetPr>
  <dimension ref="A1:Z59"/>
  <sheetViews>
    <sheetView tabSelected="1" view="pageLayout" topLeftCell="A49" zoomScaleNormal="90" zoomScaleSheetLayoutView="100" workbookViewId="0">
      <selection activeCell="C23" sqref="C23"/>
    </sheetView>
  </sheetViews>
  <sheetFormatPr baseColWidth="10" defaultRowHeight="15"/>
  <cols>
    <col min="1" max="1" width="10.5703125" customWidth="1"/>
    <col min="2" max="2" width="5.7109375" customWidth="1"/>
    <col min="3" max="3" width="16.5703125" customWidth="1"/>
    <col min="4" max="13" width="8" customWidth="1"/>
    <col min="14" max="14" width="9.7109375" customWidth="1"/>
    <col min="15" max="21" width="6" customWidth="1"/>
  </cols>
  <sheetData>
    <row r="1" spans="1:14" ht="11.25" customHeight="1">
      <c r="A1" s="60" t="s">
        <v>42</v>
      </c>
      <c r="B1" s="176" t="s">
        <v>43</v>
      </c>
      <c r="C1" s="177"/>
      <c r="D1" s="180" t="s">
        <v>0</v>
      </c>
      <c r="E1" s="180"/>
      <c r="F1" s="180"/>
      <c r="G1" s="180"/>
      <c r="H1" s="180"/>
      <c r="I1" s="180"/>
      <c r="J1" s="181"/>
      <c r="K1" s="181"/>
      <c r="L1" s="181"/>
      <c r="M1" s="181"/>
      <c r="N1" s="58"/>
    </row>
    <row r="2" spans="1:14" ht="11.25" customHeight="1">
      <c r="A2" s="60" t="s">
        <v>1</v>
      </c>
      <c r="B2" s="182" t="s">
        <v>44</v>
      </c>
      <c r="C2" s="177"/>
      <c r="D2" s="180"/>
      <c r="E2" s="180"/>
      <c r="F2" s="180"/>
      <c r="G2" s="180"/>
      <c r="H2" s="180"/>
      <c r="I2" s="180"/>
      <c r="J2" s="181"/>
      <c r="K2" s="181"/>
      <c r="L2" s="181"/>
      <c r="M2" s="181"/>
      <c r="N2" s="58"/>
    </row>
    <row r="3" spans="1:14" ht="11.25" customHeight="1">
      <c r="A3" s="60" t="s">
        <v>2</v>
      </c>
      <c r="B3" s="183">
        <v>44701</v>
      </c>
      <c r="C3" s="177"/>
      <c r="D3" s="184" t="s">
        <v>45</v>
      </c>
      <c r="E3" s="184"/>
      <c r="F3" s="184"/>
      <c r="G3" s="184"/>
      <c r="H3" s="184"/>
      <c r="I3" s="184"/>
      <c r="J3" s="181"/>
      <c r="K3" s="181"/>
      <c r="L3" s="181"/>
      <c r="M3" s="181"/>
      <c r="N3" s="58"/>
    </row>
    <row r="4" spans="1:14" ht="11.25" customHeight="1">
      <c r="A4" s="60" t="s">
        <v>46</v>
      </c>
      <c r="B4" s="176" t="s">
        <v>47</v>
      </c>
      <c r="C4" s="177"/>
      <c r="D4" s="184"/>
      <c r="E4" s="184"/>
      <c r="F4" s="184"/>
      <c r="G4" s="184"/>
      <c r="H4" s="184"/>
      <c r="I4" s="184"/>
      <c r="J4" s="181"/>
      <c r="K4" s="181"/>
      <c r="L4" s="181"/>
      <c r="M4" s="181"/>
      <c r="N4" s="58"/>
    </row>
    <row r="5" spans="1:14" ht="11.25" customHeight="1">
      <c r="A5" s="131" t="s">
        <v>48</v>
      </c>
      <c r="B5" s="176" t="s">
        <v>3</v>
      </c>
      <c r="C5" s="177"/>
      <c r="D5" s="184"/>
      <c r="E5" s="184"/>
      <c r="F5" s="184"/>
      <c r="G5" s="184"/>
      <c r="H5" s="184"/>
      <c r="I5" s="184"/>
      <c r="J5" s="132" t="s">
        <v>49</v>
      </c>
      <c r="K5" s="185" t="s">
        <v>125</v>
      </c>
      <c r="L5" s="185"/>
      <c r="M5" s="185"/>
      <c r="N5" s="58"/>
    </row>
    <row r="6" spans="1:14" ht="11.25" customHeight="1">
      <c r="A6" s="60" t="s">
        <v>50</v>
      </c>
      <c r="B6" s="176" t="s">
        <v>47</v>
      </c>
      <c r="C6" s="177"/>
      <c r="D6" s="178" t="s">
        <v>4</v>
      </c>
      <c r="E6" s="178"/>
      <c r="F6" s="178"/>
      <c r="G6" s="178"/>
      <c r="H6" s="178"/>
      <c r="I6" s="178"/>
      <c r="J6" s="179" t="s">
        <v>5</v>
      </c>
      <c r="K6" s="179"/>
      <c r="L6" s="179"/>
      <c r="M6" s="179"/>
      <c r="N6" s="58"/>
    </row>
    <row r="7" spans="1:14" ht="11.25" customHeight="1">
      <c r="A7" s="60" t="s">
        <v>51</v>
      </c>
      <c r="B7" s="176" t="s">
        <v>52</v>
      </c>
      <c r="C7" s="177"/>
      <c r="D7" s="178"/>
      <c r="E7" s="178"/>
      <c r="F7" s="178"/>
      <c r="G7" s="178"/>
      <c r="H7" s="178"/>
      <c r="I7" s="178"/>
      <c r="J7" s="179"/>
      <c r="K7" s="179"/>
      <c r="L7" s="179"/>
      <c r="M7" s="179"/>
      <c r="N7" s="58"/>
    </row>
    <row r="8" spans="1:14" ht="5.25" customHeight="1">
      <c r="A8" s="60"/>
      <c r="B8" s="60"/>
      <c r="C8" s="58"/>
      <c r="D8" s="61"/>
      <c r="E8" s="61"/>
      <c r="F8" s="61"/>
      <c r="G8" s="61"/>
      <c r="H8" s="61"/>
      <c r="I8" s="61"/>
      <c r="J8" s="62"/>
      <c r="K8" s="62"/>
      <c r="L8" s="62"/>
      <c r="M8" s="62"/>
      <c r="N8" s="58"/>
    </row>
    <row r="9" spans="1:14" ht="15.75">
      <c r="A9" s="162" t="s">
        <v>53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58"/>
    </row>
    <row r="10" spans="1:14" ht="2.25" customHeight="1"/>
    <row r="11" spans="1:14" ht="68.25" customHeight="1">
      <c r="A11" s="121" t="s">
        <v>54</v>
      </c>
      <c r="B11" s="121"/>
      <c r="C11" s="121" t="s">
        <v>55</v>
      </c>
      <c r="D11" s="122" t="s">
        <v>56</v>
      </c>
      <c r="E11" s="122" t="s">
        <v>57</v>
      </c>
      <c r="F11" s="122" t="s">
        <v>58</v>
      </c>
      <c r="G11" s="122" t="s">
        <v>59</v>
      </c>
      <c r="H11" s="122" t="s">
        <v>60</v>
      </c>
      <c r="I11" s="122" t="s">
        <v>21</v>
      </c>
      <c r="J11" s="122" t="s">
        <v>22</v>
      </c>
      <c r="K11" s="122" t="s">
        <v>23</v>
      </c>
      <c r="L11" s="122" t="s">
        <v>24</v>
      </c>
      <c r="M11" s="122" t="s">
        <v>25</v>
      </c>
    </row>
    <row r="12" spans="1:14" ht="19.5" customHeight="1">
      <c r="A12" s="175" t="s">
        <v>69</v>
      </c>
      <c r="B12" s="128" t="s">
        <v>70</v>
      </c>
      <c r="C12" s="128" t="s">
        <v>65</v>
      </c>
      <c r="D12" s="127"/>
      <c r="E12" s="127"/>
      <c r="F12" s="127"/>
      <c r="G12" s="127"/>
      <c r="H12" s="127">
        <f>Total!H15*25</f>
        <v>0</v>
      </c>
      <c r="I12" s="127">
        <f>Total!I15*25</f>
        <v>0</v>
      </c>
      <c r="J12" s="127">
        <f>Total!J15*25</f>
        <v>200</v>
      </c>
      <c r="K12" s="127">
        <f>Total!K15*25</f>
        <v>800</v>
      </c>
      <c r="L12" s="127">
        <f>Total!L15*25</f>
        <v>0</v>
      </c>
      <c r="M12" s="127">
        <f>Total!M15*25</f>
        <v>250</v>
      </c>
      <c r="N12" s="30" t="str">
        <f>+B12</f>
        <v>SO1</v>
      </c>
    </row>
    <row r="13" spans="1:14" ht="19.5" customHeight="1">
      <c r="A13" s="175"/>
      <c r="B13" s="128" t="s">
        <v>71</v>
      </c>
      <c r="C13" s="128" t="s">
        <v>65</v>
      </c>
      <c r="D13" s="127"/>
      <c r="E13" s="127"/>
      <c r="F13" s="127"/>
      <c r="G13" s="127"/>
      <c r="H13" s="127">
        <f>Total!H16*25</f>
        <v>0</v>
      </c>
      <c r="I13" s="127">
        <f>Total!I16*25</f>
        <v>0</v>
      </c>
      <c r="J13" s="127">
        <f>Total!J16*25</f>
        <v>325</v>
      </c>
      <c r="K13" s="127">
        <f>Total!K16*25</f>
        <v>300</v>
      </c>
      <c r="L13" s="127">
        <f>Total!L16*25</f>
        <v>0</v>
      </c>
      <c r="M13" s="127">
        <f>Total!M16*25</f>
        <v>0</v>
      </c>
      <c r="N13" s="30" t="str">
        <f t="shared" ref="N13:N45" si="0">+B13</f>
        <v>SO2</v>
      </c>
    </row>
    <row r="14" spans="1:14" ht="19.5" customHeight="1">
      <c r="A14" s="175"/>
      <c r="B14" s="128" t="s">
        <v>72</v>
      </c>
      <c r="C14" s="128" t="s">
        <v>63</v>
      </c>
      <c r="D14" s="127"/>
      <c r="E14" s="127"/>
      <c r="F14" s="127"/>
      <c r="G14" s="127"/>
      <c r="H14" s="127">
        <f>Total!H17*25</f>
        <v>0</v>
      </c>
      <c r="I14" s="127">
        <f>Total!I17*25</f>
        <v>0</v>
      </c>
      <c r="J14" s="127">
        <f>Total!J17*25</f>
        <v>300</v>
      </c>
      <c r="K14" s="127">
        <f>Total!K17*25</f>
        <v>150</v>
      </c>
      <c r="L14" s="127">
        <f>Total!L17*25</f>
        <v>0</v>
      </c>
      <c r="M14" s="127">
        <f>Total!M17*25</f>
        <v>0</v>
      </c>
      <c r="N14" s="30" t="str">
        <f t="shared" si="0"/>
        <v>SO3</v>
      </c>
    </row>
    <row r="15" spans="1:14" ht="19.5" customHeight="1">
      <c r="A15" s="175"/>
      <c r="B15" s="128" t="s">
        <v>73</v>
      </c>
      <c r="C15" s="128" t="s">
        <v>74</v>
      </c>
      <c r="D15" s="127"/>
      <c r="E15" s="127"/>
      <c r="F15" s="127"/>
      <c r="G15" s="127"/>
      <c r="H15" s="127">
        <f>Total!H18*25</f>
        <v>0</v>
      </c>
      <c r="I15" s="127">
        <f>Total!I18*25</f>
        <v>0</v>
      </c>
      <c r="J15" s="127">
        <f>Total!J18*25</f>
        <v>125</v>
      </c>
      <c r="K15" s="127">
        <f>Total!K18*25</f>
        <v>575</v>
      </c>
      <c r="L15" s="127">
        <f>Total!L18*25</f>
        <v>0</v>
      </c>
      <c r="M15" s="127">
        <f>Total!M18*25</f>
        <v>100</v>
      </c>
      <c r="N15" s="30" t="str">
        <f t="shared" si="0"/>
        <v>SO4</v>
      </c>
    </row>
    <row r="16" spans="1:14" ht="19.5" customHeight="1">
      <c r="A16" s="175"/>
      <c r="B16" s="128" t="s">
        <v>75</v>
      </c>
      <c r="C16" s="128" t="s">
        <v>74</v>
      </c>
      <c r="D16" s="127"/>
      <c r="E16" s="127"/>
      <c r="F16" s="127"/>
      <c r="G16" s="127"/>
      <c r="H16" s="127">
        <f>Total!H19*25</f>
        <v>0</v>
      </c>
      <c r="I16" s="127">
        <f>Total!I19*25</f>
        <v>0</v>
      </c>
      <c r="J16" s="127">
        <f>Total!J19*25</f>
        <v>225</v>
      </c>
      <c r="K16" s="127">
        <f>Total!K19*25</f>
        <v>475</v>
      </c>
      <c r="L16" s="127">
        <f>Total!L19*25</f>
        <v>0</v>
      </c>
      <c r="M16" s="127">
        <f>Total!M19*25</f>
        <v>200</v>
      </c>
      <c r="N16" s="30" t="str">
        <f t="shared" si="0"/>
        <v>SO5</v>
      </c>
    </row>
    <row r="17" spans="1:14" ht="19.5" customHeight="1">
      <c r="A17" s="175"/>
      <c r="B17" s="128" t="s">
        <v>76</v>
      </c>
      <c r="C17" s="128" t="s">
        <v>63</v>
      </c>
      <c r="D17" s="127"/>
      <c r="E17" s="127"/>
      <c r="F17" s="127"/>
      <c r="G17" s="127"/>
      <c r="H17" s="127">
        <f>Total!H20*25</f>
        <v>0</v>
      </c>
      <c r="I17" s="127">
        <f>Total!I20*25</f>
        <v>0</v>
      </c>
      <c r="J17" s="127">
        <f>Total!J20*25</f>
        <v>225</v>
      </c>
      <c r="K17" s="127">
        <f>Total!K20*25</f>
        <v>500</v>
      </c>
      <c r="L17" s="127">
        <f>Total!L20*25</f>
        <v>0</v>
      </c>
      <c r="M17" s="127">
        <f>Total!M20*25</f>
        <v>200</v>
      </c>
      <c r="N17" s="30" t="str">
        <f t="shared" si="0"/>
        <v>SO6</v>
      </c>
    </row>
    <row r="18" spans="1:14" ht="19.5" customHeight="1">
      <c r="A18" s="175" t="s">
        <v>77</v>
      </c>
      <c r="B18" s="128" t="s">
        <v>78</v>
      </c>
      <c r="C18" s="128" t="s">
        <v>67</v>
      </c>
      <c r="D18" s="127"/>
      <c r="E18" s="127"/>
      <c r="F18" s="127"/>
      <c r="G18" s="127"/>
      <c r="H18" s="127">
        <f>Total!H21*25</f>
        <v>0</v>
      </c>
      <c r="I18" s="127">
        <f>Total!I21*25</f>
        <v>0</v>
      </c>
      <c r="J18" s="127">
        <f>Total!J21*25</f>
        <v>50</v>
      </c>
      <c r="K18" s="127">
        <f>Total!K21*25</f>
        <v>0</v>
      </c>
      <c r="L18" s="127">
        <f>Total!L21*25</f>
        <v>0</v>
      </c>
      <c r="M18" s="127">
        <f>Total!M21*25</f>
        <v>0</v>
      </c>
      <c r="N18" s="30"/>
    </row>
    <row r="19" spans="1:14" ht="19.5" customHeight="1">
      <c r="A19" s="175"/>
      <c r="B19" s="128" t="s">
        <v>79</v>
      </c>
      <c r="C19" s="129" t="s">
        <v>64</v>
      </c>
      <c r="D19" s="127"/>
      <c r="E19" s="127"/>
      <c r="F19" s="127"/>
      <c r="G19" s="127"/>
      <c r="H19" s="127">
        <f>Total!H22*25</f>
        <v>0</v>
      </c>
      <c r="I19" s="127">
        <f>Total!I22*25</f>
        <v>0</v>
      </c>
      <c r="J19" s="127">
        <f>Total!J22*25</f>
        <v>325</v>
      </c>
      <c r="K19" s="127">
        <f>Total!K22*25</f>
        <v>300</v>
      </c>
      <c r="L19" s="127">
        <f>Total!L22*25</f>
        <v>0</v>
      </c>
      <c r="M19" s="127">
        <f>Total!M22*25</f>
        <v>0</v>
      </c>
      <c r="N19" s="30"/>
    </row>
    <row r="20" spans="1:14" ht="19.5" customHeight="1">
      <c r="A20" s="175"/>
      <c r="B20" s="128" t="s">
        <v>80</v>
      </c>
      <c r="C20" s="128" t="s">
        <v>63</v>
      </c>
      <c r="D20" s="127"/>
      <c r="E20" s="127"/>
      <c r="F20" s="127"/>
      <c r="G20" s="127"/>
      <c r="H20" s="127">
        <f>Total!H23*25</f>
        <v>0</v>
      </c>
      <c r="I20" s="127">
        <f>Total!I23*25</f>
        <v>0</v>
      </c>
      <c r="J20" s="127">
        <f>Total!J23*25</f>
        <v>0</v>
      </c>
      <c r="K20" s="127">
        <f>Total!K23*25</f>
        <v>0</v>
      </c>
      <c r="L20" s="127">
        <f>Total!L23*25</f>
        <v>0</v>
      </c>
      <c r="M20" s="127">
        <f>Total!M23*25</f>
        <v>0</v>
      </c>
      <c r="N20" s="30"/>
    </row>
    <row r="21" spans="1:14" ht="19.5" customHeight="1">
      <c r="A21" s="175"/>
      <c r="B21" s="128" t="s">
        <v>81</v>
      </c>
      <c r="C21" s="128" t="s">
        <v>63</v>
      </c>
      <c r="D21" s="127"/>
      <c r="E21" s="127"/>
      <c r="F21" s="127"/>
      <c r="G21" s="127"/>
      <c r="H21" s="127">
        <f>Total!H24*25</f>
        <v>0</v>
      </c>
      <c r="I21" s="127">
        <f>Total!I24*25</f>
        <v>0</v>
      </c>
      <c r="J21" s="127">
        <f>Total!J24*25</f>
        <v>425</v>
      </c>
      <c r="K21" s="127">
        <f>Total!K24*25</f>
        <v>150</v>
      </c>
      <c r="L21" s="127">
        <f>Total!L24*25</f>
        <v>0</v>
      </c>
      <c r="M21" s="127">
        <f>Total!M24*25</f>
        <v>0</v>
      </c>
      <c r="N21" s="30"/>
    </row>
    <row r="22" spans="1:14" ht="19.5" customHeight="1">
      <c r="A22" s="175"/>
      <c r="B22" s="128" t="s">
        <v>82</v>
      </c>
      <c r="C22" s="130" t="s">
        <v>63</v>
      </c>
      <c r="D22" s="127"/>
      <c r="E22" s="127"/>
      <c r="F22" s="127"/>
      <c r="G22" s="127"/>
      <c r="H22" s="127">
        <f>Total!H25*25</f>
        <v>0</v>
      </c>
      <c r="I22" s="127">
        <f>Total!I25*25</f>
        <v>0</v>
      </c>
      <c r="J22" s="127">
        <f>Total!J25*25</f>
        <v>275</v>
      </c>
      <c r="K22" s="127">
        <f>Total!K25*25</f>
        <v>300</v>
      </c>
      <c r="L22" s="127">
        <f>Total!L25*25</f>
        <v>0</v>
      </c>
      <c r="M22" s="127">
        <f>Total!M25*25</f>
        <v>0</v>
      </c>
      <c r="N22" s="30"/>
    </row>
    <row r="23" spans="1:14" ht="19.5" customHeight="1">
      <c r="A23" s="175"/>
      <c r="B23" s="128" t="s">
        <v>83</v>
      </c>
      <c r="C23" s="128" t="s">
        <v>84</v>
      </c>
      <c r="D23" s="127"/>
      <c r="E23" s="127"/>
      <c r="F23" s="127"/>
      <c r="G23" s="127"/>
      <c r="H23" s="127">
        <f>Total!H26*25</f>
        <v>0</v>
      </c>
      <c r="I23" s="127">
        <f>Total!I26*25</f>
        <v>0</v>
      </c>
      <c r="J23" s="127">
        <f>Total!J26*25</f>
        <v>150</v>
      </c>
      <c r="K23" s="127">
        <f>Total!K26*25</f>
        <v>300</v>
      </c>
      <c r="L23" s="127">
        <f>Total!L26*25</f>
        <v>0</v>
      </c>
      <c r="M23" s="127">
        <f>Total!M26*25</f>
        <v>0</v>
      </c>
      <c r="N23" s="30"/>
    </row>
    <row r="24" spans="1:14" ht="19.5" customHeight="1">
      <c r="A24" s="175" t="s">
        <v>116</v>
      </c>
      <c r="B24" s="128" t="s">
        <v>98</v>
      </c>
      <c r="C24" s="128" t="s">
        <v>67</v>
      </c>
      <c r="D24" s="127"/>
      <c r="E24" s="127"/>
      <c r="F24" s="127"/>
      <c r="G24" s="127"/>
      <c r="H24" s="127">
        <f>Total!H27*25</f>
        <v>0</v>
      </c>
      <c r="I24" s="127">
        <f>Total!I27*25</f>
        <v>100</v>
      </c>
      <c r="J24" s="127">
        <f>Total!J27*25</f>
        <v>350</v>
      </c>
      <c r="K24" s="127">
        <f>Total!K27*25</f>
        <v>0</v>
      </c>
      <c r="L24" s="127">
        <f>Total!L27*25</f>
        <v>0</v>
      </c>
      <c r="M24" s="127">
        <f>Total!M27*25</f>
        <v>0</v>
      </c>
      <c r="N24" s="30"/>
    </row>
    <row r="25" spans="1:14" ht="19.5" customHeight="1">
      <c r="A25" s="175"/>
      <c r="B25" s="128" t="s">
        <v>99</v>
      </c>
      <c r="C25" s="128" t="s">
        <v>66</v>
      </c>
      <c r="D25" s="127"/>
      <c r="E25" s="127"/>
      <c r="F25" s="127"/>
      <c r="G25" s="127"/>
      <c r="H25" s="127">
        <f>Total!H28*25</f>
        <v>0</v>
      </c>
      <c r="I25" s="127">
        <f>Total!I28*25</f>
        <v>250</v>
      </c>
      <c r="J25" s="127">
        <f>Total!J28*25</f>
        <v>0</v>
      </c>
      <c r="K25" s="127">
        <f>Total!K28*25</f>
        <v>0</v>
      </c>
      <c r="L25" s="127">
        <f>Total!L28*25</f>
        <v>0</v>
      </c>
      <c r="M25" s="127">
        <f>Total!M28*25</f>
        <v>0</v>
      </c>
      <c r="N25" s="30"/>
    </row>
    <row r="26" spans="1:14" ht="19.5" customHeight="1">
      <c r="A26" s="175"/>
      <c r="B26" s="128" t="s">
        <v>100</v>
      </c>
      <c r="C26" s="128" t="s">
        <v>66</v>
      </c>
      <c r="D26" s="127"/>
      <c r="E26" s="127"/>
      <c r="F26" s="127"/>
      <c r="G26" s="127"/>
      <c r="H26" s="127">
        <f>Total!H29*25</f>
        <v>0</v>
      </c>
      <c r="I26" s="127">
        <f>Total!I29*25</f>
        <v>0</v>
      </c>
      <c r="J26" s="127">
        <f>Total!J29*25</f>
        <v>0</v>
      </c>
      <c r="K26" s="127">
        <f>Total!K29*25</f>
        <v>0</v>
      </c>
      <c r="L26" s="127">
        <f>Total!L29*25</f>
        <v>0</v>
      </c>
      <c r="M26" s="127">
        <f>Total!M29*25</f>
        <v>0</v>
      </c>
      <c r="N26" s="30"/>
    </row>
    <row r="27" spans="1:14" ht="19.5" customHeight="1">
      <c r="A27" s="175"/>
      <c r="B27" s="128" t="s">
        <v>101</v>
      </c>
      <c r="C27" s="128"/>
      <c r="D27" s="127"/>
      <c r="E27" s="127"/>
      <c r="F27" s="127"/>
      <c r="G27" s="127"/>
      <c r="H27" s="127">
        <f>Total!H30*25</f>
        <v>0</v>
      </c>
      <c r="I27" s="127">
        <f>Total!I30*25</f>
        <v>0</v>
      </c>
      <c r="J27" s="127">
        <f>Total!J30*25</f>
        <v>0</v>
      </c>
      <c r="K27" s="127">
        <f>Total!K30*25</f>
        <v>0</v>
      </c>
      <c r="L27" s="127">
        <f>Total!L30*25</f>
        <v>0</v>
      </c>
      <c r="M27" s="127">
        <f>Total!M30*25</f>
        <v>0</v>
      </c>
      <c r="N27" s="30"/>
    </row>
    <row r="28" spans="1:14" ht="19.5" customHeight="1">
      <c r="A28" s="175"/>
      <c r="B28" s="128" t="s">
        <v>102</v>
      </c>
      <c r="C28" s="128" t="s">
        <v>84</v>
      </c>
      <c r="D28" s="127"/>
      <c r="E28" s="127"/>
      <c r="F28" s="127"/>
      <c r="G28" s="127"/>
      <c r="H28" s="127">
        <f>Total!H31*25</f>
        <v>0</v>
      </c>
      <c r="I28" s="127">
        <f>Total!I31*25</f>
        <v>100</v>
      </c>
      <c r="J28" s="127">
        <f>Total!J31*25</f>
        <v>0</v>
      </c>
      <c r="K28" s="127">
        <f>Total!K31*25</f>
        <v>0</v>
      </c>
      <c r="L28" s="127">
        <f>Total!L31*25</f>
        <v>0</v>
      </c>
      <c r="M28" s="127">
        <f>Total!M31*25</f>
        <v>0</v>
      </c>
      <c r="N28" s="30"/>
    </row>
    <row r="29" spans="1:14" ht="19.5" customHeight="1">
      <c r="A29" s="175"/>
      <c r="B29" s="128" t="s">
        <v>103</v>
      </c>
      <c r="C29" s="128" t="s">
        <v>67</v>
      </c>
      <c r="D29" s="127"/>
      <c r="E29" s="127"/>
      <c r="F29" s="127"/>
      <c r="G29" s="127"/>
      <c r="H29" s="127">
        <f>Total!H32*25</f>
        <v>0</v>
      </c>
      <c r="I29" s="127">
        <f>Total!I32*25</f>
        <v>100</v>
      </c>
      <c r="J29" s="127">
        <f>Total!J32*25</f>
        <v>350</v>
      </c>
      <c r="K29" s="127">
        <f>Total!K32*25</f>
        <v>0</v>
      </c>
      <c r="L29" s="127">
        <f>Total!L32*25</f>
        <v>0</v>
      </c>
      <c r="M29" s="127">
        <f>Total!M32*25</f>
        <v>0</v>
      </c>
      <c r="N29" s="30"/>
    </row>
    <row r="30" spans="1:14" ht="19.5" customHeight="1">
      <c r="A30" s="175" t="s">
        <v>117</v>
      </c>
      <c r="B30" s="128" t="s">
        <v>104</v>
      </c>
      <c r="C30" s="128"/>
      <c r="D30" s="127"/>
      <c r="E30" s="127"/>
      <c r="F30" s="127"/>
      <c r="G30" s="127"/>
      <c r="H30" s="127">
        <f>Total!H33*25</f>
        <v>0</v>
      </c>
      <c r="I30" s="127">
        <f>Total!I33*25</f>
        <v>0</v>
      </c>
      <c r="J30" s="127">
        <f>Total!J33*25</f>
        <v>0</v>
      </c>
      <c r="K30" s="127">
        <f>Total!K33*25</f>
        <v>0</v>
      </c>
      <c r="L30" s="127">
        <f>Total!L33*25</f>
        <v>0</v>
      </c>
      <c r="M30" s="127">
        <f>Total!M33*25</f>
        <v>0</v>
      </c>
      <c r="N30" s="30"/>
    </row>
    <row r="31" spans="1:14" ht="19.5" customHeight="1">
      <c r="A31" s="175"/>
      <c r="B31" s="128" t="s">
        <v>105</v>
      </c>
      <c r="C31" s="128"/>
      <c r="D31" s="127"/>
      <c r="E31" s="127"/>
      <c r="F31" s="127"/>
      <c r="G31" s="127"/>
      <c r="H31" s="127">
        <f>Total!H34*25</f>
        <v>0</v>
      </c>
      <c r="I31" s="127">
        <f>Total!I34*25</f>
        <v>0</v>
      </c>
      <c r="J31" s="127">
        <f>Total!J34*25</f>
        <v>0</v>
      </c>
      <c r="K31" s="127">
        <f>Total!K34*25</f>
        <v>0</v>
      </c>
      <c r="L31" s="127">
        <f>Total!L34*25</f>
        <v>0</v>
      </c>
      <c r="M31" s="127">
        <f>Total!M34*25</f>
        <v>0</v>
      </c>
      <c r="N31" s="30"/>
    </row>
    <row r="32" spans="1:14" ht="19.5" customHeight="1">
      <c r="A32" s="175"/>
      <c r="B32" s="128" t="s">
        <v>106</v>
      </c>
      <c r="C32" s="128"/>
      <c r="D32" s="127"/>
      <c r="E32" s="127"/>
      <c r="F32" s="127"/>
      <c r="G32" s="127"/>
      <c r="H32" s="127">
        <f>Total!H35*25</f>
        <v>0</v>
      </c>
      <c r="I32" s="127">
        <f>Total!I35*25</f>
        <v>0</v>
      </c>
      <c r="J32" s="127">
        <f>Total!J35*25</f>
        <v>0</v>
      </c>
      <c r="K32" s="127">
        <f>Total!K35*25</f>
        <v>0</v>
      </c>
      <c r="L32" s="127">
        <f>Total!L35*25</f>
        <v>0</v>
      </c>
      <c r="M32" s="127">
        <f>Total!M35*25</f>
        <v>0</v>
      </c>
      <c r="N32" s="30"/>
    </row>
    <row r="33" spans="1:14" ht="19.5" customHeight="1">
      <c r="A33" s="175"/>
      <c r="B33" s="128" t="s">
        <v>107</v>
      </c>
      <c r="C33" s="128"/>
      <c r="D33" s="127"/>
      <c r="E33" s="127"/>
      <c r="F33" s="127"/>
      <c r="G33" s="127"/>
      <c r="H33" s="127">
        <f>Total!H36*25</f>
        <v>0</v>
      </c>
      <c r="I33" s="127">
        <f>Total!I36*25</f>
        <v>0</v>
      </c>
      <c r="J33" s="127">
        <f>Total!J36*25</f>
        <v>0</v>
      </c>
      <c r="K33" s="127">
        <f>Total!K36*25</f>
        <v>0</v>
      </c>
      <c r="L33" s="127">
        <f>Total!L36*25</f>
        <v>0</v>
      </c>
      <c r="M33" s="127">
        <f>Total!M36*25</f>
        <v>0</v>
      </c>
      <c r="N33" s="30"/>
    </row>
    <row r="34" spans="1:14" ht="19.5" customHeight="1">
      <c r="A34" s="175"/>
      <c r="B34" s="128" t="s">
        <v>108</v>
      </c>
      <c r="C34" s="128"/>
      <c r="D34" s="127"/>
      <c r="E34" s="127"/>
      <c r="F34" s="127"/>
      <c r="G34" s="127"/>
      <c r="H34" s="127">
        <f>Total!H37*25</f>
        <v>0</v>
      </c>
      <c r="I34" s="127">
        <f>Total!I37*25</f>
        <v>0</v>
      </c>
      <c r="J34" s="127">
        <f>Total!J37*25</f>
        <v>0</v>
      </c>
      <c r="K34" s="127">
        <f>Total!K37*25</f>
        <v>0</v>
      </c>
      <c r="L34" s="127">
        <f>Total!L37*25</f>
        <v>0</v>
      </c>
      <c r="M34" s="127">
        <f>Total!M37*25</f>
        <v>0</v>
      </c>
      <c r="N34" s="30"/>
    </row>
    <row r="35" spans="1:14" ht="19.5" customHeight="1">
      <c r="A35" s="175"/>
      <c r="B35" s="128" t="s">
        <v>109</v>
      </c>
      <c r="C35" s="128"/>
      <c r="D35" s="127"/>
      <c r="E35" s="127"/>
      <c r="F35" s="127"/>
      <c r="G35" s="127"/>
      <c r="H35" s="127">
        <f>Total!H38*25</f>
        <v>0</v>
      </c>
      <c r="I35" s="127">
        <f>Total!I38*25</f>
        <v>0</v>
      </c>
      <c r="J35" s="127">
        <f>Total!J38*25</f>
        <v>0</v>
      </c>
      <c r="K35" s="127">
        <f>Total!K38*25</f>
        <v>0</v>
      </c>
      <c r="L35" s="127">
        <f>Total!L38*25</f>
        <v>0</v>
      </c>
      <c r="M35" s="127">
        <f>Total!M38*25</f>
        <v>0</v>
      </c>
      <c r="N35" s="30"/>
    </row>
    <row r="36" spans="1:14" ht="19.5" customHeight="1">
      <c r="A36" s="175" t="s">
        <v>118</v>
      </c>
      <c r="B36" s="128" t="s">
        <v>110</v>
      </c>
      <c r="C36" s="128"/>
      <c r="D36" s="127"/>
      <c r="E36" s="127"/>
      <c r="F36" s="127"/>
      <c r="G36" s="127"/>
      <c r="H36" s="127">
        <f>Total!H39*25</f>
        <v>0</v>
      </c>
      <c r="I36" s="127">
        <f>Total!I39*25</f>
        <v>0</v>
      </c>
      <c r="J36" s="127">
        <f>Total!J39*25</f>
        <v>0</v>
      </c>
      <c r="K36" s="127">
        <f>Total!K39*25</f>
        <v>0</v>
      </c>
      <c r="L36" s="127">
        <f>Total!L39*25</f>
        <v>0</v>
      </c>
      <c r="M36" s="127">
        <f>Total!M39*25</f>
        <v>0</v>
      </c>
      <c r="N36" s="30"/>
    </row>
    <row r="37" spans="1:14" ht="19.5" customHeight="1">
      <c r="A37" s="175"/>
      <c r="B37" s="128" t="s">
        <v>111</v>
      </c>
      <c r="C37" s="128"/>
      <c r="D37" s="127"/>
      <c r="E37" s="127"/>
      <c r="F37" s="127"/>
      <c r="G37" s="127"/>
      <c r="H37" s="127">
        <f>Total!H40*25</f>
        <v>0</v>
      </c>
      <c r="I37" s="127">
        <f>Total!I40*25</f>
        <v>0</v>
      </c>
      <c r="J37" s="127">
        <f>Total!J40*25</f>
        <v>0</v>
      </c>
      <c r="K37" s="127">
        <f>Total!K40*25</f>
        <v>0</v>
      </c>
      <c r="L37" s="127">
        <f>Total!L40*25</f>
        <v>0</v>
      </c>
      <c r="M37" s="127">
        <f>Total!M40*25</f>
        <v>0</v>
      </c>
      <c r="N37" s="30"/>
    </row>
    <row r="38" spans="1:14" ht="19.5" customHeight="1">
      <c r="A38" s="175"/>
      <c r="B38" s="128" t="s">
        <v>112</v>
      </c>
      <c r="C38" s="128"/>
      <c r="D38" s="127"/>
      <c r="E38" s="127"/>
      <c r="F38" s="127"/>
      <c r="G38" s="127"/>
      <c r="H38" s="127">
        <f>Total!H41*25</f>
        <v>0</v>
      </c>
      <c r="I38" s="127">
        <f>Total!I41*25</f>
        <v>0</v>
      </c>
      <c r="J38" s="127">
        <f>Total!J41*25</f>
        <v>0</v>
      </c>
      <c r="K38" s="127">
        <f>Total!K41*25</f>
        <v>0</v>
      </c>
      <c r="L38" s="127">
        <f>Total!L41*25</f>
        <v>0</v>
      </c>
      <c r="M38" s="127">
        <f>Total!M41*25</f>
        <v>0</v>
      </c>
      <c r="N38" s="30"/>
    </row>
    <row r="39" spans="1:14" ht="19.5" customHeight="1">
      <c r="A39" s="175"/>
      <c r="B39" s="128" t="s">
        <v>113</v>
      </c>
      <c r="C39" s="128"/>
      <c r="D39" s="127"/>
      <c r="E39" s="127"/>
      <c r="F39" s="127"/>
      <c r="G39" s="127"/>
      <c r="H39" s="127">
        <f>Total!H42*25</f>
        <v>0</v>
      </c>
      <c r="I39" s="127">
        <f>Total!I42*25</f>
        <v>0</v>
      </c>
      <c r="J39" s="127">
        <f>Total!J42*25</f>
        <v>0</v>
      </c>
      <c r="K39" s="127">
        <f>Total!K42*25</f>
        <v>0</v>
      </c>
      <c r="L39" s="127">
        <f>Total!L42*25</f>
        <v>0</v>
      </c>
      <c r="M39" s="127">
        <f>Total!M42*25</f>
        <v>0</v>
      </c>
      <c r="N39" s="30"/>
    </row>
    <row r="40" spans="1:14" ht="19.5" customHeight="1">
      <c r="A40" s="175"/>
      <c r="B40" s="128" t="s">
        <v>114</v>
      </c>
      <c r="C40" s="128"/>
      <c r="D40" s="127"/>
      <c r="E40" s="127"/>
      <c r="F40" s="127"/>
      <c r="G40" s="127"/>
      <c r="H40" s="127">
        <f>Total!H43*25</f>
        <v>0</v>
      </c>
      <c r="I40" s="127">
        <f>Total!I43*25</f>
        <v>0</v>
      </c>
      <c r="J40" s="127">
        <f>Total!J43*25</f>
        <v>0</v>
      </c>
      <c r="K40" s="127">
        <f>Total!K43*25</f>
        <v>0</v>
      </c>
      <c r="L40" s="127">
        <f>Total!L43*25</f>
        <v>0</v>
      </c>
      <c r="M40" s="127">
        <f>Total!M43*25</f>
        <v>0</v>
      </c>
      <c r="N40" s="30"/>
    </row>
    <row r="41" spans="1:14" ht="19.5" customHeight="1">
      <c r="A41" s="175"/>
      <c r="B41" s="128" t="s">
        <v>115</v>
      </c>
      <c r="C41" s="128"/>
      <c r="D41" s="127"/>
      <c r="E41" s="127"/>
      <c r="F41" s="127"/>
      <c r="G41" s="127"/>
      <c r="H41" s="127">
        <f>Total!H44*25</f>
        <v>0</v>
      </c>
      <c r="I41" s="127">
        <f>Total!I44*25</f>
        <v>0</v>
      </c>
      <c r="J41" s="127">
        <f>Total!J44*25</f>
        <v>0</v>
      </c>
      <c r="K41" s="127">
        <f>Total!K44*25</f>
        <v>0</v>
      </c>
      <c r="L41" s="127">
        <f>Total!L44*25</f>
        <v>0</v>
      </c>
      <c r="M41" s="127">
        <f>Total!M44*25</f>
        <v>0</v>
      </c>
      <c r="N41" s="30"/>
    </row>
    <row r="42" spans="1:14" ht="19.5" customHeight="1">
      <c r="A42" s="175" t="s">
        <v>85</v>
      </c>
      <c r="B42" s="128" t="s">
        <v>86</v>
      </c>
      <c r="C42" s="128" t="s">
        <v>62</v>
      </c>
      <c r="D42" s="127"/>
      <c r="E42" s="127"/>
      <c r="F42" s="127"/>
      <c r="G42" s="127"/>
      <c r="H42" s="127">
        <f>Total!H45*25</f>
        <v>0</v>
      </c>
      <c r="I42" s="127">
        <f>Total!I45*25</f>
        <v>0</v>
      </c>
      <c r="J42" s="127">
        <f>Total!J45*25</f>
        <v>50</v>
      </c>
      <c r="K42" s="127">
        <f>Total!K45*25</f>
        <v>100</v>
      </c>
      <c r="L42" s="127">
        <f>Total!L45*25</f>
        <v>0</v>
      </c>
      <c r="M42" s="127">
        <f>Total!M45*25</f>
        <v>0</v>
      </c>
      <c r="N42" s="30" t="str">
        <f t="shared" si="0"/>
        <v>C1</v>
      </c>
    </row>
    <row r="43" spans="1:14" ht="19.5" customHeight="1">
      <c r="A43" s="175"/>
      <c r="B43" s="128" t="s">
        <v>87</v>
      </c>
      <c r="C43" s="128" t="s">
        <v>66</v>
      </c>
      <c r="D43" s="127"/>
      <c r="E43" s="127"/>
      <c r="F43" s="127"/>
      <c r="G43" s="127"/>
      <c r="H43" s="127">
        <f>Total!H46*25</f>
        <v>150</v>
      </c>
      <c r="I43" s="127">
        <f>Total!I46*25</f>
        <v>100</v>
      </c>
      <c r="J43" s="127">
        <f>Total!J46*25</f>
        <v>100</v>
      </c>
      <c r="K43" s="127">
        <f>Total!K46*25</f>
        <v>0</v>
      </c>
      <c r="L43" s="127">
        <f>Total!L46*25</f>
        <v>0</v>
      </c>
      <c r="M43" s="127">
        <f>Total!M46*25</f>
        <v>0</v>
      </c>
      <c r="N43" s="30" t="str">
        <f t="shared" si="0"/>
        <v>C2</v>
      </c>
    </row>
    <row r="44" spans="1:14" ht="19.5" customHeight="1">
      <c r="A44" s="175"/>
      <c r="B44" s="128" t="s">
        <v>88</v>
      </c>
      <c r="C44" s="128" t="s">
        <v>74</v>
      </c>
      <c r="D44" s="127"/>
      <c r="E44" s="127"/>
      <c r="F44" s="127"/>
      <c r="G44" s="127"/>
      <c r="H44" s="127">
        <f>Total!H47*25</f>
        <v>0</v>
      </c>
      <c r="I44" s="127">
        <f>Total!I47*25</f>
        <v>0</v>
      </c>
      <c r="J44" s="127">
        <f>Total!J47*25</f>
        <v>100</v>
      </c>
      <c r="K44" s="127">
        <f>Total!K47*25</f>
        <v>200</v>
      </c>
      <c r="L44" s="127">
        <f>Total!L47*25</f>
        <v>0</v>
      </c>
      <c r="M44" s="127">
        <f>Total!M47*25</f>
        <v>0</v>
      </c>
      <c r="N44" s="30" t="str">
        <f t="shared" si="0"/>
        <v>C3</v>
      </c>
    </row>
    <row r="45" spans="1:14" ht="19.5" customHeight="1">
      <c r="A45" s="175"/>
      <c r="B45" s="128" t="s">
        <v>89</v>
      </c>
      <c r="C45" s="128" t="s">
        <v>74</v>
      </c>
      <c r="D45" s="127"/>
      <c r="E45" s="127"/>
      <c r="F45" s="127"/>
      <c r="G45" s="127"/>
      <c r="H45" s="127">
        <f>Total!H48*25</f>
        <v>0</v>
      </c>
      <c r="I45" s="127">
        <f>Total!I48*25</f>
        <v>0</v>
      </c>
      <c r="J45" s="127">
        <f>Total!J48*25</f>
        <v>100</v>
      </c>
      <c r="K45" s="127">
        <f>Total!K48*25</f>
        <v>125</v>
      </c>
      <c r="L45" s="127">
        <f>Total!L48*25</f>
        <v>0</v>
      </c>
      <c r="M45" s="127">
        <f>Total!M48*25</f>
        <v>0</v>
      </c>
      <c r="N45" s="30" t="str">
        <f t="shared" si="0"/>
        <v>C4</v>
      </c>
    </row>
    <row r="46" spans="1:14" ht="19.5" customHeight="1">
      <c r="A46" s="123" t="s">
        <v>90</v>
      </c>
      <c r="B46" s="128"/>
      <c r="C46" s="128" t="s">
        <v>74</v>
      </c>
      <c r="D46" s="127"/>
      <c r="E46" s="127"/>
      <c r="F46" s="127"/>
      <c r="G46" s="127"/>
      <c r="H46" s="127">
        <f>Total!H49*25</f>
        <v>0</v>
      </c>
      <c r="I46" s="127">
        <f>Total!I49*25</f>
        <v>0</v>
      </c>
      <c r="J46" s="127">
        <f>Total!J49*25</f>
        <v>0</v>
      </c>
      <c r="K46" s="127">
        <f>Total!K49*25</f>
        <v>0</v>
      </c>
      <c r="L46" s="127">
        <f>Total!L49*25</f>
        <v>0</v>
      </c>
      <c r="M46" s="127">
        <f>Total!M49*25</f>
        <v>0</v>
      </c>
    </row>
    <row r="47" spans="1:14" ht="19.5" customHeight="1">
      <c r="A47" s="123" t="s">
        <v>91</v>
      </c>
      <c r="B47" s="174" t="s">
        <v>122</v>
      </c>
      <c r="C47" s="174"/>
      <c r="D47" s="127"/>
      <c r="E47" s="127"/>
      <c r="F47" s="127"/>
      <c r="G47" s="127">
        <v>60</v>
      </c>
      <c r="H47" s="127">
        <f>Total!H50*25</f>
        <v>300</v>
      </c>
      <c r="I47" s="127">
        <f>Total!I50*25</f>
        <v>0</v>
      </c>
      <c r="J47" s="127">
        <f>Total!J50*25</f>
        <v>0</v>
      </c>
      <c r="K47" s="127">
        <f>Total!K50*25</f>
        <v>0</v>
      </c>
      <c r="L47" s="127">
        <f>Total!L50*25</f>
        <v>0</v>
      </c>
      <c r="M47" s="127">
        <f>Total!M50*25</f>
        <v>0</v>
      </c>
    </row>
    <row r="48" spans="1:14" ht="19.5" customHeight="1">
      <c r="A48" s="123" t="s">
        <v>92</v>
      </c>
      <c r="B48" s="173"/>
      <c r="C48" s="173"/>
      <c r="D48" s="127"/>
      <c r="E48" s="127"/>
      <c r="F48" s="127"/>
      <c r="G48" s="127"/>
      <c r="H48" s="127">
        <f>Total!H51*25</f>
        <v>0</v>
      </c>
      <c r="I48" s="127">
        <f>Total!I51*25</f>
        <v>0</v>
      </c>
      <c r="J48" s="127">
        <f>Total!J51*25</f>
        <v>0</v>
      </c>
      <c r="K48" s="127">
        <f>Total!K51*25</f>
        <v>0</v>
      </c>
      <c r="L48" s="127">
        <f>Total!L51*25</f>
        <v>0</v>
      </c>
      <c r="M48" s="127">
        <f>Total!M51*25</f>
        <v>0</v>
      </c>
    </row>
    <row r="49" spans="1:26" s="59" customFormat="1" ht="6.75" customHeight="1">
      <c r="A49" s="126"/>
      <c r="B49" s="126"/>
      <c r="C49" s="12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59" customFormat="1" ht="20.25" customHeight="1">
      <c r="A50" s="126"/>
      <c r="B50" s="126"/>
      <c r="C50" s="126"/>
      <c r="D50" s="21"/>
      <c r="E50" s="21"/>
      <c r="F50" s="21"/>
      <c r="G50" s="21"/>
      <c r="H50" s="169" t="s">
        <v>94</v>
      </c>
      <c r="I50" s="169"/>
      <c r="J50" s="170">
        <f>SUM(D51:M51)</f>
        <v>9860</v>
      </c>
      <c r="K50" s="170"/>
      <c r="L50" s="170"/>
      <c r="M50" s="17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59" customFormat="1" ht="21.75" customHeight="1">
      <c r="A51" s="169" t="s">
        <v>95</v>
      </c>
      <c r="B51" s="169"/>
      <c r="C51" s="169"/>
      <c r="D51" s="127">
        <f>SUM(D12:D48)</f>
        <v>0</v>
      </c>
      <c r="E51" s="127">
        <f t="shared" ref="E51:M51" si="1">SUM(E12:E48)</f>
        <v>0</v>
      </c>
      <c r="F51" s="127">
        <f t="shared" si="1"/>
        <v>0</v>
      </c>
      <c r="G51" s="127">
        <f>SUM(G12:G48)</f>
        <v>60</v>
      </c>
      <c r="H51" s="127">
        <f t="shared" si="1"/>
        <v>450</v>
      </c>
      <c r="I51" s="127">
        <f t="shared" si="1"/>
        <v>650</v>
      </c>
      <c r="J51" s="127">
        <f t="shared" si="1"/>
        <v>3675</v>
      </c>
      <c r="K51" s="127">
        <f t="shared" si="1"/>
        <v>4275</v>
      </c>
      <c r="L51" s="127">
        <f t="shared" si="1"/>
        <v>0</v>
      </c>
      <c r="M51" s="127">
        <f t="shared" si="1"/>
        <v>750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59" customFormat="1" ht="21.75" customHeight="1">
      <c r="A52" s="169" t="s">
        <v>120</v>
      </c>
      <c r="B52" s="169"/>
      <c r="C52" s="169"/>
      <c r="D52" s="127">
        <v>20</v>
      </c>
      <c r="E52" s="127">
        <v>20</v>
      </c>
      <c r="F52" s="127">
        <v>0</v>
      </c>
      <c r="G52" s="127">
        <v>680</v>
      </c>
      <c r="H52" s="127">
        <v>4350</v>
      </c>
      <c r="I52" s="127">
        <v>4350</v>
      </c>
      <c r="J52" s="127">
        <v>3800</v>
      </c>
      <c r="K52" s="127">
        <v>4275</v>
      </c>
      <c r="L52" s="127">
        <v>0</v>
      </c>
      <c r="M52" s="127">
        <v>750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59" customFormat="1" ht="21.75" customHeight="1">
      <c r="A53" s="169" t="s">
        <v>96</v>
      </c>
      <c r="B53" s="169"/>
      <c r="C53" s="169"/>
      <c r="D53" s="127">
        <v>0</v>
      </c>
      <c r="E53" s="127">
        <v>0</v>
      </c>
      <c r="F53" s="127">
        <v>0</v>
      </c>
      <c r="G53" s="127">
        <v>0</v>
      </c>
      <c r="H53" s="127">
        <v>0</v>
      </c>
      <c r="I53" s="127">
        <v>0</v>
      </c>
      <c r="J53" s="127">
        <v>0</v>
      </c>
      <c r="K53" s="127">
        <v>0</v>
      </c>
      <c r="L53" s="127">
        <v>0</v>
      </c>
      <c r="M53" s="127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59" customFormat="1" ht="21.75" customHeight="1">
      <c r="A54" s="169" t="s">
        <v>97</v>
      </c>
      <c r="B54" s="169"/>
      <c r="C54" s="169"/>
      <c r="D54" s="127">
        <f>(D52+D53)-D51</f>
        <v>20</v>
      </c>
      <c r="E54" s="127">
        <f t="shared" ref="E54:M54" si="2">(E52+E53)-E51</f>
        <v>20</v>
      </c>
      <c r="F54" s="127">
        <f t="shared" si="2"/>
        <v>0</v>
      </c>
      <c r="G54" s="127">
        <f t="shared" si="2"/>
        <v>620</v>
      </c>
      <c r="H54" s="127">
        <f t="shared" si="2"/>
        <v>3900</v>
      </c>
      <c r="I54" s="127">
        <f t="shared" si="2"/>
        <v>3700</v>
      </c>
      <c r="J54" s="127">
        <f t="shared" si="2"/>
        <v>125</v>
      </c>
      <c r="K54" s="127">
        <f t="shared" si="2"/>
        <v>0</v>
      </c>
      <c r="L54" s="127">
        <f t="shared" si="2"/>
        <v>0</v>
      </c>
      <c r="M54" s="127">
        <f t="shared" si="2"/>
        <v>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59" customFormat="1" ht="24.75" customHeight="1">
      <c r="A55" s="21"/>
      <c r="B55" s="21"/>
      <c r="C55" s="21"/>
      <c r="D55" s="21"/>
      <c r="E55" s="21"/>
      <c r="F55" s="21"/>
      <c r="G55" s="21"/>
      <c r="H55" s="171" t="s">
        <v>121</v>
      </c>
      <c r="I55" s="171"/>
      <c r="J55" s="170">
        <f>SUM(D54:M54)</f>
        <v>8385</v>
      </c>
      <c r="K55" s="170"/>
      <c r="L55" s="170"/>
      <c r="M55" s="170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59" customFormat="1" ht="3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59" customFormat="1" ht="12" customHeight="1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59" customFormat="1" ht="5.2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</sheetData>
  <mergeCells count="31">
    <mergeCell ref="B1:C1"/>
    <mergeCell ref="D1:I2"/>
    <mergeCell ref="J1:M4"/>
    <mergeCell ref="B2:C2"/>
    <mergeCell ref="B3:C3"/>
    <mergeCell ref="D3:I5"/>
    <mergeCell ref="B4:C4"/>
    <mergeCell ref="B5:C5"/>
    <mergeCell ref="K5:M5"/>
    <mergeCell ref="B6:C6"/>
    <mergeCell ref="D6:I7"/>
    <mergeCell ref="J6:M7"/>
    <mergeCell ref="B7:C7"/>
    <mergeCell ref="A9:M9"/>
    <mergeCell ref="B48:C48"/>
    <mergeCell ref="B47:C47"/>
    <mergeCell ref="A12:A17"/>
    <mergeCell ref="A42:A45"/>
    <mergeCell ref="A18:A23"/>
    <mergeCell ref="A24:A29"/>
    <mergeCell ref="A30:A35"/>
    <mergeCell ref="A36:A41"/>
    <mergeCell ref="H50:I50"/>
    <mergeCell ref="J50:M50"/>
    <mergeCell ref="H55:I55"/>
    <mergeCell ref="J55:M55"/>
    <mergeCell ref="A57:M57"/>
    <mergeCell ref="A51:C51"/>
    <mergeCell ref="A52:C52"/>
    <mergeCell ref="A53:C53"/>
    <mergeCell ref="A54:C54"/>
  </mergeCells>
  <phoneticPr fontId="26" type="noConversion"/>
  <pageMargins left="0.19791666666666666" right="0.17708333333333334" top="0.12458333333333334" bottom="0.14583333333333334" header="0.3" footer="0.3"/>
  <pageSetup paperSize="128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Total Consumo 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2023-09-04T14:15:25Z</cp:lastPrinted>
  <dcterms:created xsi:type="dcterms:W3CDTF">2023-06-22T14:18:08Z</dcterms:created>
  <dcterms:modified xsi:type="dcterms:W3CDTF">2023-09-04T14:20:44Z</dcterms:modified>
</cp:coreProperties>
</file>
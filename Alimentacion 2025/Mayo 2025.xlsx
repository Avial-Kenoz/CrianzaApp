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Tables/pivotTable1.xml" ContentType="application/vnd.openxmlformats-officedocument.spreadsheetml.pivotTable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anza\Desktop\Archivos Ricardo\Alimentacion 2025\"/>
    </mc:Choice>
  </mc:AlternateContent>
  <xr:revisionPtr revIDLastSave="0" documentId="13_ncr:1_{2E91B05F-549D-46D9-9579-586C7A9FF8C8}" xr6:coauthVersionLast="47" xr6:coauthVersionMax="47" xr10:uidLastSave="{00000000-0000-0000-0000-000000000000}"/>
  <bookViews>
    <workbookView xWindow="-120" yWindow="-120" windowWidth="20730" windowHeight="11310" tabRatio="800" activeTab="11" xr2:uid="{15B12B9E-B41D-4E80-A729-0689A354BAF5}"/>
  </bookViews>
  <sheets>
    <sheet name="01" sheetId="1" r:id="rId1"/>
    <sheet name="02" sheetId="11" r:id="rId2"/>
    <sheet name="03" sheetId="12" r:id="rId3"/>
    <sheet name="04" sheetId="13" r:id="rId4"/>
    <sheet name="05" sheetId="14" r:id="rId5"/>
    <sheet name="06" sheetId="18" r:id="rId6"/>
    <sheet name="07" sheetId="15" r:id="rId7"/>
    <sheet name="08" sheetId="16" r:id="rId8"/>
    <sheet name="09" sheetId="17" r:id="rId9"/>
    <sheet name="Total" sheetId="8" r:id="rId10"/>
    <sheet name="Hoja21" sheetId="21" r:id="rId11"/>
    <sheet name="Total Consumo Mensual" sheetId="20" r:id="rId12"/>
    <sheet name="Mensual" sheetId="19" r:id="rId13"/>
  </sheets>
  <definedNames>
    <definedName name="_xlnm.Print_Area" localSheetId="11">'Total Consumo Mensual'!$A$1:$M$106</definedName>
  </definedNames>
  <calcPr calcId="191029"/>
  <pivotCaches>
    <pivotCache cacheId="91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8" l="1"/>
  <c r="E12" i="20" s="1"/>
  <c r="D4" i="8"/>
  <c r="E13" i="20" s="1"/>
  <c r="D5" i="8"/>
  <c r="E14" i="20" s="1"/>
  <c r="D6" i="8"/>
  <c r="E15" i="20" s="1"/>
  <c r="D7" i="8"/>
  <c r="E16" i="20" s="1"/>
  <c r="D8" i="8"/>
  <c r="E17" i="20" s="1"/>
  <c r="D9" i="8"/>
  <c r="E18" i="20" s="1"/>
  <c r="D10" i="8"/>
  <c r="E19" i="20" s="1"/>
  <c r="D11" i="8"/>
  <c r="E20" i="20" s="1"/>
  <c r="D12" i="8"/>
  <c r="E21" i="20" s="1"/>
  <c r="D13" i="8"/>
  <c r="E22" i="20" s="1"/>
  <c r="D14" i="8"/>
  <c r="E23" i="20" s="1"/>
  <c r="D15" i="8"/>
  <c r="E24" i="20" s="1"/>
  <c r="D16" i="8"/>
  <c r="E25" i="20" s="1"/>
  <c r="D17" i="8"/>
  <c r="E26" i="20" s="1"/>
  <c r="D18" i="8"/>
  <c r="E27" i="20" s="1"/>
  <c r="D19" i="8"/>
  <c r="E28" i="20" s="1"/>
  <c r="D20" i="8"/>
  <c r="E29" i="20" s="1"/>
  <c r="D21" i="8"/>
  <c r="E30" i="20" s="1"/>
  <c r="D22" i="8"/>
  <c r="E31" i="20" s="1"/>
  <c r="D23" i="8"/>
  <c r="E32" i="20" s="1"/>
  <c r="D24" i="8"/>
  <c r="E33" i="20" s="1"/>
  <c r="D25" i="8"/>
  <c r="E34" i="20" s="1"/>
  <c r="D26" i="8"/>
  <c r="E35" i="20" s="1"/>
  <c r="D27" i="8"/>
  <c r="E36" i="20" s="1"/>
  <c r="D28" i="8"/>
  <c r="E37" i="20" s="1"/>
  <c r="D29" i="8"/>
  <c r="E38" i="20" s="1"/>
  <c r="D30" i="8"/>
  <c r="E39" i="20" s="1"/>
  <c r="D31" i="8"/>
  <c r="E40" i="20" s="1"/>
  <c r="D32" i="8"/>
  <c r="E41" i="20" s="1"/>
  <c r="D33" i="8"/>
  <c r="E42" i="20" s="1"/>
  <c r="D34" i="8"/>
  <c r="E43" i="20" s="1"/>
  <c r="D35" i="8"/>
  <c r="E44" i="20" s="1"/>
  <c r="D36" i="8"/>
  <c r="E45" i="20" s="1"/>
  <c r="D37" i="8"/>
  <c r="E46" i="20" s="1"/>
  <c r="D38" i="8"/>
  <c r="E47" i="20" s="1"/>
  <c r="D39" i="8"/>
  <c r="E48" i="20" s="1"/>
  <c r="D40" i="8"/>
  <c r="E49" i="20" s="1"/>
  <c r="D41" i="8"/>
  <c r="E50" i="20" s="1"/>
  <c r="E3" i="8"/>
  <c r="F12" i="20" s="1"/>
  <c r="E4" i="8"/>
  <c r="F13" i="20" s="1"/>
  <c r="E5" i="8"/>
  <c r="F14" i="20" s="1"/>
  <c r="E6" i="8"/>
  <c r="F15" i="20" s="1"/>
  <c r="E7" i="8"/>
  <c r="F16" i="20" s="1"/>
  <c r="E8" i="8"/>
  <c r="F17" i="20" s="1"/>
  <c r="E9" i="8"/>
  <c r="F18" i="20" s="1"/>
  <c r="E10" i="8"/>
  <c r="F19" i="20" s="1"/>
  <c r="E11" i="8"/>
  <c r="F20" i="20" s="1"/>
  <c r="E12" i="8"/>
  <c r="F21" i="20" s="1"/>
  <c r="E13" i="8"/>
  <c r="F22" i="20" s="1"/>
  <c r="E14" i="8"/>
  <c r="F23" i="20" s="1"/>
  <c r="E15" i="8"/>
  <c r="F24" i="20" s="1"/>
  <c r="E16" i="8"/>
  <c r="F25" i="20" s="1"/>
  <c r="E17" i="8"/>
  <c r="F26" i="20" s="1"/>
  <c r="E18" i="8"/>
  <c r="F27" i="20" s="1"/>
  <c r="E19" i="8"/>
  <c r="F28" i="20" s="1"/>
  <c r="E20" i="8"/>
  <c r="F29" i="20" s="1"/>
  <c r="E21" i="8"/>
  <c r="F30" i="20" s="1"/>
  <c r="E22" i="8"/>
  <c r="F31" i="20" s="1"/>
  <c r="E23" i="8"/>
  <c r="F32" i="20" s="1"/>
  <c r="E24" i="8"/>
  <c r="F33" i="20" s="1"/>
  <c r="E25" i="8"/>
  <c r="F34" i="20" s="1"/>
  <c r="E26" i="8"/>
  <c r="F35" i="20" s="1"/>
  <c r="E27" i="8"/>
  <c r="F36" i="20" s="1"/>
  <c r="E28" i="8"/>
  <c r="F37" i="20" s="1"/>
  <c r="E29" i="8"/>
  <c r="F38" i="20" s="1"/>
  <c r="E30" i="8"/>
  <c r="F39" i="20" s="1"/>
  <c r="E31" i="8"/>
  <c r="F40" i="20" s="1"/>
  <c r="E32" i="8"/>
  <c r="F41" i="20" s="1"/>
  <c r="E33" i="8"/>
  <c r="F42" i="20" s="1"/>
  <c r="E34" i="8"/>
  <c r="F43" i="20" s="1"/>
  <c r="E35" i="8"/>
  <c r="F44" i="20" s="1"/>
  <c r="E36" i="8"/>
  <c r="F45" i="20" s="1"/>
  <c r="E37" i="8"/>
  <c r="F46" i="20" s="1"/>
  <c r="E38" i="8"/>
  <c r="F47" i="20" s="1"/>
  <c r="E39" i="8"/>
  <c r="F48" i="20" s="1"/>
  <c r="E40" i="8"/>
  <c r="F49" i="20" s="1"/>
  <c r="E41" i="8"/>
  <c r="F50" i="20" s="1"/>
  <c r="F3" i="8"/>
  <c r="G12" i="20" s="1"/>
  <c r="F4" i="8"/>
  <c r="G13" i="20" s="1"/>
  <c r="F5" i="8"/>
  <c r="G14" i="20" s="1"/>
  <c r="F6" i="8"/>
  <c r="G15" i="20" s="1"/>
  <c r="F7" i="8"/>
  <c r="G16" i="20" s="1"/>
  <c r="F8" i="8"/>
  <c r="G17" i="20" s="1"/>
  <c r="F9" i="8"/>
  <c r="G18" i="20" s="1"/>
  <c r="F10" i="8"/>
  <c r="G19" i="20" s="1"/>
  <c r="F11" i="8"/>
  <c r="G20" i="20" s="1"/>
  <c r="F12" i="8"/>
  <c r="G21" i="20" s="1"/>
  <c r="F13" i="8"/>
  <c r="G22" i="20" s="1"/>
  <c r="F14" i="8"/>
  <c r="G23" i="20" s="1"/>
  <c r="F15" i="8"/>
  <c r="G24" i="20" s="1"/>
  <c r="F16" i="8"/>
  <c r="G25" i="20" s="1"/>
  <c r="F17" i="8"/>
  <c r="G26" i="20" s="1"/>
  <c r="F18" i="8"/>
  <c r="G27" i="20" s="1"/>
  <c r="F19" i="8"/>
  <c r="G28" i="20" s="1"/>
  <c r="F20" i="8"/>
  <c r="G29" i="20" s="1"/>
  <c r="F21" i="8"/>
  <c r="G30" i="20" s="1"/>
  <c r="F22" i="8"/>
  <c r="G31" i="20" s="1"/>
  <c r="F23" i="8"/>
  <c r="G32" i="20" s="1"/>
  <c r="F24" i="8"/>
  <c r="G33" i="20" s="1"/>
  <c r="F25" i="8"/>
  <c r="G34" i="20" s="1"/>
  <c r="F26" i="8"/>
  <c r="G35" i="20" s="1"/>
  <c r="F27" i="8"/>
  <c r="G36" i="20" s="1"/>
  <c r="F28" i="8"/>
  <c r="G37" i="20" s="1"/>
  <c r="F29" i="8"/>
  <c r="G38" i="20" s="1"/>
  <c r="F30" i="8"/>
  <c r="G39" i="20" s="1"/>
  <c r="F31" i="8"/>
  <c r="G40" i="20" s="1"/>
  <c r="F32" i="8"/>
  <c r="G41" i="20" s="1"/>
  <c r="F33" i="8"/>
  <c r="G42" i="20" s="1"/>
  <c r="F34" i="8"/>
  <c r="G43" i="20" s="1"/>
  <c r="F35" i="8"/>
  <c r="G44" i="20" s="1"/>
  <c r="F36" i="8"/>
  <c r="G45" i="20" s="1"/>
  <c r="F37" i="8"/>
  <c r="G46" i="20" s="1"/>
  <c r="F38" i="8"/>
  <c r="G47" i="20" s="1"/>
  <c r="F39" i="8"/>
  <c r="G48" i="20" s="1"/>
  <c r="F40" i="8"/>
  <c r="G49" i="20" s="1"/>
  <c r="F41" i="8"/>
  <c r="G50" i="20" s="1"/>
  <c r="G3" i="8"/>
  <c r="H12" i="20" s="1"/>
  <c r="G4" i="8"/>
  <c r="H13" i="20" s="1"/>
  <c r="G5" i="8"/>
  <c r="H14" i="20" s="1"/>
  <c r="G6" i="8"/>
  <c r="H15" i="20" s="1"/>
  <c r="G7" i="8"/>
  <c r="H16" i="20" s="1"/>
  <c r="G8" i="8"/>
  <c r="H17" i="20" s="1"/>
  <c r="G9" i="8"/>
  <c r="H18" i="20" s="1"/>
  <c r="G10" i="8"/>
  <c r="H19" i="20" s="1"/>
  <c r="G11" i="8"/>
  <c r="H20" i="20" s="1"/>
  <c r="G12" i="8"/>
  <c r="H21" i="20" s="1"/>
  <c r="G13" i="8"/>
  <c r="H22" i="20" s="1"/>
  <c r="G14" i="8"/>
  <c r="H23" i="20" s="1"/>
  <c r="G15" i="8"/>
  <c r="H24" i="20" s="1"/>
  <c r="G16" i="8"/>
  <c r="H25" i="20" s="1"/>
  <c r="G17" i="8"/>
  <c r="H26" i="20" s="1"/>
  <c r="G18" i="8"/>
  <c r="H27" i="20" s="1"/>
  <c r="G19" i="8"/>
  <c r="H28" i="20" s="1"/>
  <c r="G20" i="8"/>
  <c r="H29" i="20" s="1"/>
  <c r="G21" i="8"/>
  <c r="H30" i="20" s="1"/>
  <c r="G22" i="8"/>
  <c r="H31" i="20" s="1"/>
  <c r="G23" i="8"/>
  <c r="H32" i="20" s="1"/>
  <c r="G24" i="8"/>
  <c r="H33" i="20" s="1"/>
  <c r="G25" i="8"/>
  <c r="H34" i="20" s="1"/>
  <c r="G26" i="8"/>
  <c r="H35" i="20" s="1"/>
  <c r="G27" i="8"/>
  <c r="H36" i="20" s="1"/>
  <c r="G28" i="8"/>
  <c r="H37" i="20" s="1"/>
  <c r="G29" i="8"/>
  <c r="H38" i="20" s="1"/>
  <c r="G30" i="8"/>
  <c r="H39" i="20" s="1"/>
  <c r="G31" i="8"/>
  <c r="H40" i="20" s="1"/>
  <c r="G32" i="8"/>
  <c r="H41" i="20" s="1"/>
  <c r="G33" i="8"/>
  <c r="H42" i="20" s="1"/>
  <c r="G34" i="8"/>
  <c r="H43" i="20" s="1"/>
  <c r="G35" i="8"/>
  <c r="H44" i="20" s="1"/>
  <c r="G36" i="8"/>
  <c r="H45" i="20" s="1"/>
  <c r="G37" i="8"/>
  <c r="H46" i="20" s="1"/>
  <c r="G38" i="8"/>
  <c r="H47" i="20" s="1"/>
  <c r="G39" i="8"/>
  <c r="H48" i="20" s="1"/>
  <c r="G40" i="8"/>
  <c r="H49" i="20" s="1"/>
  <c r="G41" i="8"/>
  <c r="H50" i="20" s="1"/>
  <c r="H3" i="8"/>
  <c r="I12" i="20" s="1"/>
  <c r="H4" i="8"/>
  <c r="I13" i="20" s="1"/>
  <c r="H5" i="8"/>
  <c r="I14" i="20" s="1"/>
  <c r="H6" i="8"/>
  <c r="I15" i="20" s="1"/>
  <c r="H7" i="8"/>
  <c r="I16" i="20" s="1"/>
  <c r="H8" i="8"/>
  <c r="I17" i="20" s="1"/>
  <c r="H9" i="8"/>
  <c r="I18" i="20" s="1"/>
  <c r="H10" i="8"/>
  <c r="I19" i="20" s="1"/>
  <c r="H11" i="8"/>
  <c r="I20" i="20" s="1"/>
  <c r="H12" i="8"/>
  <c r="I21" i="20" s="1"/>
  <c r="H13" i="8"/>
  <c r="I22" i="20" s="1"/>
  <c r="H14" i="8"/>
  <c r="I23" i="20" s="1"/>
  <c r="H15" i="8"/>
  <c r="I24" i="20" s="1"/>
  <c r="H16" i="8"/>
  <c r="I25" i="20" s="1"/>
  <c r="H17" i="8"/>
  <c r="I26" i="20" s="1"/>
  <c r="H18" i="8"/>
  <c r="I27" i="20" s="1"/>
  <c r="H19" i="8"/>
  <c r="I28" i="20" s="1"/>
  <c r="H20" i="8"/>
  <c r="I29" i="20" s="1"/>
  <c r="H21" i="8"/>
  <c r="I30" i="20" s="1"/>
  <c r="H22" i="8"/>
  <c r="I31" i="20" s="1"/>
  <c r="H23" i="8"/>
  <c r="I32" i="20" s="1"/>
  <c r="H24" i="8"/>
  <c r="I33" i="20" s="1"/>
  <c r="H25" i="8"/>
  <c r="I34" i="20" s="1"/>
  <c r="H26" i="8"/>
  <c r="I35" i="20" s="1"/>
  <c r="H27" i="8"/>
  <c r="I36" i="20" s="1"/>
  <c r="H28" i="8"/>
  <c r="I37" i="20" s="1"/>
  <c r="H29" i="8"/>
  <c r="I38" i="20" s="1"/>
  <c r="H30" i="8"/>
  <c r="I39" i="20" s="1"/>
  <c r="H31" i="8"/>
  <c r="I40" i="20" s="1"/>
  <c r="H32" i="8"/>
  <c r="I41" i="20" s="1"/>
  <c r="H33" i="8"/>
  <c r="I42" i="20" s="1"/>
  <c r="H34" i="8"/>
  <c r="I43" i="20" s="1"/>
  <c r="H35" i="8"/>
  <c r="I44" i="20" s="1"/>
  <c r="H36" i="8"/>
  <c r="I45" i="20" s="1"/>
  <c r="H37" i="8"/>
  <c r="I46" i="20" s="1"/>
  <c r="H38" i="8"/>
  <c r="I47" i="20" s="1"/>
  <c r="H39" i="8"/>
  <c r="I48" i="20" s="1"/>
  <c r="H40" i="8"/>
  <c r="I49" i="20" s="1"/>
  <c r="H41" i="8"/>
  <c r="I50" i="20" s="1"/>
  <c r="I3" i="8"/>
  <c r="J12" i="20" s="1"/>
  <c r="I4" i="8"/>
  <c r="J13" i="20" s="1"/>
  <c r="I5" i="8"/>
  <c r="J14" i="20" s="1"/>
  <c r="I6" i="8"/>
  <c r="J15" i="20" s="1"/>
  <c r="I7" i="8"/>
  <c r="J16" i="20" s="1"/>
  <c r="I8" i="8"/>
  <c r="J17" i="20" s="1"/>
  <c r="I9" i="8"/>
  <c r="J18" i="20" s="1"/>
  <c r="I10" i="8"/>
  <c r="J19" i="20" s="1"/>
  <c r="I11" i="8"/>
  <c r="J20" i="20" s="1"/>
  <c r="I12" i="8"/>
  <c r="J21" i="20" s="1"/>
  <c r="I13" i="8"/>
  <c r="J22" i="20" s="1"/>
  <c r="I14" i="8"/>
  <c r="J23" i="20" s="1"/>
  <c r="I15" i="8"/>
  <c r="J24" i="20" s="1"/>
  <c r="I16" i="8"/>
  <c r="J25" i="20" s="1"/>
  <c r="I17" i="8"/>
  <c r="J26" i="20" s="1"/>
  <c r="I18" i="8"/>
  <c r="J27" i="20" s="1"/>
  <c r="I19" i="8"/>
  <c r="J28" i="20" s="1"/>
  <c r="I20" i="8"/>
  <c r="J29" i="20" s="1"/>
  <c r="I21" i="8"/>
  <c r="J30" i="20" s="1"/>
  <c r="I22" i="8"/>
  <c r="J31" i="20" s="1"/>
  <c r="I23" i="8"/>
  <c r="J32" i="20" s="1"/>
  <c r="I24" i="8"/>
  <c r="J33" i="20" s="1"/>
  <c r="I25" i="8"/>
  <c r="J34" i="20" s="1"/>
  <c r="I26" i="8"/>
  <c r="J35" i="20" s="1"/>
  <c r="I27" i="8"/>
  <c r="J36" i="20" s="1"/>
  <c r="I28" i="8"/>
  <c r="J37" i="20" s="1"/>
  <c r="I29" i="8"/>
  <c r="J38" i="20" s="1"/>
  <c r="I30" i="8"/>
  <c r="J39" i="20" s="1"/>
  <c r="I31" i="8"/>
  <c r="J40" i="20" s="1"/>
  <c r="I32" i="8"/>
  <c r="J41" i="20" s="1"/>
  <c r="I33" i="8"/>
  <c r="J42" i="20" s="1"/>
  <c r="I34" i="8"/>
  <c r="J43" i="20" s="1"/>
  <c r="I35" i="8"/>
  <c r="J44" i="20" s="1"/>
  <c r="I36" i="8"/>
  <c r="J45" i="20" s="1"/>
  <c r="I37" i="8"/>
  <c r="J46" i="20" s="1"/>
  <c r="I38" i="8"/>
  <c r="J47" i="20" s="1"/>
  <c r="I39" i="8"/>
  <c r="J48" i="20" s="1"/>
  <c r="I40" i="8"/>
  <c r="J49" i="20" s="1"/>
  <c r="I41" i="8"/>
  <c r="J50" i="20" s="1"/>
  <c r="C3" i="8"/>
  <c r="C4" i="8"/>
  <c r="D13" i="20" s="1"/>
  <c r="C5" i="8"/>
  <c r="C6" i="8"/>
  <c r="D15" i="20" s="1"/>
  <c r="C7" i="8"/>
  <c r="D16" i="20" s="1"/>
  <c r="C8" i="8"/>
  <c r="D17" i="20" s="1"/>
  <c r="C9" i="8"/>
  <c r="C10" i="8"/>
  <c r="D19" i="20" s="1"/>
  <c r="C11" i="8"/>
  <c r="C12" i="8"/>
  <c r="D21" i="20" s="1"/>
  <c r="C13" i="8"/>
  <c r="C14" i="8"/>
  <c r="D23" i="20" s="1"/>
  <c r="C15" i="8"/>
  <c r="D24" i="20" s="1"/>
  <c r="C16" i="8"/>
  <c r="D25" i="20" s="1"/>
  <c r="C17" i="8"/>
  <c r="C18" i="8"/>
  <c r="D27" i="20" s="1"/>
  <c r="C19" i="8"/>
  <c r="C20" i="8"/>
  <c r="D29" i="20" s="1"/>
  <c r="C21" i="8"/>
  <c r="C22" i="8"/>
  <c r="D31" i="20" s="1"/>
  <c r="C23" i="8"/>
  <c r="D32" i="20" s="1"/>
  <c r="C24" i="8"/>
  <c r="D33" i="20" s="1"/>
  <c r="C25" i="8"/>
  <c r="C26" i="8"/>
  <c r="D35" i="20" s="1"/>
  <c r="C27" i="8"/>
  <c r="C28" i="8"/>
  <c r="D37" i="20" s="1"/>
  <c r="C29" i="8"/>
  <c r="C30" i="8"/>
  <c r="D39" i="20" s="1"/>
  <c r="C31" i="8"/>
  <c r="D40" i="20" s="1"/>
  <c r="C32" i="8"/>
  <c r="D41" i="20" s="1"/>
  <c r="C33" i="8"/>
  <c r="C34" i="8"/>
  <c r="D43" i="20" s="1"/>
  <c r="C35" i="8"/>
  <c r="C36" i="8"/>
  <c r="D45" i="20" s="1"/>
  <c r="C37" i="8"/>
  <c r="D46" i="20" s="1"/>
  <c r="C38" i="8"/>
  <c r="D47" i="20" s="1"/>
  <c r="C39" i="8"/>
  <c r="D48" i="20" s="1"/>
  <c r="C40" i="8"/>
  <c r="D49" i="20" s="1"/>
  <c r="C41" i="8"/>
  <c r="D50" i="20" s="1"/>
  <c r="S6" i="17"/>
  <c r="S6" i="16"/>
  <c r="S6" i="15"/>
  <c r="S6" i="18"/>
  <c r="S6" i="14"/>
  <c r="S6" i="13"/>
  <c r="S6" i="12"/>
  <c r="S6" i="11"/>
  <c r="J3" i="8"/>
  <c r="K12" i="20" s="1"/>
  <c r="J4" i="8"/>
  <c r="J5" i="8"/>
  <c r="K14" i="20" s="1"/>
  <c r="J6" i="8"/>
  <c r="J7" i="8"/>
  <c r="K16" i="20" s="1"/>
  <c r="J8" i="8"/>
  <c r="J9" i="8"/>
  <c r="K18" i="20" s="1"/>
  <c r="J10" i="8"/>
  <c r="J11" i="8"/>
  <c r="K20" i="20" s="1"/>
  <c r="J12" i="8"/>
  <c r="J13" i="8"/>
  <c r="K22" i="20" s="1"/>
  <c r="J14" i="8"/>
  <c r="J15" i="8"/>
  <c r="K24" i="20" s="1"/>
  <c r="J16" i="8"/>
  <c r="J17" i="8"/>
  <c r="K26" i="20" s="1"/>
  <c r="J18" i="8"/>
  <c r="J19" i="8"/>
  <c r="K28" i="20" s="1"/>
  <c r="J20" i="8"/>
  <c r="J21" i="8"/>
  <c r="K30" i="20" s="1"/>
  <c r="J22" i="8"/>
  <c r="J23" i="8"/>
  <c r="K32" i="20" s="1"/>
  <c r="J24" i="8"/>
  <c r="J25" i="8"/>
  <c r="K34" i="20" s="1"/>
  <c r="J26" i="8"/>
  <c r="J27" i="8"/>
  <c r="K36" i="20" s="1"/>
  <c r="J28" i="8"/>
  <c r="J29" i="8"/>
  <c r="K38" i="20" s="1"/>
  <c r="J30" i="8"/>
  <c r="J31" i="8"/>
  <c r="K40" i="20" s="1"/>
  <c r="J32" i="8"/>
  <c r="J33" i="8"/>
  <c r="K42" i="20" s="1"/>
  <c r="J34" i="8"/>
  <c r="J35" i="8"/>
  <c r="K44" i="20" s="1"/>
  <c r="J36" i="8"/>
  <c r="J37" i="8"/>
  <c r="K46" i="20" s="1"/>
  <c r="J38" i="8"/>
  <c r="J39" i="8"/>
  <c r="K48" i="20" s="1"/>
  <c r="J40" i="8"/>
  <c r="J41" i="8"/>
  <c r="K50" i="20" s="1"/>
  <c r="K3" i="8"/>
  <c r="L12" i="20" s="1"/>
  <c r="K4" i="8"/>
  <c r="L13" i="20" s="1"/>
  <c r="K5" i="8"/>
  <c r="L14" i="20" s="1"/>
  <c r="K6" i="8"/>
  <c r="L15" i="20" s="1"/>
  <c r="K7" i="8"/>
  <c r="L16" i="20" s="1"/>
  <c r="K8" i="8"/>
  <c r="L17" i="20" s="1"/>
  <c r="K9" i="8"/>
  <c r="L18" i="20" s="1"/>
  <c r="K10" i="8"/>
  <c r="L19" i="20" s="1"/>
  <c r="K11" i="8"/>
  <c r="L20" i="20" s="1"/>
  <c r="K12" i="8"/>
  <c r="L21" i="20" s="1"/>
  <c r="K13" i="8"/>
  <c r="L22" i="20" s="1"/>
  <c r="K14" i="8"/>
  <c r="L23" i="20" s="1"/>
  <c r="K15" i="8"/>
  <c r="L24" i="20" s="1"/>
  <c r="K16" i="8"/>
  <c r="L25" i="20" s="1"/>
  <c r="K17" i="8"/>
  <c r="L26" i="20" s="1"/>
  <c r="K18" i="8"/>
  <c r="L27" i="20" s="1"/>
  <c r="K19" i="8"/>
  <c r="L28" i="20" s="1"/>
  <c r="K20" i="8"/>
  <c r="L29" i="20" s="1"/>
  <c r="K21" i="8"/>
  <c r="L30" i="20" s="1"/>
  <c r="K22" i="8"/>
  <c r="L31" i="20" s="1"/>
  <c r="K23" i="8"/>
  <c r="L32" i="20" s="1"/>
  <c r="K24" i="8"/>
  <c r="L33" i="20" s="1"/>
  <c r="K25" i="8"/>
  <c r="L34" i="20" s="1"/>
  <c r="K26" i="8"/>
  <c r="L35" i="20" s="1"/>
  <c r="K27" i="8"/>
  <c r="L36" i="20" s="1"/>
  <c r="K28" i="8"/>
  <c r="L37" i="20" s="1"/>
  <c r="K29" i="8"/>
  <c r="L38" i="20" s="1"/>
  <c r="K30" i="8"/>
  <c r="L39" i="20" s="1"/>
  <c r="K31" i="8"/>
  <c r="L40" i="20" s="1"/>
  <c r="K32" i="8"/>
  <c r="L41" i="20" s="1"/>
  <c r="K33" i="8"/>
  <c r="L42" i="20" s="1"/>
  <c r="K34" i="8"/>
  <c r="L43" i="20" s="1"/>
  <c r="K35" i="8"/>
  <c r="L44" i="20" s="1"/>
  <c r="K36" i="8"/>
  <c r="L45" i="20" s="1"/>
  <c r="K37" i="8"/>
  <c r="L46" i="20" s="1"/>
  <c r="K38" i="8"/>
  <c r="L47" i="20" s="1"/>
  <c r="K39" i="8"/>
  <c r="L48" i="20" s="1"/>
  <c r="K40" i="8"/>
  <c r="L49" i="20" s="1"/>
  <c r="K41" i="8"/>
  <c r="L50" i="20" s="1"/>
  <c r="L3" i="8"/>
  <c r="M12" i="20" s="1"/>
  <c r="L4" i="8"/>
  <c r="M13" i="20" s="1"/>
  <c r="L5" i="8"/>
  <c r="M14" i="20" s="1"/>
  <c r="L6" i="8"/>
  <c r="M15" i="20" s="1"/>
  <c r="L7" i="8"/>
  <c r="M16" i="20" s="1"/>
  <c r="L8" i="8"/>
  <c r="M17" i="20" s="1"/>
  <c r="L9" i="8"/>
  <c r="M18" i="20" s="1"/>
  <c r="L10" i="8"/>
  <c r="M19" i="20" s="1"/>
  <c r="L11" i="8"/>
  <c r="M20" i="20" s="1"/>
  <c r="L12" i="8"/>
  <c r="M21" i="20" s="1"/>
  <c r="L13" i="8"/>
  <c r="M22" i="20" s="1"/>
  <c r="L14" i="8"/>
  <c r="M23" i="20" s="1"/>
  <c r="L15" i="8"/>
  <c r="M24" i="20" s="1"/>
  <c r="L16" i="8"/>
  <c r="M25" i="20" s="1"/>
  <c r="L17" i="8"/>
  <c r="M26" i="20" s="1"/>
  <c r="L18" i="8"/>
  <c r="M27" i="20" s="1"/>
  <c r="L19" i="8"/>
  <c r="M28" i="20" s="1"/>
  <c r="L20" i="8"/>
  <c r="M29" i="20" s="1"/>
  <c r="L21" i="8"/>
  <c r="M30" i="20" s="1"/>
  <c r="L22" i="8"/>
  <c r="M31" i="20" s="1"/>
  <c r="L23" i="8"/>
  <c r="M32" i="20" s="1"/>
  <c r="L24" i="8"/>
  <c r="M33" i="20" s="1"/>
  <c r="L25" i="8"/>
  <c r="M34" i="20" s="1"/>
  <c r="L26" i="8"/>
  <c r="M35" i="20" s="1"/>
  <c r="L27" i="8"/>
  <c r="M36" i="20" s="1"/>
  <c r="L28" i="8"/>
  <c r="M37" i="20" s="1"/>
  <c r="L29" i="8"/>
  <c r="M38" i="20" s="1"/>
  <c r="L30" i="8"/>
  <c r="M39" i="20" s="1"/>
  <c r="L31" i="8"/>
  <c r="M40" i="20" s="1"/>
  <c r="L32" i="8"/>
  <c r="M41" i="20" s="1"/>
  <c r="L33" i="8"/>
  <c r="M42" i="20" s="1"/>
  <c r="L34" i="8"/>
  <c r="M43" i="20" s="1"/>
  <c r="L35" i="8"/>
  <c r="M44" i="20" s="1"/>
  <c r="L36" i="8"/>
  <c r="M45" i="20" s="1"/>
  <c r="L37" i="8"/>
  <c r="M46" i="20" s="1"/>
  <c r="L38" i="8"/>
  <c r="M47" i="20" s="1"/>
  <c r="L39" i="8"/>
  <c r="M48" i="20" s="1"/>
  <c r="L40" i="8"/>
  <c r="M49" i="20" s="1"/>
  <c r="L41" i="8"/>
  <c r="M50" i="20" s="1"/>
  <c r="E77" i="20"/>
  <c r="C77" i="20" s="1"/>
  <c r="E78" i="20"/>
  <c r="E79" i="20"/>
  <c r="E80" i="20"/>
  <c r="E81" i="20"/>
  <c r="E82" i="20"/>
  <c r="E83" i="20"/>
  <c r="E84" i="20"/>
  <c r="E85" i="20"/>
  <c r="E86" i="20"/>
  <c r="F77" i="20"/>
  <c r="F78" i="20"/>
  <c r="F79" i="20"/>
  <c r="F80" i="20"/>
  <c r="F81" i="20"/>
  <c r="F82" i="20"/>
  <c r="F83" i="20"/>
  <c r="F84" i="20"/>
  <c r="F85" i="20"/>
  <c r="F86" i="20"/>
  <c r="G77" i="20"/>
  <c r="G78" i="20"/>
  <c r="G79" i="20"/>
  <c r="G80" i="20"/>
  <c r="G81" i="20"/>
  <c r="G82" i="20"/>
  <c r="G83" i="20"/>
  <c r="G84" i="20"/>
  <c r="G85" i="20"/>
  <c r="G86" i="20"/>
  <c r="H77" i="20"/>
  <c r="H78" i="20"/>
  <c r="H79" i="20"/>
  <c r="H80" i="20"/>
  <c r="H81" i="20"/>
  <c r="H82" i="20"/>
  <c r="H83" i="20"/>
  <c r="H84" i="20"/>
  <c r="H85" i="20"/>
  <c r="H86" i="20"/>
  <c r="I77" i="20"/>
  <c r="I78" i="20"/>
  <c r="I79" i="20"/>
  <c r="I80" i="20"/>
  <c r="I81" i="20"/>
  <c r="I82" i="20"/>
  <c r="I83" i="20"/>
  <c r="I84" i="20"/>
  <c r="I85" i="20"/>
  <c r="I86" i="20"/>
  <c r="J77" i="20"/>
  <c r="J78" i="20"/>
  <c r="J79" i="20"/>
  <c r="J80" i="20"/>
  <c r="J81" i="20"/>
  <c r="J82" i="20"/>
  <c r="J83" i="20"/>
  <c r="J84" i="20"/>
  <c r="J85" i="20"/>
  <c r="J86" i="20"/>
  <c r="K77" i="20"/>
  <c r="K78" i="20"/>
  <c r="K79" i="20"/>
  <c r="K80" i="20"/>
  <c r="K81" i="20"/>
  <c r="K82" i="20"/>
  <c r="K83" i="20"/>
  <c r="K84" i="20"/>
  <c r="K85" i="20"/>
  <c r="K86" i="20"/>
  <c r="K87" i="20"/>
  <c r="L77" i="20"/>
  <c r="L78" i="20"/>
  <c r="L79" i="20"/>
  <c r="L80" i="20"/>
  <c r="L81" i="20"/>
  <c r="L82" i="20"/>
  <c r="L83" i="20"/>
  <c r="L84" i="20"/>
  <c r="L85" i="20"/>
  <c r="L86" i="20"/>
  <c r="L87" i="20"/>
  <c r="M77" i="20"/>
  <c r="M78" i="20"/>
  <c r="M79" i="20"/>
  <c r="M80" i="20"/>
  <c r="M81" i="20"/>
  <c r="M82" i="20"/>
  <c r="M83" i="20"/>
  <c r="M84" i="20"/>
  <c r="M85" i="20"/>
  <c r="M86" i="20"/>
  <c r="M87" i="20"/>
  <c r="D77" i="20"/>
  <c r="D78" i="20"/>
  <c r="D79" i="20"/>
  <c r="D80" i="20"/>
  <c r="D81" i="20"/>
  <c r="D82" i="20"/>
  <c r="D83" i="20"/>
  <c r="D84" i="20"/>
  <c r="D85" i="20"/>
  <c r="D86" i="20"/>
  <c r="E11" i="20"/>
  <c r="E76" i="20"/>
  <c r="F11" i="20"/>
  <c r="F76" i="20"/>
  <c r="G11" i="20"/>
  <c r="G76" i="20"/>
  <c r="H11" i="20"/>
  <c r="H76" i="20"/>
  <c r="I11" i="20"/>
  <c r="I76" i="20"/>
  <c r="J11" i="20"/>
  <c r="J76" i="20"/>
  <c r="K11" i="20"/>
  <c r="K76" i="20"/>
  <c r="L11" i="20"/>
  <c r="L76" i="20"/>
  <c r="M11" i="20"/>
  <c r="M76" i="20"/>
  <c r="D11" i="20"/>
  <c r="D76" i="20"/>
  <c r="C68" i="20"/>
  <c r="C69" i="20"/>
  <c r="E66" i="20"/>
  <c r="F66" i="20"/>
  <c r="G66" i="20"/>
  <c r="H66" i="20"/>
  <c r="I66" i="20"/>
  <c r="J66" i="20"/>
  <c r="K66" i="20"/>
  <c r="L66" i="20"/>
  <c r="M66" i="20"/>
  <c r="D66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12" i="20"/>
  <c r="N48" i="20"/>
  <c r="N46" i="20"/>
  <c r="N45" i="20"/>
  <c r="N43" i="20"/>
  <c r="N42" i="20"/>
  <c r="N17" i="20"/>
  <c r="N16" i="20"/>
  <c r="N15" i="20"/>
  <c r="N14" i="20"/>
  <c r="N13" i="20"/>
  <c r="N12" i="20"/>
  <c r="Y58" i="18"/>
  <c r="Y59" i="18"/>
  <c r="Y60" i="18"/>
  <c r="Y61" i="18"/>
  <c r="Y62" i="18"/>
  <c r="Y63" i="18"/>
  <c r="Y64" i="18"/>
  <c r="Y65" i="18"/>
  <c r="Y66" i="18"/>
  <c r="Y67" i="18"/>
  <c r="Y68" i="18"/>
  <c r="Y69" i="18"/>
  <c r="Y70" i="18"/>
  <c r="Y71" i="18"/>
  <c r="Y72" i="18"/>
  <c r="Y73" i="18"/>
  <c r="Y74" i="18"/>
  <c r="Y75" i="18"/>
  <c r="Y76" i="18"/>
  <c r="Y77" i="18"/>
  <c r="Y78" i="18"/>
  <c r="Y79" i="18"/>
  <c r="Y80" i="18"/>
  <c r="Y81" i="18"/>
  <c r="Y82" i="18"/>
  <c r="Y83" i="18"/>
  <c r="Y84" i="18"/>
  <c r="Y85" i="18"/>
  <c r="Y86" i="18"/>
  <c r="Y87" i="18"/>
  <c r="Y88" i="18"/>
  <c r="Y89" i="18"/>
  <c r="Y90" i="18"/>
  <c r="Y91" i="18"/>
  <c r="Y92" i="18"/>
  <c r="Y93" i="18"/>
  <c r="Y94" i="18"/>
  <c r="Y95" i="18"/>
  <c r="Y96" i="18"/>
  <c r="Y97" i="18"/>
  <c r="X97" i="18"/>
  <c r="W97" i="18"/>
  <c r="V97" i="18"/>
  <c r="U97" i="18"/>
  <c r="T97" i="18"/>
  <c r="S97" i="18"/>
  <c r="R97" i="18"/>
  <c r="Q97" i="18"/>
  <c r="P97" i="18"/>
  <c r="O97" i="18"/>
  <c r="L58" i="18"/>
  <c r="L59" i="18"/>
  <c r="L60" i="18"/>
  <c r="L61" i="18"/>
  <c r="L62" i="18"/>
  <c r="L63" i="18"/>
  <c r="L64" i="18"/>
  <c r="L65" i="18"/>
  <c r="L66" i="18"/>
  <c r="L67" i="18"/>
  <c r="L68" i="18"/>
  <c r="L69" i="18"/>
  <c r="L70" i="18"/>
  <c r="L71" i="18"/>
  <c r="L72" i="18"/>
  <c r="L73" i="18"/>
  <c r="L74" i="18"/>
  <c r="L75" i="18"/>
  <c r="L76" i="18"/>
  <c r="L77" i="18"/>
  <c r="L78" i="18"/>
  <c r="L79" i="18"/>
  <c r="L80" i="18"/>
  <c r="L81" i="18"/>
  <c r="L82" i="18"/>
  <c r="L83" i="18"/>
  <c r="L84" i="18"/>
  <c r="L85" i="18"/>
  <c r="L86" i="18"/>
  <c r="L87" i="18"/>
  <c r="L88" i="18"/>
  <c r="L89" i="18"/>
  <c r="L90" i="18"/>
  <c r="L91" i="18"/>
  <c r="L92" i="18"/>
  <c r="L93" i="18"/>
  <c r="L94" i="18"/>
  <c r="L95" i="18"/>
  <c r="L96" i="18"/>
  <c r="L97" i="18"/>
  <c r="K97" i="18"/>
  <c r="J97" i="18"/>
  <c r="I97" i="18"/>
  <c r="H97" i="18"/>
  <c r="G97" i="18"/>
  <c r="F97" i="18"/>
  <c r="E97" i="18"/>
  <c r="D97" i="18"/>
  <c r="C97" i="18"/>
  <c r="B97" i="18"/>
  <c r="X57" i="18"/>
  <c r="W57" i="18"/>
  <c r="V57" i="18"/>
  <c r="U57" i="18"/>
  <c r="T57" i="18"/>
  <c r="S57" i="18"/>
  <c r="R57" i="18"/>
  <c r="Q57" i="18"/>
  <c r="P57" i="18"/>
  <c r="O57" i="18"/>
  <c r="K57" i="18"/>
  <c r="J57" i="18"/>
  <c r="I57" i="18"/>
  <c r="H57" i="18"/>
  <c r="G57" i="18"/>
  <c r="F57" i="18"/>
  <c r="E57" i="18"/>
  <c r="D57" i="18"/>
  <c r="C57" i="18"/>
  <c r="B57" i="18"/>
  <c r="Y11" i="18"/>
  <c r="Y12" i="18"/>
  <c r="Y13" i="18"/>
  <c r="Y14" i="18"/>
  <c r="Y15" i="18"/>
  <c r="Y16" i="18"/>
  <c r="Y17" i="18"/>
  <c r="Y18" i="18"/>
  <c r="Y19" i="18"/>
  <c r="Y20" i="18"/>
  <c r="Y21" i="18"/>
  <c r="Y22" i="18"/>
  <c r="Y23" i="18"/>
  <c r="Y24" i="18"/>
  <c r="Y25" i="18"/>
  <c r="Y26" i="18"/>
  <c r="Y27" i="18"/>
  <c r="Y28" i="18"/>
  <c r="Y29" i="18"/>
  <c r="Y30" i="18"/>
  <c r="Y31" i="18"/>
  <c r="Y32" i="18"/>
  <c r="Y33" i="18"/>
  <c r="Y34" i="18"/>
  <c r="Y35" i="18"/>
  <c r="Y36" i="18"/>
  <c r="Y37" i="18"/>
  <c r="Y38" i="18"/>
  <c r="Y39" i="18"/>
  <c r="Y40" i="18"/>
  <c r="Y41" i="18"/>
  <c r="Y42" i="18"/>
  <c r="Y43" i="18"/>
  <c r="Y44" i="18"/>
  <c r="Y45" i="18"/>
  <c r="Y46" i="18"/>
  <c r="Y47" i="18"/>
  <c r="Y48" i="18"/>
  <c r="Y49" i="18"/>
  <c r="Y50" i="18"/>
  <c r="X50" i="18"/>
  <c r="W50" i="18"/>
  <c r="V50" i="18"/>
  <c r="U50" i="18"/>
  <c r="T50" i="18"/>
  <c r="S50" i="18"/>
  <c r="R50" i="18"/>
  <c r="Q50" i="18"/>
  <c r="P50" i="18"/>
  <c r="O50" i="18"/>
  <c r="L11" i="18"/>
  <c r="L12" i="18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46" i="18"/>
  <c r="L47" i="18"/>
  <c r="L48" i="18"/>
  <c r="L49" i="18"/>
  <c r="L50" i="18"/>
  <c r="K50" i="18"/>
  <c r="J50" i="18"/>
  <c r="I50" i="18"/>
  <c r="H50" i="18"/>
  <c r="G50" i="18"/>
  <c r="F50" i="18"/>
  <c r="E50" i="18"/>
  <c r="D50" i="18"/>
  <c r="C50" i="18"/>
  <c r="B50" i="18"/>
  <c r="X10" i="18"/>
  <c r="W10" i="18"/>
  <c r="V10" i="18"/>
  <c r="U10" i="18"/>
  <c r="T10" i="18"/>
  <c r="S10" i="18"/>
  <c r="R10" i="18"/>
  <c r="Q10" i="18"/>
  <c r="P10" i="18"/>
  <c r="O10" i="18"/>
  <c r="Y58" i="17"/>
  <c r="Y59" i="17"/>
  <c r="Y60" i="17"/>
  <c r="Y61" i="17"/>
  <c r="Y62" i="17"/>
  <c r="Y63" i="17"/>
  <c r="Y64" i="17"/>
  <c r="Y65" i="17"/>
  <c r="Y66" i="17"/>
  <c r="Y67" i="17"/>
  <c r="Y68" i="17"/>
  <c r="Y69" i="17"/>
  <c r="Y70" i="17"/>
  <c r="Y71" i="17"/>
  <c r="Y72" i="17"/>
  <c r="Y73" i="17"/>
  <c r="Y74" i="17"/>
  <c r="Y75" i="17"/>
  <c r="Y76" i="17"/>
  <c r="Y77" i="17"/>
  <c r="Y78" i="17"/>
  <c r="Y79" i="17"/>
  <c r="Y80" i="17"/>
  <c r="Y81" i="17"/>
  <c r="Y82" i="17"/>
  <c r="Y83" i="17"/>
  <c r="Y84" i="17"/>
  <c r="Y85" i="17"/>
  <c r="Y86" i="17"/>
  <c r="Y87" i="17"/>
  <c r="Y88" i="17"/>
  <c r="Y89" i="17"/>
  <c r="Y90" i="17"/>
  <c r="Y91" i="17"/>
  <c r="Y92" i="17"/>
  <c r="Y93" i="17"/>
  <c r="Y94" i="17"/>
  <c r="Y95" i="17"/>
  <c r="Y96" i="17"/>
  <c r="Y97" i="17"/>
  <c r="X97" i="17"/>
  <c r="W97" i="17"/>
  <c r="V97" i="17"/>
  <c r="U97" i="17"/>
  <c r="T97" i="17"/>
  <c r="S97" i="17"/>
  <c r="R97" i="17"/>
  <c r="Q97" i="17"/>
  <c r="P97" i="17"/>
  <c r="O97" i="17"/>
  <c r="L58" i="17"/>
  <c r="L59" i="17"/>
  <c r="L60" i="17"/>
  <c r="L61" i="17"/>
  <c r="L62" i="17"/>
  <c r="L63" i="17"/>
  <c r="L64" i="17"/>
  <c r="L65" i="17"/>
  <c r="L66" i="17"/>
  <c r="L67" i="17"/>
  <c r="L68" i="17"/>
  <c r="L69" i="17"/>
  <c r="L70" i="17"/>
  <c r="L71" i="17"/>
  <c r="L72" i="17"/>
  <c r="L73" i="17"/>
  <c r="L74" i="17"/>
  <c r="L75" i="17"/>
  <c r="L76" i="17"/>
  <c r="L77" i="17"/>
  <c r="L78" i="17"/>
  <c r="L79" i="17"/>
  <c r="L80" i="17"/>
  <c r="L81" i="17"/>
  <c r="L82" i="17"/>
  <c r="L83" i="17"/>
  <c r="L84" i="17"/>
  <c r="L85" i="17"/>
  <c r="L86" i="17"/>
  <c r="L87" i="17"/>
  <c r="L88" i="17"/>
  <c r="L89" i="17"/>
  <c r="L90" i="17"/>
  <c r="L91" i="17"/>
  <c r="L92" i="17"/>
  <c r="L93" i="17"/>
  <c r="L94" i="17"/>
  <c r="L95" i="17"/>
  <c r="L96" i="17"/>
  <c r="L97" i="17"/>
  <c r="K97" i="17"/>
  <c r="J97" i="17"/>
  <c r="I97" i="17"/>
  <c r="H97" i="17"/>
  <c r="G97" i="17"/>
  <c r="F97" i="17"/>
  <c r="E97" i="17"/>
  <c r="D97" i="17"/>
  <c r="C97" i="17"/>
  <c r="B97" i="17"/>
  <c r="X57" i="17"/>
  <c r="W57" i="17"/>
  <c r="V57" i="17"/>
  <c r="U57" i="17"/>
  <c r="T57" i="17"/>
  <c r="S57" i="17"/>
  <c r="R57" i="17"/>
  <c r="Q57" i="17"/>
  <c r="P57" i="17"/>
  <c r="O57" i="17"/>
  <c r="K57" i="17"/>
  <c r="J57" i="17"/>
  <c r="I57" i="17"/>
  <c r="H57" i="17"/>
  <c r="G57" i="17"/>
  <c r="F57" i="17"/>
  <c r="E57" i="17"/>
  <c r="D57" i="17"/>
  <c r="C57" i="17"/>
  <c r="B57" i="17"/>
  <c r="Y11" i="17"/>
  <c r="Y12" i="17"/>
  <c r="Y13" i="17"/>
  <c r="Y14" i="17"/>
  <c r="Y15" i="17"/>
  <c r="Y16" i="17"/>
  <c r="Y17" i="17"/>
  <c r="Y18" i="17"/>
  <c r="Y19" i="17"/>
  <c r="Y20" i="17"/>
  <c r="Y21" i="17"/>
  <c r="Y22" i="17"/>
  <c r="Y23" i="17"/>
  <c r="Y24" i="17"/>
  <c r="Y25" i="17"/>
  <c r="Y26" i="17"/>
  <c r="Y27" i="17"/>
  <c r="Y28" i="17"/>
  <c r="Y29" i="17"/>
  <c r="Y30" i="17"/>
  <c r="Y31" i="17"/>
  <c r="Y32" i="17"/>
  <c r="Y33" i="17"/>
  <c r="Y34" i="17"/>
  <c r="Y35" i="17"/>
  <c r="Y36" i="17"/>
  <c r="Y37" i="17"/>
  <c r="Y38" i="17"/>
  <c r="Y39" i="17"/>
  <c r="Y40" i="17"/>
  <c r="Y41" i="17"/>
  <c r="Y42" i="17"/>
  <c r="Y43" i="17"/>
  <c r="Y44" i="17"/>
  <c r="Y45" i="17"/>
  <c r="Y46" i="17"/>
  <c r="Y47" i="17"/>
  <c r="Y48" i="17"/>
  <c r="Y49" i="17"/>
  <c r="Y50" i="17"/>
  <c r="X50" i="17"/>
  <c r="W50" i="17"/>
  <c r="V50" i="17"/>
  <c r="U50" i="17"/>
  <c r="T50" i="17"/>
  <c r="S50" i="17"/>
  <c r="R50" i="17"/>
  <c r="Q50" i="17"/>
  <c r="P50" i="17"/>
  <c r="O5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K50" i="17"/>
  <c r="J50" i="17"/>
  <c r="I50" i="17"/>
  <c r="H50" i="17"/>
  <c r="G50" i="17"/>
  <c r="F50" i="17"/>
  <c r="E50" i="17"/>
  <c r="D50" i="17"/>
  <c r="C50" i="17"/>
  <c r="B50" i="17"/>
  <c r="X10" i="17"/>
  <c r="W10" i="17"/>
  <c r="V10" i="17"/>
  <c r="U10" i="17"/>
  <c r="T10" i="17"/>
  <c r="S10" i="17"/>
  <c r="R10" i="17"/>
  <c r="Q10" i="17"/>
  <c r="P10" i="17"/>
  <c r="O10" i="17"/>
  <c r="Y58" i="16"/>
  <c r="Y59" i="16"/>
  <c r="Y60" i="16"/>
  <c r="Y61" i="16"/>
  <c r="Y62" i="16"/>
  <c r="Y63" i="16"/>
  <c r="Y64" i="16"/>
  <c r="Y65" i="16"/>
  <c r="Y66" i="16"/>
  <c r="Y67" i="16"/>
  <c r="Y68" i="16"/>
  <c r="Y69" i="16"/>
  <c r="Y70" i="16"/>
  <c r="Y71" i="16"/>
  <c r="Y72" i="16"/>
  <c r="Y73" i="16"/>
  <c r="Y74" i="16"/>
  <c r="Y75" i="16"/>
  <c r="Y76" i="16"/>
  <c r="Y77" i="16"/>
  <c r="Y78" i="16"/>
  <c r="Y79" i="16"/>
  <c r="Y80" i="16"/>
  <c r="Y81" i="16"/>
  <c r="Y82" i="16"/>
  <c r="Y83" i="16"/>
  <c r="Y84" i="16"/>
  <c r="Y85" i="16"/>
  <c r="Y86" i="16"/>
  <c r="Y87" i="16"/>
  <c r="Y88" i="16"/>
  <c r="Y89" i="16"/>
  <c r="Y90" i="16"/>
  <c r="Y91" i="16"/>
  <c r="Y92" i="16"/>
  <c r="Y93" i="16"/>
  <c r="Y94" i="16"/>
  <c r="Y95" i="16"/>
  <c r="Y96" i="16"/>
  <c r="Y97" i="16"/>
  <c r="X97" i="16"/>
  <c r="W97" i="16"/>
  <c r="V97" i="16"/>
  <c r="U97" i="16"/>
  <c r="T97" i="16"/>
  <c r="S97" i="16"/>
  <c r="R97" i="16"/>
  <c r="Q97" i="16"/>
  <c r="P97" i="16"/>
  <c r="O97" i="16"/>
  <c r="L58" i="16"/>
  <c r="L59" i="16"/>
  <c r="L60" i="16"/>
  <c r="L61" i="16"/>
  <c r="L62" i="16"/>
  <c r="L63" i="16"/>
  <c r="L64" i="16"/>
  <c r="L65" i="16"/>
  <c r="L66" i="16"/>
  <c r="L67" i="16"/>
  <c r="L68" i="16"/>
  <c r="L69" i="16"/>
  <c r="L70" i="16"/>
  <c r="L71" i="16"/>
  <c r="L72" i="16"/>
  <c r="L73" i="16"/>
  <c r="L74" i="16"/>
  <c r="L75" i="16"/>
  <c r="L76" i="16"/>
  <c r="L77" i="16"/>
  <c r="L78" i="16"/>
  <c r="L79" i="16"/>
  <c r="L80" i="16"/>
  <c r="L81" i="16"/>
  <c r="L82" i="16"/>
  <c r="L83" i="16"/>
  <c r="L84" i="16"/>
  <c r="L85" i="16"/>
  <c r="L86" i="16"/>
  <c r="L87" i="16"/>
  <c r="L88" i="16"/>
  <c r="L89" i="16"/>
  <c r="L90" i="16"/>
  <c r="L91" i="16"/>
  <c r="L92" i="16"/>
  <c r="L93" i="16"/>
  <c r="L94" i="16"/>
  <c r="L95" i="16"/>
  <c r="L96" i="16"/>
  <c r="L97" i="16"/>
  <c r="K97" i="16"/>
  <c r="J97" i="16"/>
  <c r="I97" i="16"/>
  <c r="H97" i="16"/>
  <c r="G97" i="16"/>
  <c r="F97" i="16"/>
  <c r="E97" i="16"/>
  <c r="D97" i="16"/>
  <c r="C97" i="16"/>
  <c r="B97" i="16"/>
  <c r="X57" i="16"/>
  <c r="W57" i="16"/>
  <c r="V57" i="16"/>
  <c r="U57" i="16"/>
  <c r="T57" i="16"/>
  <c r="S57" i="16"/>
  <c r="R57" i="16"/>
  <c r="Q57" i="16"/>
  <c r="P57" i="16"/>
  <c r="O57" i="16"/>
  <c r="K57" i="16"/>
  <c r="J57" i="16"/>
  <c r="I57" i="16"/>
  <c r="H57" i="16"/>
  <c r="G57" i="16"/>
  <c r="F57" i="16"/>
  <c r="E57" i="16"/>
  <c r="D57" i="16"/>
  <c r="C57" i="16"/>
  <c r="B57" i="16"/>
  <c r="Y11" i="16"/>
  <c r="Y12" i="16"/>
  <c r="Y13" i="16"/>
  <c r="Y14" i="16"/>
  <c r="Y15" i="16"/>
  <c r="Y16" i="16"/>
  <c r="Y17" i="16"/>
  <c r="Y18" i="16"/>
  <c r="Y19" i="16"/>
  <c r="Y20" i="16"/>
  <c r="Y21" i="16"/>
  <c r="Y22" i="16"/>
  <c r="Y23" i="16"/>
  <c r="Y24" i="16"/>
  <c r="Y25" i="16"/>
  <c r="Y26" i="16"/>
  <c r="Y27" i="16"/>
  <c r="Y28" i="16"/>
  <c r="Y29" i="16"/>
  <c r="Y30" i="16"/>
  <c r="Y31" i="16"/>
  <c r="Y32" i="16"/>
  <c r="Y33" i="16"/>
  <c r="Y34" i="16"/>
  <c r="Y35" i="16"/>
  <c r="Y36" i="16"/>
  <c r="Y37" i="16"/>
  <c r="Y38" i="16"/>
  <c r="Y39" i="16"/>
  <c r="Y40" i="16"/>
  <c r="Y41" i="16"/>
  <c r="Y42" i="16"/>
  <c r="Y43" i="16"/>
  <c r="Y44" i="16"/>
  <c r="Y45" i="16"/>
  <c r="Y46" i="16"/>
  <c r="Y47" i="16"/>
  <c r="Y48" i="16"/>
  <c r="Y49" i="16"/>
  <c r="Y50" i="16"/>
  <c r="X50" i="16"/>
  <c r="W50" i="16"/>
  <c r="V50" i="16"/>
  <c r="U50" i="16"/>
  <c r="T50" i="16"/>
  <c r="S50" i="16"/>
  <c r="R50" i="16"/>
  <c r="Q50" i="16"/>
  <c r="P50" i="16"/>
  <c r="O5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K50" i="16"/>
  <c r="J50" i="16"/>
  <c r="I50" i="16"/>
  <c r="H50" i="16"/>
  <c r="G50" i="16"/>
  <c r="F50" i="16"/>
  <c r="E50" i="16"/>
  <c r="D50" i="16"/>
  <c r="C50" i="16"/>
  <c r="B50" i="16"/>
  <c r="X10" i="16"/>
  <c r="W10" i="16"/>
  <c r="V10" i="16"/>
  <c r="U10" i="16"/>
  <c r="T10" i="16"/>
  <c r="S10" i="16"/>
  <c r="R10" i="16"/>
  <c r="Q10" i="16"/>
  <c r="P10" i="16"/>
  <c r="O10" i="16"/>
  <c r="Y58" i="15"/>
  <c r="Y59" i="15"/>
  <c r="Y60" i="15"/>
  <c r="Y61" i="15"/>
  <c r="Y62" i="15"/>
  <c r="Y63" i="15"/>
  <c r="Y64" i="15"/>
  <c r="Y65" i="15"/>
  <c r="Y66" i="15"/>
  <c r="Y67" i="15"/>
  <c r="Y68" i="15"/>
  <c r="Y69" i="15"/>
  <c r="Y70" i="15"/>
  <c r="Y71" i="15"/>
  <c r="Y72" i="15"/>
  <c r="Y73" i="15"/>
  <c r="Y74" i="15"/>
  <c r="Y75" i="15"/>
  <c r="Y76" i="15"/>
  <c r="Y77" i="15"/>
  <c r="Y78" i="15"/>
  <c r="Y79" i="15"/>
  <c r="Y80" i="15"/>
  <c r="Y81" i="15"/>
  <c r="Y82" i="15"/>
  <c r="Y83" i="15"/>
  <c r="Y84" i="15"/>
  <c r="Y85" i="15"/>
  <c r="Y86" i="15"/>
  <c r="Y87" i="15"/>
  <c r="Y88" i="15"/>
  <c r="Y89" i="15"/>
  <c r="Y90" i="15"/>
  <c r="Y91" i="15"/>
  <c r="Y92" i="15"/>
  <c r="Y93" i="15"/>
  <c r="Y94" i="15"/>
  <c r="Y95" i="15"/>
  <c r="Y96" i="15"/>
  <c r="Y97" i="15"/>
  <c r="X97" i="15"/>
  <c r="W97" i="15"/>
  <c r="V97" i="15"/>
  <c r="U97" i="15"/>
  <c r="T97" i="15"/>
  <c r="S97" i="15"/>
  <c r="R97" i="15"/>
  <c r="Q97" i="15"/>
  <c r="P97" i="15"/>
  <c r="O9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K97" i="15"/>
  <c r="J97" i="15"/>
  <c r="I97" i="15"/>
  <c r="H97" i="15"/>
  <c r="G97" i="15"/>
  <c r="F97" i="15"/>
  <c r="E97" i="15"/>
  <c r="D97" i="15"/>
  <c r="C97" i="15"/>
  <c r="B97" i="15"/>
  <c r="X57" i="15"/>
  <c r="W57" i="15"/>
  <c r="V57" i="15"/>
  <c r="U57" i="15"/>
  <c r="T57" i="15"/>
  <c r="S57" i="15"/>
  <c r="R57" i="15"/>
  <c r="Q57" i="15"/>
  <c r="P57" i="15"/>
  <c r="O57" i="15"/>
  <c r="K57" i="15"/>
  <c r="J57" i="15"/>
  <c r="I57" i="15"/>
  <c r="H57" i="15"/>
  <c r="G57" i="15"/>
  <c r="F57" i="15"/>
  <c r="E57" i="15"/>
  <c r="D57" i="15"/>
  <c r="C57" i="15"/>
  <c r="B57" i="15"/>
  <c r="Y11" i="15"/>
  <c r="Y12" i="15"/>
  <c r="Y13" i="15"/>
  <c r="Y14" i="15"/>
  <c r="Y15" i="15"/>
  <c r="Y16" i="15"/>
  <c r="Y17" i="15"/>
  <c r="Y18" i="15"/>
  <c r="Y19" i="15"/>
  <c r="Y20" i="15"/>
  <c r="Y21" i="15"/>
  <c r="Y22" i="15"/>
  <c r="Y23" i="15"/>
  <c r="Y24" i="15"/>
  <c r="Y25" i="15"/>
  <c r="Y26" i="15"/>
  <c r="Y27" i="15"/>
  <c r="Y28" i="15"/>
  <c r="Y29" i="15"/>
  <c r="Y30" i="15"/>
  <c r="Y31" i="15"/>
  <c r="Y32" i="15"/>
  <c r="Y33" i="15"/>
  <c r="Y34" i="15"/>
  <c r="Y35" i="15"/>
  <c r="Y36" i="15"/>
  <c r="Y37" i="15"/>
  <c r="Y38" i="15"/>
  <c r="Y39" i="15"/>
  <c r="Y40" i="15"/>
  <c r="Y41" i="15"/>
  <c r="Y42" i="15"/>
  <c r="Y43" i="15"/>
  <c r="Y44" i="15"/>
  <c r="Y45" i="15"/>
  <c r="Y46" i="15"/>
  <c r="Y47" i="15"/>
  <c r="Y48" i="15"/>
  <c r="Y49" i="15"/>
  <c r="Y50" i="15"/>
  <c r="X50" i="15"/>
  <c r="W50" i="15"/>
  <c r="V50" i="15"/>
  <c r="U50" i="15"/>
  <c r="T50" i="15"/>
  <c r="S50" i="15"/>
  <c r="R50" i="15"/>
  <c r="Q50" i="15"/>
  <c r="P50" i="15"/>
  <c r="O5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K50" i="15"/>
  <c r="J50" i="15"/>
  <c r="I50" i="15"/>
  <c r="H50" i="15"/>
  <c r="G50" i="15"/>
  <c r="F50" i="15"/>
  <c r="E50" i="15"/>
  <c r="D50" i="15"/>
  <c r="C50" i="15"/>
  <c r="B50" i="15"/>
  <c r="X10" i="15"/>
  <c r="W10" i="15"/>
  <c r="V10" i="15"/>
  <c r="U10" i="15"/>
  <c r="T10" i="15"/>
  <c r="S10" i="15"/>
  <c r="R10" i="15"/>
  <c r="Q10" i="15"/>
  <c r="P10" i="15"/>
  <c r="O10" i="15"/>
  <c r="Y58" i="14"/>
  <c r="Y59" i="14"/>
  <c r="Y60" i="14"/>
  <c r="Y61" i="14"/>
  <c r="Y62" i="14"/>
  <c r="Y63" i="14"/>
  <c r="Y64" i="14"/>
  <c r="Y65" i="14"/>
  <c r="Y66" i="14"/>
  <c r="Y67" i="14"/>
  <c r="Y68" i="14"/>
  <c r="Y69" i="14"/>
  <c r="Y70" i="14"/>
  <c r="Y71" i="14"/>
  <c r="Y72" i="14"/>
  <c r="Y73" i="14"/>
  <c r="Y74" i="14"/>
  <c r="Y75" i="14"/>
  <c r="Y76" i="14"/>
  <c r="Y77" i="14"/>
  <c r="Y78" i="14"/>
  <c r="Y79" i="14"/>
  <c r="Y80" i="14"/>
  <c r="Y81" i="14"/>
  <c r="Y82" i="14"/>
  <c r="Y83" i="14"/>
  <c r="Y84" i="14"/>
  <c r="Y85" i="14"/>
  <c r="Y86" i="14"/>
  <c r="Y87" i="14"/>
  <c r="Y88" i="14"/>
  <c r="Y89" i="14"/>
  <c r="Y90" i="14"/>
  <c r="Y91" i="14"/>
  <c r="Y92" i="14"/>
  <c r="Y93" i="14"/>
  <c r="Y94" i="14"/>
  <c r="Y95" i="14"/>
  <c r="Y96" i="14"/>
  <c r="Y97" i="14"/>
  <c r="X97" i="14"/>
  <c r="W97" i="14"/>
  <c r="V97" i="14"/>
  <c r="U97" i="14"/>
  <c r="T97" i="14"/>
  <c r="S97" i="14"/>
  <c r="R97" i="14"/>
  <c r="Q97" i="14"/>
  <c r="P97" i="14"/>
  <c r="O97" i="14"/>
  <c r="L58" i="14"/>
  <c r="L59" i="14"/>
  <c r="L60" i="14"/>
  <c r="L61" i="14"/>
  <c r="L62" i="14"/>
  <c r="L63" i="14"/>
  <c r="L64" i="14"/>
  <c r="L65" i="14"/>
  <c r="L66" i="14"/>
  <c r="L67" i="14"/>
  <c r="L68" i="14"/>
  <c r="L69" i="14"/>
  <c r="L70" i="14"/>
  <c r="L71" i="14"/>
  <c r="L72" i="14"/>
  <c r="L73" i="14"/>
  <c r="L74" i="14"/>
  <c r="L75" i="14"/>
  <c r="L76" i="14"/>
  <c r="L77" i="14"/>
  <c r="L78" i="14"/>
  <c r="L79" i="14"/>
  <c r="L80" i="14"/>
  <c r="L81" i="14"/>
  <c r="L82" i="14"/>
  <c r="L83" i="14"/>
  <c r="L84" i="14"/>
  <c r="L85" i="14"/>
  <c r="L86" i="14"/>
  <c r="L87" i="14"/>
  <c r="L88" i="14"/>
  <c r="L89" i="14"/>
  <c r="L90" i="14"/>
  <c r="L91" i="14"/>
  <c r="L92" i="14"/>
  <c r="L93" i="14"/>
  <c r="L94" i="14"/>
  <c r="L95" i="14"/>
  <c r="L96" i="14"/>
  <c r="L97" i="14"/>
  <c r="K97" i="14"/>
  <c r="J97" i="14"/>
  <c r="I97" i="14"/>
  <c r="H97" i="14"/>
  <c r="G97" i="14"/>
  <c r="F97" i="14"/>
  <c r="E97" i="14"/>
  <c r="D97" i="14"/>
  <c r="C97" i="14"/>
  <c r="B97" i="14"/>
  <c r="X57" i="14"/>
  <c r="W57" i="14"/>
  <c r="V57" i="14"/>
  <c r="U57" i="14"/>
  <c r="T57" i="14"/>
  <c r="S57" i="14"/>
  <c r="R57" i="14"/>
  <c r="Q57" i="14"/>
  <c r="P57" i="14"/>
  <c r="O57" i="14"/>
  <c r="K57" i="14"/>
  <c r="J57" i="14"/>
  <c r="I57" i="14"/>
  <c r="H57" i="14"/>
  <c r="G57" i="14"/>
  <c r="F57" i="14"/>
  <c r="E57" i="14"/>
  <c r="D57" i="14"/>
  <c r="C57" i="14"/>
  <c r="B57" i="14"/>
  <c r="Y11" i="14"/>
  <c r="Y12" i="14"/>
  <c r="Y13" i="14"/>
  <c r="Y14" i="14"/>
  <c r="Y15" i="14"/>
  <c r="Y16" i="14"/>
  <c r="Y17" i="14"/>
  <c r="Y18" i="14"/>
  <c r="Y19" i="14"/>
  <c r="Y20" i="14"/>
  <c r="Y21" i="14"/>
  <c r="Y22" i="14"/>
  <c r="Y23" i="14"/>
  <c r="Y24" i="14"/>
  <c r="Y25" i="14"/>
  <c r="Y26" i="14"/>
  <c r="Y27" i="14"/>
  <c r="Y28" i="14"/>
  <c r="Y29" i="14"/>
  <c r="Y30" i="14"/>
  <c r="Y31" i="14"/>
  <c r="Y32" i="14"/>
  <c r="Y33" i="14"/>
  <c r="Y34" i="14"/>
  <c r="Y35" i="14"/>
  <c r="Y36" i="14"/>
  <c r="Y37" i="14"/>
  <c r="Y38" i="14"/>
  <c r="Y39" i="14"/>
  <c r="Y40" i="14"/>
  <c r="Y41" i="14"/>
  <c r="Y42" i="14"/>
  <c r="Y43" i="14"/>
  <c r="Y44" i="14"/>
  <c r="Y45" i="14"/>
  <c r="Y46" i="14"/>
  <c r="Y47" i="14"/>
  <c r="Y48" i="14"/>
  <c r="Y49" i="14"/>
  <c r="Y50" i="14"/>
  <c r="X50" i="14"/>
  <c r="W50" i="14"/>
  <c r="V50" i="14"/>
  <c r="U50" i="14"/>
  <c r="T50" i="14"/>
  <c r="S50" i="14"/>
  <c r="R50" i="14"/>
  <c r="Q50" i="14"/>
  <c r="P50" i="14"/>
  <c r="O5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K50" i="14"/>
  <c r="J50" i="14"/>
  <c r="I50" i="14"/>
  <c r="H50" i="14"/>
  <c r="G50" i="14"/>
  <c r="F50" i="14"/>
  <c r="E50" i="14"/>
  <c r="D50" i="14"/>
  <c r="C50" i="14"/>
  <c r="B50" i="14"/>
  <c r="X10" i="14"/>
  <c r="W10" i="14"/>
  <c r="V10" i="14"/>
  <c r="U10" i="14"/>
  <c r="T10" i="14"/>
  <c r="S10" i="14"/>
  <c r="R10" i="14"/>
  <c r="Q10" i="14"/>
  <c r="P10" i="14"/>
  <c r="O10" i="14"/>
  <c r="Y58" i="13"/>
  <c r="Y59" i="13"/>
  <c r="Y60" i="13"/>
  <c r="Y61" i="13"/>
  <c r="Y62" i="13"/>
  <c r="Y63" i="13"/>
  <c r="Y64" i="13"/>
  <c r="Y65" i="13"/>
  <c r="Y66" i="13"/>
  <c r="Y67" i="13"/>
  <c r="Y68" i="13"/>
  <c r="Y69" i="13"/>
  <c r="Y70" i="13"/>
  <c r="Y71" i="13"/>
  <c r="Y72" i="13"/>
  <c r="Y73" i="13"/>
  <c r="Y74" i="13"/>
  <c r="Y75" i="13"/>
  <c r="Y76" i="13"/>
  <c r="Y77" i="13"/>
  <c r="Y78" i="13"/>
  <c r="Y79" i="13"/>
  <c r="Y80" i="13"/>
  <c r="Y81" i="13"/>
  <c r="Y82" i="13"/>
  <c r="Y83" i="13"/>
  <c r="Y84" i="13"/>
  <c r="Y85" i="13"/>
  <c r="Y86" i="13"/>
  <c r="Y87" i="13"/>
  <c r="Y88" i="13"/>
  <c r="Y89" i="13"/>
  <c r="Y90" i="13"/>
  <c r="Y91" i="13"/>
  <c r="Y92" i="13"/>
  <c r="Y93" i="13"/>
  <c r="Y94" i="13"/>
  <c r="Y95" i="13"/>
  <c r="Y96" i="13"/>
  <c r="Y97" i="13"/>
  <c r="X97" i="13"/>
  <c r="W97" i="13"/>
  <c r="V97" i="13"/>
  <c r="U97" i="13"/>
  <c r="T97" i="13"/>
  <c r="S97" i="13"/>
  <c r="R97" i="13"/>
  <c r="Q97" i="13"/>
  <c r="P97" i="13"/>
  <c r="O9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K97" i="13"/>
  <c r="J97" i="13"/>
  <c r="I97" i="13"/>
  <c r="H97" i="13"/>
  <c r="G97" i="13"/>
  <c r="F97" i="13"/>
  <c r="E97" i="13"/>
  <c r="D97" i="13"/>
  <c r="C97" i="13"/>
  <c r="B97" i="13"/>
  <c r="X57" i="13"/>
  <c r="W57" i="13"/>
  <c r="V57" i="13"/>
  <c r="U57" i="13"/>
  <c r="T57" i="13"/>
  <c r="S57" i="13"/>
  <c r="R57" i="13"/>
  <c r="Q57" i="13"/>
  <c r="P57" i="13"/>
  <c r="O57" i="13"/>
  <c r="K57" i="13"/>
  <c r="J57" i="13"/>
  <c r="I57" i="13"/>
  <c r="H57" i="13"/>
  <c r="G57" i="13"/>
  <c r="F57" i="13"/>
  <c r="E57" i="13"/>
  <c r="D57" i="13"/>
  <c r="C57" i="13"/>
  <c r="B57" i="13"/>
  <c r="Y11" i="13"/>
  <c r="Y12" i="13"/>
  <c r="Y13" i="13"/>
  <c r="Y14" i="13"/>
  <c r="Y15" i="13"/>
  <c r="Y16" i="13"/>
  <c r="Y17" i="13"/>
  <c r="Y18" i="13"/>
  <c r="Y19" i="13"/>
  <c r="Y20" i="13"/>
  <c r="Y21" i="13"/>
  <c r="Y22" i="13"/>
  <c r="Y23" i="13"/>
  <c r="Y24" i="13"/>
  <c r="Y25" i="13"/>
  <c r="Y26" i="13"/>
  <c r="Y27" i="13"/>
  <c r="Y28" i="13"/>
  <c r="Y29" i="13"/>
  <c r="Y30" i="13"/>
  <c r="Y31" i="13"/>
  <c r="Y32" i="13"/>
  <c r="Y33" i="13"/>
  <c r="Y34" i="13"/>
  <c r="Y35" i="13"/>
  <c r="Y36" i="13"/>
  <c r="Y37" i="13"/>
  <c r="Y38" i="13"/>
  <c r="Y39" i="13"/>
  <c r="Y40" i="13"/>
  <c r="Y41" i="13"/>
  <c r="Y42" i="13"/>
  <c r="Y43" i="13"/>
  <c r="Y44" i="13"/>
  <c r="Y45" i="13"/>
  <c r="Y46" i="13"/>
  <c r="Y47" i="13"/>
  <c r="Y48" i="13"/>
  <c r="Y49" i="13"/>
  <c r="Y50" i="13"/>
  <c r="X50" i="13"/>
  <c r="W50" i="13"/>
  <c r="V50" i="13"/>
  <c r="U50" i="13"/>
  <c r="T50" i="13"/>
  <c r="S50" i="13"/>
  <c r="R50" i="13"/>
  <c r="Q50" i="13"/>
  <c r="P50" i="13"/>
  <c r="O5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K50" i="13"/>
  <c r="J50" i="13"/>
  <c r="I50" i="13"/>
  <c r="H50" i="13"/>
  <c r="G50" i="13"/>
  <c r="F50" i="13"/>
  <c r="E50" i="13"/>
  <c r="D50" i="13"/>
  <c r="C50" i="13"/>
  <c r="B50" i="13"/>
  <c r="X10" i="13"/>
  <c r="W10" i="13"/>
  <c r="V10" i="13"/>
  <c r="U10" i="13"/>
  <c r="T10" i="13"/>
  <c r="S10" i="13"/>
  <c r="R10" i="13"/>
  <c r="Q10" i="13"/>
  <c r="P10" i="13"/>
  <c r="O10" i="13"/>
  <c r="Y58" i="12"/>
  <c r="Y59" i="12"/>
  <c r="Y60" i="12"/>
  <c r="Y61" i="12"/>
  <c r="Y62" i="12"/>
  <c r="Y63" i="12"/>
  <c r="Y64" i="12"/>
  <c r="Y65" i="12"/>
  <c r="Y66" i="12"/>
  <c r="Y67" i="12"/>
  <c r="Y68" i="12"/>
  <c r="Y69" i="12"/>
  <c r="Y70" i="12"/>
  <c r="Y71" i="12"/>
  <c r="Y72" i="12"/>
  <c r="Y73" i="12"/>
  <c r="Y74" i="12"/>
  <c r="Y75" i="12"/>
  <c r="Y76" i="12"/>
  <c r="Y77" i="12"/>
  <c r="Y78" i="12"/>
  <c r="Y79" i="12"/>
  <c r="Y80" i="12"/>
  <c r="Y81" i="12"/>
  <c r="Y82" i="12"/>
  <c r="Y83" i="12"/>
  <c r="Y84" i="12"/>
  <c r="Y85" i="12"/>
  <c r="Y86" i="12"/>
  <c r="Y87" i="12"/>
  <c r="Y88" i="12"/>
  <c r="Y89" i="12"/>
  <c r="Y90" i="12"/>
  <c r="Y91" i="12"/>
  <c r="Y92" i="12"/>
  <c r="Y93" i="12"/>
  <c r="Y94" i="12"/>
  <c r="Y95" i="12"/>
  <c r="Y96" i="12"/>
  <c r="Y97" i="12"/>
  <c r="X97" i="12"/>
  <c r="W97" i="12"/>
  <c r="V97" i="12"/>
  <c r="U97" i="12"/>
  <c r="T97" i="12"/>
  <c r="S97" i="12"/>
  <c r="R97" i="12"/>
  <c r="Q97" i="12"/>
  <c r="P97" i="12"/>
  <c r="O9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K97" i="12"/>
  <c r="J97" i="12"/>
  <c r="I97" i="12"/>
  <c r="H97" i="12"/>
  <c r="G97" i="12"/>
  <c r="F97" i="12"/>
  <c r="E97" i="12"/>
  <c r="D97" i="12"/>
  <c r="C97" i="12"/>
  <c r="B97" i="12"/>
  <c r="X57" i="12"/>
  <c r="W57" i="12"/>
  <c r="V57" i="12"/>
  <c r="U57" i="12"/>
  <c r="T57" i="12"/>
  <c r="S57" i="12"/>
  <c r="R57" i="12"/>
  <c r="Q57" i="12"/>
  <c r="P57" i="12"/>
  <c r="O57" i="12"/>
  <c r="K57" i="12"/>
  <c r="J57" i="12"/>
  <c r="I57" i="12"/>
  <c r="H57" i="12"/>
  <c r="G57" i="12"/>
  <c r="F57" i="12"/>
  <c r="E57" i="12"/>
  <c r="D57" i="12"/>
  <c r="C57" i="12"/>
  <c r="B57" i="12"/>
  <c r="Y11" i="12"/>
  <c r="Y12" i="12"/>
  <c r="Y13" i="12"/>
  <c r="Y14" i="12"/>
  <c r="Y15" i="12"/>
  <c r="Y16" i="12"/>
  <c r="Y17" i="12"/>
  <c r="Y18" i="12"/>
  <c r="Y19" i="12"/>
  <c r="Y20" i="12"/>
  <c r="Y21" i="12"/>
  <c r="Y22" i="12"/>
  <c r="Y23" i="12"/>
  <c r="Y24" i="12"/>
  <c r="Y25" i="12"/>
  <c r="Y26" i="12"/>
  <c r="Y27" i="12"/>
  <c r="Y28" i="12"/>
  <c r="Y29" i="12"/>
  <c r="Y30" i="12"/>
  <c r="Y31" i="12"/>
  <c r="Y32" i="12"/>
  <c r="Y33" i="12"/>
  <c r="Y34" i="12"/>
  <c r="Y35" i="12"/>
  <c r="Y36" i="12"/>
  <c r="Y37" i="12"/>
  <c r="Y38" i="12"/>
  <c r="Y39" i="12"/>
  <c r="Y40" i="12"/>
  <c r="Y41" i="12"/>
  <c r="Y42" i="12"/>
  <c r="Y43" i="12"/>
  <c r="Y44" i="12"/>
  <c r="Y45" i="12"/>
  <c r="Y46" i="12"/>
  <c r="Y47" i="12"/>
  <c r="Y48" i="12"/>
  <c r="Y49" i="12"/>
  <c r="Y50" i="12"/>
  <c r="X50" i="12"/>
  <c r="W50" i="12"/>
  <c r="V50" i="12"/>
  <c r="U50" i="12"/>
  <c r="T50" i="12"/>
  <c r="S50" i="12"/>
  <c r="R50" i="12"/>
  <c r="Q50" i="12"/>
  <c r="P50" i="12"/>
  <c r="O5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K50" i="12"/>
  <c r="J50" i="12"/>
  <c r="I50" i="12"/>
  <c r="H50" i="12"/>
  <c r="G50" i="12"/>
  <c r="F50" i="12"/>
  <c r="E50" i="12"/>
  <c r="D50" i="12"/>
  <c r="C50" i="12"/>
  <c r="B50" i="12"/>
  <c r="X10" i="12"/>
  <c r="W10" i="12"/>
  <c r="V10" i="12"/>
  <c r="U10" i="12"/>
  <c r="T10" i="12"/>
  <c r="S10" i="12"/>
  <c r="R10" i="12"/>
  <c r="Q10" i="12"/>
  <c r="P10" i="12"/>
  <c r="O10" i="12"/>
  <c r="Y58" i="11"/>
  <c r="Y59" i="11"/>
  <c r="Y60" i="11"/>
  <c r="Y61" i="11"/>
  <c r="Y62" i="11"/>
  <c r="Y63" i="11"/>
  <c r="Y64" i="11"/>
  <c r="Y65" i="11"/>
  <c r="Y66" i="11"/>
  <c r="Y67" i="11"/>
  <c r="Y68" i="11"/>
  <c r="Y69" i="11"/>
  <c r="Y70" i="11"/>
  <c r="Y71" i="11"/>
  <c r="Y72" i="11"/>
  <c r="Y73" i="11"/>
  <c r="Y74" i="11"/>
  <c r="Y75" i="11"/>
  <c r="Y76" i="11"/>
  <c r="Y77" i="11"/>
  <c r="Y78" i="11"/>
  <c r="Y79" i="11"/>
  <c r="Y80" i="11"/>
  <c r="Y81" i="11"/>
  <c r="Y82" i="11"/>
  <c r="Y83" i="11"/>
  <c r="Y84" i="11"/>
  <c r="Y85" i="11"/>
  <c r="Y86" i="11"/>
  <c r="Y87" i="11"/>
  <c r="Y88" i="11"/>
  <c r="Y89" i="11"/>
  <c r="Y90" i="11"/>
  <c r="Y91" i="11"/>
  <c r="Y92" i="11"/>
  <c r="Y93" i="11"/>
  <c r="Y94" i="11"/>
  <c r="Y95" i="11"/>
  <c r="Y96" i="11"/>
  <c r="Y97" i="11"/>
  <c r="X97" i="11"/>
  <c r="W97" i="11"/>
  <c r="V97" i="11"/>
  <c r="U97" i="11"/>
  <c r="T97" i="11"/>
  <c r="S97" i="11"/>
  <c r="R97" i="11"/>
  <c r="Q97" i="11"/>
  <c r="P97" i="11"/>
  <c r="O9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K97" i="11"/>
  <c r="J97" i="11"/>
  <c r="I97" i="11"/>
  <c r="H97" i="11"/>
  <c r="G97" i="11"/>
  <c r="F97" i="11"/>
  <c r="E97" i="11"/>
  <c r="D97" i="11"/>
  <c r="C97" i="11"/>
  <c r="B97" i="11"/>
  <c r="X57" i="11"/>
  <c r="W57" i="11"/>
  <c r="V57" i="11"/>
  <c r="U57" i="11"/>
  <c r="T57" i="11"/>
  <c r="S57" i="11"/>
  <c r="R57" i="11"/>
  <c r="Q57" i="11"/>
  <c r="P57" i="11"/>
  <c r="O57" i="11"/>
  <c r="K57" i="11"/>
  <c r="J57" i="11"/>
  <c r="I57" i="11"/>
  <c r="H57" i="11"/>
  <c r="G57" i="11"/>
  <c r="F57" i="11"/>
  <c r="E57" i="11"/>
  <c r="D57" i="11"/>
  <c r="C57" i="11"/>
  <c r="B57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Y33" i="11"/>
  <c r="Y34" i="11"/>
  <c r="Y35" i="11"/>
  <c r="Y36" i="11"/>
  <c r="Y37" i="11"/>
  <c r="Y38" i="11"/>
  <c r="Y39" i="11"/>
  <c r="Y40" i="11"/>
  <c r="Y41" i="11"/>
  <c r="Y42" i="11"/>
  <c r="Y43" i="11"/>
  <c r="Y44" i="11"/>
  <c r="Y45" i="11"/>
  <c r="Y46" i="11"/>
  <c r="Y47" i="11"/>
  <c r="Y48" i="11"/>
  <c r="Y49" i="11"/>
  <c r="Y50" i="11"/>
  <c r="X50" i="11"/>
  <c r="W50" i="11"/>
  <c r="V50" i="11"/>
  <c r="U50" i="11"/>
  <c r="T50" i="11"/>
  <c r="S50" i="11"/>
  <c r="R50" i="11"/>
  <c r="Q50" i="11"/>
  <c r="P50" i="11"/>
  <c r="O5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K50" i="11"/>
  <c r="J50" i="11"/>
  <c r="I50" i="11"/>
  <c r="H50" i="11"/>
  <c r="G50" i="11"/>
  <c r="F50" i="11"/>
  <c r="E50" i="11"/>
  <c r="D50" i="11"/>
  <c r="C50" i="11"/>
  <c r="B50" i="11"/>
  <c r="X10" i="11"/>
  <c r="W10" i="11"/>
  <c r="V10" i="11"/>
  <c r="U10" i="11"/>
  <c r="T10" i="11"/>
  <c r="S10" i="11"/>
  <c r="R10" i="11"/>
  <c r="Q10" i="11"/>
  <c r="P10" i="11"/>
  <c r="O10" i="11"/>
  <c r="Y58" i="1"/>
  <c r="Y62" i="1"/>
  <c r="X97" i="1"/>
  <c r="W97" i="1"/>
  <c r="V97" i="1"/>
  <c r="U97" i="1"/>
  <c r="T97" i="1"/>
  <c r="S97" i="1"/>
  <c r="R97" i="1"/>
  <c r="Q97" i="1"/>
  <c r="P97" i="1"/>
  <c r="O97" i="1"/>
  <c r="L58" i="1"/>
  <c r="K97" i="1"/>
  <c r="J97" i="1"/>
  <c r="I97" i="1"/>
  <c r="H97" i="1"/>
  <c r="G97" i="1"/>
  <c r="F97" i="1"/>
  <c r="E97" i="1"/>
  <c r="D97" i="1"/>
  <c r="C97" i="1"/>
  <c r="B97" i="1"/>
  <c r="Y11" i="1"/>
  <c r="Y41" i="1"/>
  <c r="Y42" i="1"/>
  <c r="Y43" i="1"/>
  <c r="Y26" i="1"/>
  <c r="Y31" i="1"/>
  <c r="Y33" i="1"/>
  <c r="Y34" i="1"/>
  <c r="Y35" i="1"/>
  <c r="Y36" i="1"/>
  <c r="Y39" i="1"/>
  <c r="Y23" i="1"/>
  <c r="Y28" i="1"/>
  <c r="Y29" i="1"/>
  <c r="Y30" i="1"/>
  <c r="Y32" i="1"/>
  <c r="Y37" i="1"/>
  <c r="Y38" i="1"/>
  <c r="Y47" i="1"/>
  <c r="Y24" i="1"/>
  <c r="Y25" i="1"/>
  <c r="Y44" i="1"/>
  <c r="Y45" i="1"/>
  <c r="Y49" i="1"/>
  <c r="Y40" i="1"/>
  <c r="Y46" i="1"/>
  <c r="Y20" i="1"/>
  <c r="Y48" i="1"/>
  <c r="Y12" i="1"/>
  <c r="Y13" i="1"/>
  <c r="Y50" i="1" s="1"/>
  <c r="Y14" i="1"/>
  <c r="Y15" i="1"/>
  <c r="Y16" i="1"/>
  <c r="Y17" i="1"/>
  <c r="Y18" i="1"/>
  <c r="Y19" i="1"/>
  <c r="Y21" i="1"/>
  <c r="Y22" i="1"/>
  <c r="Y27" i="1"/>
  <c r="X50" i="1"/>
  <c r="W50" i="1"/>
  <c r="V50" i="1"/>
  <c r="U50" i="1"/>
  <c r="T50" i="1"/>
  <c r="S50" i="1"/>
  <c r="R50" i="1"/>
  <c r="Q50" i="1"/>
  <c r="P50" i="1"/>
  <c r="O50" i="1"/>
  <c r="L48" i="1"/>
  <c r="L26" i="1"/>
  <c r="L31" i="1"/>
  <c r="L33" i="1"/>
  <c r="L35" i="1"/>
  <c r="L36" i="1"/>
  <c r="L38" i="1"/>
  <c r="L39" i="1"/>
  <c r="L37" i="1"/>
  <c r="L11" i="1"/>
  <c r="L29" i="1"/>
  <c r="L30" i="1"/>
  <c r="L32" i="1"/>
  <c r="L23" i="1"/>
  <c r="L24" i="1"/>
  <c r="L25" i="1"/>
  <c r="L28" i="1"/>
  <c r="L44" i="1"/>
  <c r="L45" i="1"/>
  <c r="L34" i="1"/>
  <c r="L40" i="1"/>
  <c r="L20" i="1"/>
  <c r="L27" i="1"/>
  <c r="L42" i="1"/>
  <c r="L12" i="1"/>
  <c r="L13" i="1"/>
  <c r="L14" i="1"/>
  <c r="L15" i="1"/>
  <c r="L16" i="1"/>
  <c r="L17" i="1"/>
  <c r="L18" i="1"/>
  <c r="L19" i="1"/>
  <c r="L21" i="1"/>
  <c r="L22" i="1"/>
  <c r="L41" i="1"/>
  <c r="L43" i="1"/>
  <c r="L46" i="1"/>
  <c r="L47" i="1"/>
  <c r="L49" i="1"/>
  <c r="C50" i="1"/>
  <c r="D50" i="1"/>
  <c r="E50" i="1"/>
  <c r="F50" i="1"/>
  <c r="G50" i="1"/>
  <c r="H50" i="1"/>
  <c r="I50" i="1"/>
  <c r="J50" i="1"/>
  <c r="K50" i="1"/>
  <c r="B50" i="1"/>
  <c r="X57" i="1"/>
  <c r="W10" i="1"/>
  <c r="X10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1" i="1"/>
  <c r="Y60" i="1"/>
  <c r="Y97" i="1" s="1"/>
  <c r="Y59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97" i="1" s="1"/>
  <c r="L61" i="1"/>
  <c r="L60" i="1"/>
  <c r="L59" i="1"/>
  <c r="P57" i="1"/>
  <c r="Q57" i="1"/>
  <c r="R57" i="1"/>
  <c r="S57" i="1"/>
  <c r="T57" i="1"/>
  <c r="U57" i="1"/>
  <c r="V57" i="1"/>
  <c r="W57" i="1"/>
  <c r="O57" i="1"/>
  <c r="C57" i="1"/>
  <c r="D57" i="1"/>
  <c r="E57" i="1"/>
  <c r="F57" i="1"/>
  <c r="G57" i="1"/>
  <c r="H57" i="1"/>
  <c r="I57" i="1"/>
  <c r="J57" i="1"/>
  <c r="K57" i="1"/>
  <c r="B57" i="1"/>
  <c r="P10" i="1"/>
  <c r="Q10" i="1"/>
  <c r="R10" i="1"/>
  <c r="S10" i="1"/>
  <c r="T10" i="1"/>
  <c r="U10" i="1"/>
  <c r="V10" i="1"/>
  <c r="O10" i="1"/>
  <c r="I87" i="20" l="1"/>
  <c r="G87" i="20"/>
  <c r="C85" i="20"/>
  <c r="C81" i="20"/>
  <c r="E87" i="20"/>
  <c r="L50" i="14"/>
  <c r="L50" i="12"/>
  <c r="L50" i="16"/>
  <c r="L50" i="13"/>
  <c r="M67" i="20"/>
  <c r="M70" i="20" s="1"/>
  <c r="C82" i="20"/>
  <c r="J87" i="20"/>
  <c r="H87" i="20"/>
  <c r="C86" i="20"/>
  <c r="C78" i="20"/>
  <c r="C84" i="20"/>
  <c r="D87" i="20"/>
  <c r="F87" i="20"/>
  <c r="C83" i="20"/>
  <c r="C79" i="20"/>
  <c r="M31" i="8"/>
  <c r="N31" i="8" s="1"/>
  <c r="L67" i="20"/>
  <c r="L70" i="20" s="1"/>
  <c r="G67" i="20"/>
  <c r="G70" i="20" s="1"/>
  <c r="M15" i="8"/>
  <c r="N15" i="8" s="1"/>
  <c r="M41" i="8"/>
  <c r="N41" i="8" s="1"/>
  <c r="M23" i="8"/>
  <c r="N23" i="8" s="1"/>
  <c r="M7" i="8"/>
  <c r="N7" i="8" s="1"/>
  <c r="D36" i="20"/>
  <c r="M27" i="8"/>
  <c r="N27" i="8" s="1"/>
  <c r="D20" i="20"/>
  <c r="M11" i="8"/>
  <c r="N11" i="8" s="1"/>
  <c r="D30" i="20"/>
  <c r="M21" i="8"/>
  <c r="N21" i="8" s="1"/>
  <c r="D44" i="20"/>
  <c r="M35" i="8"/>
  <c r="N35" i="8" s="1"/>
  <c r="D22" i="20"/>
  <c r="M13" i="8"/>
  <c r="N13" i="8" s="1"/>
  <c r="D28" i="20"/>
  <c r="M19" i="8"/>
  <c r="N19" i="8" s="1"/>
  <c r="D12" i="20"/>
  <c r="M3" i="8"/>
  <c r="N3" i="8" s="1"/>
  <c r="D38" i="20"/>
  <c r="M29" i="8"/>
  <c r="N29" i="8" s="1"/>
  <c r="D14" i="20"/>
  <c r="M5" i="8"/>
  <c r="N5" i="8" s="1"/>
  <c r="D42" i="20"/>
  <c r="M33" i="8"/>
  <c r="N33" i="8" s="1"/>
  <c r="D34" i="20"/>
  <c r="M25" i="8"/>
  <c r="N25" i="8" s="1"/>
  <c r="D26" i="20"/>
  <c r="M17" i="8"/>
  <c r="N17" i="8" s="1"/>
  <c r="D18" i="20"/>
  <c r="M9" i="8"/>
  <c r="N9" i="8" s="1"/>
  <c r="H67" i="20"/>
  <c r="H70" i="20" s="1"/>
  <c r="F67" i="20"/>
  <c r="F70" i="20" s="1"/>
  <c r="J67" i="20"/>
  <c r="J70" i="20" s="1"/>
  <c r="L50" i="11"/>
  <c r="K49" i="20"/>
  <c r="M40" i="8"/>
  <c r="N40" i="8" s="1"/>
  <c r="K41" i="20"/>
  <c r="M32" i="8"/>
  <c r="N32" i="8" s="1"/>
  <c r="K33" i="20"/>
  <c r="M24" i="8"/>
  <c r="N24" i="8" s="1"/>
  <c r="K17" i="20"/>
  <c r="M8" i="8"/>
  <c r="N8" i="8" s="1"/>
  <c r="K47" i="20"/>
  <c r="M38" i="8"/>
  <c r="N38" i="8" s="1"/>
  <c r="K43" i="20"/>
  <c r="M34" i="8"/>
  <c r="N34" i="8" s="1"/>
  <c r="K39" i="20"/>
  <c r="M30" i="8"/>
  <c r="N30" i="8" s="1"/>
  <c r="K35" i="20"/>
  <c r="M26" i="8"/>
  <c r="N26" i="8" s="1"/>
  <c r="K31" i="20"/>
  <c r="M22" i="8"/>
  <c r="N22" i="8" s="1"/>
  <c r="K27" i="20"/>
  <c r="M18" i="8"/>
  <c r="N18" i="8" s="1"/>
  <c r="K23" i="20"/>
  <c r="M14" i="8"/>
  <c r="N14" i="8" s="1"/>
  <c r="K19" i="20"/>
  <c r="M10" i="8"/>
  <c r="N10" i="8" s="1"/>
  <c r="K15" i="20"/>
  <c r="M6" i="8"/>
  <c r="N6" i="8" s="1"/>
  <c r="K45" i="20"/>
  <c r="M36" i="8"/>
  <c r="N36" i="8" s="1"/>
  <c r="K37" i="20"/>
  <c r="M28" i="8"/>
  <c r="N28" i="8" s="1"/>
  <c r="K29" i="20"/>
  <c r="M20" i="8"/>
  <c r="N20" i="8" s="1"/>
  <c r="K25" i="20"/>
  <c r="M16" i="8"/>
  <c r="N16" i="8" s="1"/>
  <c r="K21" i="20"/>
  <c r="M12" i="8"/>
  <c r="N12" i="8" s="1"/>
  <c r="K13" i="20"/>
  <c r="M4" i="8"/>
  <c r="N4" i="8" s="1"/>
  <c r="E67" i="20"/>
  <c r="E70" i="20" s="1"/>
  <c r="L50" i="1"/>
  <c r="M39" i="8"/>
  <c r="N39" i="8" s="1"/>
  <c r="M37" i="8"/>
  <c r="N37" i="8" s="1"/>
  <c r="C80" i="20"/>
  <c r="I67" i="20"/>
  <c r="C87" i="20" l="1"/>
  <c r="K67" i="20"/>
  <c r="K70" i="20" s="1"/>
  <c r="N42" i="8"/>
  <c r="D67" i="20"/>
  <c r="D70" i="20" s="1"/>
  <c r="I70" i="20"/>
  <c r="C70" i="20" l="1"/>
  <c r="C67" i="20"/>
</calcChain>
</file>

<file path=xl/sharedStrings.xml><?xml version="1.0" encoding="utf-8"?>
<sst xmlns="http://schemas.openxmlformats.org/spreadsheetml/2006/main" count="1903" uniqueCount="113">
  <si>
    <t>Thalassa 0.9 -1.6</t>
  </si>
  <si>
    <t>Thalassa 1.3 - 2.0</t>
  </si>
  <si>
    <t>4.5 mm Progress</t>
  </si>
  <si>
    <t>6 mm Progress</t>
  </si>
  <si>
    <t>8 mm Progress</t>
  </si>
  <si>
    <t>8 mm Reproductor</t>
  </si>
  <si>
    <t>Ubicación</t>
  </si>
  <si>
    <t>Origen</t>
  </si>
  <si>
    <t>Lag. Sur Oriente</t>
  </si>
  <si>
    <t>SO1</t>
  </si>
  <si>
    <t>Ocetra</t>
  </si>
  <si>
    <t>SO2</t>
  </si>
  <si>
    <t>SO3</t>
  </si>
  <si>
    <t>SO4</t>
  </si>
  <si>
    <t>SO5</t>
  </si>
  <si>
    <t>SO6</t>
  </si>
  <si>
    <t>Lag. Sur Poniente</t>
  </si>
  <si>
    <t>SP1</t>
  </si>
  <si>
    <t>Rosario</t>
  </si>
  <si>
    <t>SP2</t>
  </si>
  <si>
    <t>SP3</t>
  </si>
  <si>
    <t>Candelaria</t>
  </si>
  <si>
    <t>SP4</t>
  </si>
  <si>
    <t>Victoria</t>
  </si>
  <si>
    <t>SP5</t>
  </si>
  <si>
    <t>SP6</t>
  </si>
  <si>
    <t>Del Carmen</t>
  </si>
  <si>
    <t>Lag Nor Oriente</t>
  </si>
  <si>
    <t>NO1</t>
  </si>
  <si>
    <t>NO2</t>
  </si>
  <si>
    <t>NO3</t>
  </si>
  <si>
    <t>NO4</t>
  </si>
  <si>
    <t>Del carmen</t>
  </si>
  <si>
    <t>NO5</t>
  </si>
  <si>
    <t>NO6</t>
  </si>
  <si>
    <t>Laguna Nor Central</t>
  </si>
  <si>
    <t>NC1</t>
  </si>
  <si>
    <t>NC2</t>
  </si>
  <si>
    <t>NC3</t>
  </si>
  <si>
    <t>NC4</t>
  </si>
  <si>
    <t>NC5</t>
  </si>
  <si>
    <t>NC6</t>
  </si>
  <si>
    <t>Laguna Nor Poniente</t>
  </si>
  <si>
    <t>NP1</t>
  </si>
  <si>
    <t>NP2</t>
  </si>
  <si>
    <t>NP3</t>
  </si>
  <si>
    <t>NP4</t>
  </si>
  <si>
    <t>NP5</t>
  </si>
  <si>
    <t>NP6</t>
  </si>
  <si>
    <t>Laguna Central</t>
  </si>
  <si>
    <t>C1</t>
  </si>
  <si>
    <t>Dolores</t>
  </si>
  <si>
    <t>C2</t>
  </si>
  <si>
    <t>C3</t>
  </si>
  <si>
    <t>C4</t>
  </si>
  <si>
    <t>C6</t>
  </si>
  <si>
    <t>Caridad</t>
  </si>
  <si>
    <t>3 mm progress ex</t>
  </si>
  <si>
    <t>Registro</t>
  </si>
  <si>
    <t>PC 01.1</t>
  </si>
  <si>
    <t>Programa de Crianza</t>
  </si>
  <si>
    <t>Versión:</t>
  </si>
  <si>
    <t>0.24</t>
  </si>
  <si>
    <t>Fecha:</t>
  </si>
  <si>
    <t>RESUMEN MENSUAL EXISTENCIAS</t>
  </si>
  <si>
    <t>Elaborado Por:</t>
  </si>
  <si>
    <t>A - Vial</t>
  </si>
  <si>
    <t>Modificado por:</t>
  </si>
  <si>
    <t>R - Gatica</t>
  </si>
  <si>
    <t>Aprobado Por</t>
  </si>
  <si>
    <t>Acuícola Alas S.A., Ruta 5 sur, Km 338, VII región, Parral</t>
  </si>
  <si>
    <t>Hojas:</t>
  </si>
  <si>
    <t>1 de 3</t>
  </si>
  <si>
    <t xml:space="preserve">Dia: </t>
  </si>
  <si>
    <t>C2N</t>
  </si>
  <si>
    <t>C5</t>
  </si>
  <si>
    <t>Hatchery</t>
  </si>
  <si>
    <t>Jaula</t>
  </si>
  <si>
    <t>Retiro de Alimentación Piscinas exteriores</t>
  </si>
  <si>
    <t>Total</t>
  </si>
  <si>
    <t>Mes:</t>
  </si>
  <si>
    <t>Folio:</t>
  </si>
  <si>
    <t>Inicial mensual</t>
  </si>
  <si>
    <t>Ingresos</t>
  </si>
  <si>
    <t>1 de 2</t>
  </si>
  <si>
    <t>2 de 2</t>
  </si>
  <si>
    <t>Loudes</t>
  </si>
  <si>
    <t>Rosa</t>
  </si>
  <si>
    <t>Etiquetas de fila</t>
  </si>
  <si>
    <t>Total general</t>
  </si>
  <si>
    <t>Suma de Thalassa 0.9 -1.6</t>
  </si>
  <si>
    <t>Suma de Thalassa 1.3 - 2.0</t>
  </si>
  <si>
    <t>Suma de 3 mm progress ex</t>
  </si>
  <si>
    <t>Suma de 4.5 mm Progress</t>
  </si>
  <si>
    <t>Suma de 6 mm Progress</t>
  </si>
  <si>
    <t>Suma de 8 mm Progress</t>
  </si>
  <si>
    <t>Suma de 8 mm Reproductor</t>
  </si>
  <si>
    <t>Pilar</t>
  </si>
  <si>
    <t>Lote</t>
  </si>
  <si>
    <t>Lourdes</t>
  </si>
  <si>
    <t>Alimentacion Consumida Mensual kg</t>
  </si>
  <si>
    <t>Total kg</t>
  </si>
  <si>
    <t>Final Mensual kg</t>
  </si>
  <si>
    <t xml:space="preserve">Total consumido </t>
  </si>
  <si>
    <t>Total Consumido kg</t>
  </si>
  <si>
    <t>Miercoles 19</t>
  </si>
  <si>
    <t>Miercoles 26</t>
  </si>
  <si>
    <t>Martes 01</t>
  </si>
  <si>
    <t>Lunes 07</t>
  </si>
  <si>
    <t>Lunes 14</t>
  </si>
  <si>
    <t>Lunes 21</t>
  </si>
  <si>
    <t>Lunes 28</t>
  </si>
  <si>
    <t>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</si>
</sst>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mmmm\-yyyy"/>
  </numFmts>
  <fonts count="2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18"/>
      <name val="Calibri"/>
      <family val="2"/>
    </font>
    <font>
      <sz val="10"/>
      <color theme="1"/>
      <name val="Calibri"/>
      <family val="2"/>
    </font>
    <font>
      <b/>
      <sz val="11"/>
      <color theme="0"/>
      <name val="Calibri"/>
      <family val="2"/>
    </font>
    <font>
      <sz val="14"/>
      <color theme="0"/>
      <name val="Calibri"/>
      <family val="2"/>
      <scheme val="minor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/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3" fillId="0" borderId="0" xfId="0" applyFont="1"/>
    <xf numFmtId="0" fontId="6" fillId="3" borderId="0" xfId="0" applyFont="1" applyFill="1" applyAlignment="1">
      <alignment vertical="center"/>
    </xf>
    <xf numFmtId="0" fontId="0" fillId="4" borderId="0" xfId="0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textRotation="90"/>
    </xf>
    <xf numFmtId="0" fontId="4" fillId="0" borderId="0" xfId="0" applyFont="1" applyAlignment="1">
      <alignment textRotation="90" wrapText="1"/>
    </xf>
    <xf numFmtId="0" fontId="5" fillId="3" borderId="0" xfId="0" applyFont="1" applyFill="1" applyAlignment="1">
      <alignment horizontal="center" vertical="center" textRotation="90" wrapText="1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10" fillId="5" borderId="3" xfId="0" applyFont="1" applyFill="1" applyBorder="1" applyAlignment="1">
      <alignment vertical="center"/>
    </xf>
    <xf numFmtId="0" fontId="4" fillId="5" borderId="3" xfId="0" applyFont="1" applyFill="1" applyBorder="1" applyAlignment="1">
      <alignment horizontal="center" vertical="center" textRotation="90" wrapText="1"/>
    </xf>
    <xf numFmtId="0" fontId="7" fillId="5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4" fillId="0" borderId="0" xfId="0" applyFont="1"/>
    <xf numFmtId="0" fontId="4" fillId="4" borderId="0" xfId="0" applyFont="1" applyFill="1" applyAlignment="1">
      <alignment horizontal="center" vertical="center" textRotation="90" wrapText="1"/>
    </xf>
    <xf numFmtId="0" fontId="11" fillId="4" borderId="0" xfId="0" applyFont="1" applyFill="1" applyAlignment="1">
      <alignment vertical="center"/>
    </xf>
    <xf numFmtId="0" fontId="7" fillId="5" borderId="3" xfId="0" applyFont="1" applyFill="1" applyBorder="1" applyAlignment="1">
      <alignment horizontal="center" vertical="center" textRotation="90" wrapText="1"/>
    </xf>
    <xf numFmtId="0" fontId="0" fillId="0" borderId="9" xfId="0" applyBorder="1" applyAlignment="1">
      <alignment vertical="center"/>
    </xf>
    <xf numFmtId="0" fontId="0" fillId="0" borderId="1" xfId="0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0" xfId="0" applyFont="1"/>
    <xf numFmtId="0" fontId="7" fillId="4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6" borderId="0" xfId="0" applyFont="1" applyFill="1" applyAlignment="1">
      <alignment vertical="center"/>
    </xf>
    <xf numFmtId="0" fontId="21" fillId="6" borderId="0" xfId="0" applyFont="1" applyFill="1" applyAlignment="1">
      <alignment horizontal="center" vertical="center" textRotation="90" wrapText="1"/>
    </xf>
    <xf numFmtId="0" fontId="3" fillId="6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10" fillId="5" borderId="13" xfId="0" applyFont="1" applyFill="1" applyBorder="1" applyAlignment="1">
      <alignment vertical="center"/>
    </xf>
    <xf numFmtId="0" fontId="4" fillId="5" borderId="13" xfId="0" applyFont="1" applyFill="1" applyBorder="1" applyAlignment="1">
      <alignment horizontal="center" vertical="center" textRotation="90" wrapText="1"/>
    </xf>
    <xf numFmtId="0" fontId="7" fillId="5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7" fillId="5" borderId="18" xfId="0" applyFont="1" applyFill="1" applyBorder="1" applyAlignment="1">
      <alignment horizontal="center" vertical="center" wrapText="1"/>
    </xf>
    <xf numFmtId="0" fontId="0" fillId="0" borderId="19" xfId="0" applyBorder="1"/>
    <xf numFmtId="0" fontId="7" fillId="5" borderId="20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10" fillId="5" borderId="14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20" fillId="6" borderId="0" xfId="0" applyFont="1" applyFill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7" fillId="2" borderId="25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/>
    </xf>
    <xf numFmtId="164" fontId="11" fillId="0" borderId="24" xfId="0" applyNumberFormat="1" applyFont="1" applyBorder="1" applyAlignment="1">
      <alignment horizontal="center" vertical="center"/>
    </xf>
    <xf numFmtId="14" fontId="11" fillId="0" borderId="24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0" fillId="4" borderId="36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 wrapText="1"/>
    </xf>
    <xf numFmtId="0" fontId="0" fillId="4" borderId="39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8" xfId="0" applyFont="1" applyBorder="1" applyAlignment="1">
      <alignment horizontal="center"/>
    </xf>
    <xf numFmtId="14" fontId="11" fillId="0" borderId="3" xfId="0" applyNumberFormat="1" applyFont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/>
    </xf>
    <xf numFmtId="0" fontId="12" fillId="0" borderId="24" xfId="0" applyFont="1" applyBorder="1"/>
    <xf numFmtId="0" fontId="13" fillId="0" borderId="24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/>
    </xf>
    <xf numFmtId="164" fontId="11" fillId="0" borderId="24" xfId="0" applyNumberFormat="1" applyFont="1" applyBorder="1" applyAlignment="1">
      <alignment horizontal="center" vertical="center"/>
    </xf>
    <xf numFmtId="14" fontId="11" fillId="0" borderId="24" xfId="0" applyNumberFormat="1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 wrapText="1"/>
    </xf>
    <xf numFmtId="165" fontId="14" fillId="0" borderId="24" xfId="0" applyNumberFormat="1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 wrapText="1"/>
    </xf>
    <xf numFmtId="0" fontId="19" fillId="3" borderId="0" xfId="0" applyFont="1" applyFill="1" applyAlignment="1">
      <alignment horizontal="center" vertical="center"/>
    </xf>
    <xf numFmtId="0" fontId="3" fillId="3" borderId="3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37" xfId="0" applyFill="1" applyBorder="1" applyAlignment="1">
      <alignment horizontal="center" vertical="center" wrapText="1"/>
    </xf>
    <xf numFmtId="0" fontId="0" fillId="4" borderId="38" xfId="0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3" fillId="3" borderId="33" xfId="0" applyFont="1" applyFill="1" applyBorder="1" applyAlignment="1">
      <alignment horizontal="center" vertical="center" wrapText="1"/>
    </xf>
    <xf numFmtId="0" fontId="3" fillId="3" borderId="34" xfId="0" applyFont="1" applyFill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0" fillId="0" borderId="0" xfId="0" applyNumberFormat="1"/>
  </cellXfs>
  <cellStyles count="1">
    <cellStyle name="Normal" xfId="0" builtinId="0"/>
  </cellStyles>
  <dxfs count="72"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89B47C11-ED66-48A7-A91A-1EA89103937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3473903F-ABAC-49C9-A667-26E26541EB1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47B6ED3A-30A2-43DC-97FE-37CA8DFD6F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9AADA102-C540-45BB-B07C-5C213BCD2A5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A22AC9BF-DB83-4D4A-B679-DB2DB15EAFF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CA6A4780-1E71-4101-8E9A-869C42A69C3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F5BAD156-B158-4D69-87AC-6DFBFE43351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870E408E-8090-477C-8567-0A7E59DE34B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C00C77FB-9BCD-49BD-8DD8-136394053D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88A87ABD-FEEF-429B-896C-93EA51CF0EF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BEB7D5E2-07F8-4F52-A15E-96C44E75344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A0C89304-30A3-452F-B503-57E56821667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D31232A8-D228-4EE1-9AA3-B3998C65147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E4EA6EA7-5C45-4F27-BB73-3B2787C986C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6E6FF5EB-CB44-4FA3-BCC4-6A2D59D876D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74D6DA3B-E9EA-487E-9584-B5618E922B0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3AA0B4FF-408B-402D-B86F-90292CCE8E8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35EEAACA-1621-4674-A157-C1A880A25D6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28575</xdr:colOff>
      <xdr:row>0</xdr:row>
      <xdr:rowOff>85725</xdr:rowOff>
    </xdr:from>
    <xdr:ext cx="781050" cy="400049"/>
    <xdr:pic>
      <xdr:nvPicPr>
        <xdr:cNvPr id="2" name="image2.jpg">
          <a:extLst>
            <a:ext uri="{FF2B5EF4-FFF2-40B4-BE49-F238E27FC236}">
              <a16:creationId xmlns:a16="http://schemas.microsoft.com/office/drawing/2014/main" id="{1F8F187F-6531-4956-8353-9AD8B44659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638800" y="85725"/>
          <a:ext cx="781050" cy="400049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323850</xdr:colOff>
      <xdr:row>0</xdr:row>
      <xdr:rowOff>133350</xdr:rowOff>
    </xdr:from>
    <xdr:ext cx="1152525" cy="285749"/>
    <xdr:pic>
      <xdr:nvPicPr>
        <xdr:cNvPr id="3" name="image1.png">
          <a:extLst>
            <a:ext uri="{FF2B5EF4-FFF2-40B4-BE49-F238E27FC236}">
              <a16:creationId xmlns:a16="http://schemas.microsoft.com/office/drawing/2014/main" id="{C14170B8-400D-4E12-BE75-912D1AFE3DF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477000" y="133350"/>
          <a:ext cx="1152525" cy="285749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</xdr:colOff>
      <xdr:row>56</xdr:row>
      <xdr:rowOff>161926</xdr:rowOff>
    </xdr:from>
    <xdr:ext cx="790575" cy="485774"/>
    <xdr:pic>
      <xdr:nvPicPr>
        <xdr:cNvPr id="4" name="image2.jpg">
          <a:extLst>
            <a:ext uri="{FF2B5EF4-FFF2-40B4-BE49-F238E27FC236}">
              <a16:creationId xmlns:a16="http://schemas.microsoft.com/office/drawing/2014/main" id="{73EA0365-B1CC-4DB5-9EAA-F01BF5FFB9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05475" y="13563601"/>
          <a:ext cx="790575" cy="485774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371475</xdr:colOff>
      <xdr:row>56</xdr:row>
      <xdr:rowOff>142875</xdr:rowOff>
    </xdr:from>
    <xdr:ext cx="1152525" cy="390525"/>
    <xdr:pic>
      <xdr:nvPicPr>
        <xdr:cNvPr id="5" name="image1.png">
          <a:extLst>
            <a:ext uri="{FF2B5EF4-FFF2-40B4-BE49-F238E27FC236}">
              <a16:creationId xmlns:a16="http://schemas.microsoft.com/office/drawing/2014/main" id="{0525AD9B-9BD3-4F40-93B9-E6B8FA3616F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524625" y="13544550"/>
          <a:ext cx="1152525" cy="390525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ardo Gatica" refreshedDate="45807.598776157407" createdVersion="8" refreshedVersion="8" minRefreshableVersion="3" recordCount="39" xr:uid="{1A8E1AD8-29E8-47CF-BC4B-F2EEBB950E06}">
  <cacheSource type="worksheet">
    <worksheetSource ref="C11:M50" sheet="Total Consumo Mensual"/>
  </cacheSource>
  <cacheFields count="11">
    <cacheField name="Origen" numFmtId="0">
      <sharedItems containsBlank="1" count="11">
        <s v="Ocetra"/>
        <s v="Victoria"/>
        <s v="Del Carmen"/>
        <s v="Rosario"/>
        <s v="Pilar"/>
        <s v="Candelaria"/>
        <s v="Dolores"/>
        <s v="Caridad"/>
        <s v="Loudes"/>
        <s v="Rosa"/>
        <m u="1"/>
      </sharedItems>
    </cacheField>
    <cacheField name="Thalassa 0.9 -1.6" numFmtId="0">
      <sharedItems containsSemiMixedTypes="0" containsString="0" containsNumber="1" containsInteger="1" minValue="0" maxValue="0"/>
    </cacheField>
    <cacheField name="Thalassa 1.3 - 2.0" numFmtId="0">
      <sharedItems containsSemiMixedTypes="0" containsString="0" containsNumber="1" containsInteger="1" minValue="0" maxValue="160"/>
    </cacheField>
    <cacheField name="3 mm progress ex" numFmtId="0">
      <sharedItems containsSemiMixedTypes="0" containsString="0" containsNumber="1" containsInteger="1" minValue="0" maxValue="225"/>
    </cacheField>
    <cacheField name="4.5 mm Progress" numFmtId="0">
      <sharedItems containsSemiMixedTypes="0" containsString="0" containsNumber="1" containsInteger="1" minValue="0" maxValue="100"/>
    </cacheField>
    <cacheField name="6 mm Progress" numFmtId="0">
      <sharedItems containsSemiMixedTypes="0" containsString="0" containsNumber="1" containsInteger="1" minValue="0" maxValue="550"/>
    </cacheField>
    <cacheField name="8 mm Progress" numFmtId="0">
      <sharedItems containsSemiMixedTypes="0" containsString="0" containsNumber="1" containsInteger="1" minValue="0" maxValue="450"/>
    </cacheField>
    <cacheField name="8 mm Reproductor" numFmtId="0">
      <sharedItems containsSemiMixedTypes="0" containsString="0" containsNumber="1" containsInteger="1" minValue="0" maxValue="150"/>
    </cacheField>
    <cacheField name="0" numFmtId="0">
      <sharedItems containsSemiMixedTypes="0" containsString="0" containsNumber="1" containsInteger="1" minValue="0" maxValue="0"/>
    </cacheField>
    <cacheField name="02" numFmtId="0">
      <sharedItems containsSemiMixedTypes="0" containsString="0" containsNumber="1" containsInteger="1" minValue="0" maxValue="0"/>
    </cacheField>
    <cacheField name="03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n v="0"/>
    <n v="0"/>
    <n v="0"/>
    <n v="0"/>
    <n v="0"/>
    <n v="0"/>
    <n v="0"/>
    <n v="0"/>
    <n v="0"/>
    <n v="0"/>
  </r>
  <r>
    <x v="0"/>
    <n v="0"/>
    <n v="0"/>
    <n v="0"/>
    <n v="0"/>
    <n v="0"/>
    <n v="0"/>
    <n v="0"/>
    <n v="0"/>
    <n v="0"/>
    <n v="0"/>
  </r>
  <r>
    <x v="0"/>
    <n v="0"/>
    <n v="0"/>
    <n v="0"/>
    <n v="0"/>
    <n v="0"/>
    <n v="0"/>
    <n v="0"/>
    <n v="0"/>
    <n v="0"/>
    <n v="0"/>
  </r>
  <r>
    <x v="0"/>
    <n v="0"/>
    <n v="0"/>
    <n v="0"/>
    <n v="0"/>
    <n v="0"/>
    <n v="0"/>
    <n v="0"/>
    <n v="0"/>
    <n v="0"/>
    <n v="0"/>
  </r>
  <r>
    <x v="0"/>
    <n v="0"/>
    <n v="0"/>
    <n v="0"/>
    <n v="0"/>
    <n v="0"/>
    <n v="0"/>
    <n v="0"/>
    <n v="0"/>
    <n v="0"/>
    <n v="0"/>
  </r>
  <r>
    <x v="0"/>
    <n v="0"/>
    <n v="0"/>
    <n v="0"/>
    <n v="0"/>
    <n v="0"/>
    <n v="0"/>
    <n v="0"/>
    <n v="0"/>
    <n v="0"/>
    <n v="0"/>
  </r>
  <r>
    <x v="0"/>
    <n v="0"/>
    <n v="0"/>
    <n v="0"/>
    <n v="0"/>
    <n v="0"/>
    <n v="0"/>
    <n v="0"/>
    <n v="0"/>
    <n v="0"/>
    <n v="0"/>
  </r>
  <r>
    <x v="0"/>
    <n v="0"/>
    <n v="0"/>
    <n v="0"/>
    <n v="0"/>
    <n v="0"/>
    <n v="0"/>
    <n v="0"/>
    <n v="0"/>
    <n v="0"/>
    <n v="0"/>
  </r>
  <r>
    <x v="0"/>
    <n v="0"/>
    <n v="0"/>
    <n v="0"/>
    <n v="0"/>
    <n v="0"/>
    <n v="0"/>
    <n v="0"/>
    <n v="0"/>
    <n v="0"/>
    <n v="0"/>
  </r>
  <r>
    <x v="1"/>
    <n v="0"/>
    <n v="0"/>
    <n v="225"/>
    <n v="100"/>
    <n v="0"/>
    <n v="0"/>
    <n v="0"/>
    <n v="0"/>
    <n v="0"/>
    <n v="0"/>
  </r>
  <r>
    <x v="0"/>
    <n v="0"/>
    <n v="0"/>
    <n v="0"/>
    <n v="0"/>
    <n v="0"/>
    <n v="0"/>
    <n v="0"/>
    <n v="0"/>
    <n v="0"/>
    <n v="0"/>
  </r>
  <r>
    <x v="2"/>
    <n v="0"/>
    <n v="0"/>
    <n v="0"/>
    <n v="0"/>
    <n v="0"/>
    <n v="0"/>
    <n v="0"/>
    <n v="0"/>
    <n v="0"/>
    <n v="0"/>
  </r>
  <r>
    <x v="3"/>
    <n v="0"/>
    <n v="0"/>
    <n v="0"/>
    <n v="0"/>
    <n v="550"/>
    <n v="150"/>
    <n v="0"/>
    <n v="0"/>
    <n v="0"/>
    <n v="0"/>
  </r>
  <r>
    <x v="4"/>
    <n v="0"/>
    <n v="0"/>
    <n v="75"/>
    <n v="50"/>
    <n v="450"/>
    <n v="0"/>
    <n v="0"/>
    <n v="0"/>
    <n v="0"/>
    <n v="0"/>
  </r>
  <r>
    <x v="4"/>
    <n v="0"/>
    <n v="0"/>
    <n v="100"/>
    <n v="50"/>
    <n v="450"/>
    <n v="0"/>
    <n v="0"/>
    <n v="0"/>
    <n v="0"/>
    <n v="0"/>
  </r>
  <r>
    <x v="2"/>
    <n v="0"/>
    <n v="0"/>
    <n v="0"/>
    <n v="0"/>
    <n v="350"/>
    <n v="450"/>
    <n v="0"/>
    <n v="0"/>
    <n v="0"/>
    <n v="0"/>
  </r>
  <r>
    <x v="5"/>
    <n v="0"/>
    <n v="0"/>
    <n v="200"/>
    <n v="75"/>
    <n v="75"/>
    <n v="0"/>
    <n v="0"/>
    <n v="0"/>
    <n v="0"/>
    <n v="0"/>
  </r>
  <r>
    <x v="3"/>
    <n v="0"/>
    <n v="0"/>
    <n v="0"/>
    <n v="0"/>
    <n v="450"/>
    <n v="150"/>
    <n v="0"/>
    <n v="0"/>
    <n v="0"/>
    <n v="0"/>
  </r>
  <r>
    <x v="0"/>
    <n v="0"/>
    <n v="0"/>
    <n v="0"/>
    <n v="0"/>
    <n v="550"/>
    <n v="225"/>
    <n v="0"/>
    <n v="0"/>
    <n v="0"/>
    <n v="0"/>
  </r>
  <r>
    <x v="0"/>
    <n v="0"/>
    <n v="0"/>
    <n v="0"/>
    <n v="0"/>
    <n v="500"/>
    <n v="225"/>
    <n v="0"/>
    <n v="0"/>
    <n v="0"/>
    <n v="0"/>
  </r>
  <r>
    <x v="0"/>
    <n v="0"/>
    <n v="0"/>
    <n v="0"/>
    <n v="0"/>
    <n v="500"/>
    <n v="225"/>
    <n v="0"/>
    <n v="0"/>
    <n v="0"/>
    <n v="0"/>
  </r>
  <r>
    <x v="0"/>
    <n v="0"/>
    <n v="0"/>
    <n v="0"/>
    <n v="0"/>
    <n v="375"/>
    <n v="275"/>
    <n v="0"/>
    <n v="0"/>
    <n v="0"/>
    <n v="0"/>
  </r>
  <r>
    <x v="0"/>
    <n v="0"/>
    <n v="0"/>
    <n v="0"/>
    <n v="0"/>
    <n v="325"/>
    <n v="150"/>
    <n v="150"/>
    <n v="0"/>
    <n v="0"/>
    <n v="0"/>
  </r>
  <r>
    <x v="0"/>
    <n v="0"/>
    <n v="0"/>
    <n v="0"/>
    <n v="0"/>
    <n v="325"/>
    <n v="150"/>
    <n v="150"/>
    <n v="0"/>
    <n v="0"/>
    <n v="0"/>
  </r>
  <r>
    <x v="0"/>
    <n v="0"/>
    <n v="0"/>
    <n v="0"/>
    <n v="0"/>
    <n v="250"/>
    <n v="150"/>
    <n v="150"/>
    <n v="0"/>
    <n v="0"/>
    <n v="0"/>
  </r>
  <r>
    <x v="0"/>
    <n v="0"/>
    <n v="0"/>
    <n v="0"/>
    <n v="0"/>
    <n v="100"/>
    <n v="150"/>
    <n v="150"/>
    <n v="0"/>
    <n v="0"/>
    <n v="0"/>
  </r>
  <r>
    <x v="0"/>
    <n v="0"/>
    <n v="0"/>
    <n v="0"/>
    <n v="0"/>
    <n v="425"/>
    <n v="225"/>
    <n v="0"/>
    <n v="0"/>
    <n v="0"/>
    <n v="0"/>
  </r>
  <r>
    <x v="0"/>
    <n v="0"/>
    <n v="0"/>
    <n v="0"/>
    <n v="0"/>
    <n v="425"/>
    <n v="225"/>
    <n v="0"/>
    <n v="0"/>
    <n v="0"/>
    <n v="0"/>
  </r>
  <r>
    <x v="0"/>
    <n v="0"/>
    <n v="0"/>
    <n v="0"/>
    <n v="0"/>
    <n v="100"/>
    <n v="150"/>
    <n v="150"/>
    <n v="0"/>
    <n v="0"/>
    <n v="0"/>
  </r>
  <r>
    <x v="0"/>
    <n v="0"/>
    <n v="0"/>
    <n v="0"/>
    <n v="0"/>
    <n v="100"/>
    <n v="150"/>
    <n v="150"/>
    <n v="0"/>
    <n v="0"/>
    <n v="0"/>
  </r>
  <r>
    <x v="6"/>
    <n v="0"/>
    <n v="0"/>
    <n v="0"/>
    <n v="0"/>
    <n v="100"/>
    <n v="150"/>
    <n v="0"/>
    <n v="0"/>
    <n v="0"/>
    <n v="0"/>
  </r>
  <r>
    <x v="7"/>
    <n v="0"/>
    <n v="160"/>
    <n v="225"/>
    <n v="0"/>
    <n v="0"/>
    <n v="0"/>
    <n v="0"/>
    <n v="0"/>
    <n v="0"/>
    <n v="0"/>
  </r>
  <r>
    <x v="6"/>
    <n v="0"/>
    <n v="0"/>
    <n v="0"/>
    <n v="0"/>
    <n v="100"/>
    <n v="150"/>
    <n v="0"/>
    <n v="0"/>
    <n v="0"/>
    <n v="0"/>
  </r>
  <r>
    <x v="0"/>
    <n v="0"/>
    <n v="0"/>
    <n v="0"/>
    <n v="0"/>
    <n v="75"/>
    <n v="0"/>
    <n v="75"/>
    <n v="0"/>
    <n v="0"/>
    <n v="0"/>
  </r>
  <r>
    <x v="2"/>
    <n v="0"/>
    <n v="0"/>
    <n v="0"/>
    <n v="0"/>
    <n v="75"/>
    <n v="0"/>
    <n v="0"/>
    <n v="0"/>
    <n v="0"/>
    <n v="0"/>
  </r>
  <r>
    <x v="8"/>
    <n v="0"/>
    <n v="0"/>
    <n v="225"/>
    <n v="0"/>
    <n v="75"/>
    <n v="0"/>
    <n v="50"/>
    <n v="0"/>
    <n v="0"/>
    <n v="0"/>
  </r>
  <r>
    <x v="9"/>
    <n v="0"/>
    <n v="0"/>
    <n v="0"/>
    <n v="0"/>
    <n v="200"/>
    <n v="0"/>
    <n v="0"/>
    <n v="0"/>
    <n v="0"/>
    <n v="0"/>
  </r>
  <r>
    <x v="7"/>
    <n v="0"/>
    <n v="160"/>
    <n v="200"/>
    <n v="0"/>
    <n v="0"/>
    <n v="0"/>
    <n v="0"/>
    <n v="0"/>
    <n v="0"/>
    <n v="0"/>
  </r>
  <r>
    <x v="2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BBAB80-D595-40B7-8A2C-87993201896D}" name="TablaDinámica3" cacheId="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H14" firstHeaderRow="0" firstDataRow="1" firstDataCol="1"/>
  <pivotFields count="11">
    <pivotField axis="axisRow" showAll="0">
      <items count="12">
        <item x="5"/>
        <item x="7"/>
        <item x="2"/>
        <item x="6"/>
        <item x="8"/>
        <item x="0"/>
        <item x="4"/>
        <item x="9"/>
        <item x="3"/>
        <item x="1"/>
        <item m="1" x="1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a de Thalassa 0.9 -1.6" fld="1" baseField="0" baseItem="0"/>
    <dataField name="Suma de Thalassa 1.3 - 2.0" fld="2" baseField="0" baseItem="0"/>
    <dataField name="Suma de 3 mm progress ex" fld="3" baseField="0" baseItem="0"/>
    <dataField name="Suma de 4.5 mm Progress" fld="4" baseField="0" baseItem="0"/>
    <dataField name="Suma de 6 mm Progress" fld="5" baseField="0" baseItem="0"/>
    <dataField name="Suma de 8 mm Progress" fld="6" baseField="0" baseItem="0"/>
    <dataField name="Suma de 8 mm Reproductor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34807-FD82-4C16-A2C0-921244310859}">
  <dimension ref="A1:Z97"/>
  <sheetViews>
    <sheetView view="pageLayout" zoomScaleNormal="100" workbookViewId="0">
      <selection activeCell="F29" sqref="F29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87" t="s">
        <v>58</v>
      </c>
      <c r="B1" s="87"/>
      <c r="C1" s="87" t="s">
        <v>59</v>
      </c>
      <c r="D1" s="87"/>
      <c r="E1" s="87"/>
      <c r="F1" s="78" t="s">
        <v>60</v>
      </c>
      <c r="G1" s="79"/>
      <c r="H1" s="79"/>
      <c r="I1" s="79"/>
      <c r="J1" s="79"/>
      <c r="K1" s="79"/>
      <c r="L1" s="79"/>
      <c r="M1" s="79"/>
      <c r="N1" s="79"/>
      <c r="O1" s="79"/>
      <c r="P1" s="79"/>
      <c r="Q1" s="80"/>
      <c r="R1" s="105"/>
      <c r="S1" s="106"/>
      <c r="T1" s="106"/>
      <c r="U1" s="106"/>
      <c r="V1" s="106"/>
      <c r="W1" s="106"/>
      <c r="X1" s="106"/>
      <c r="Y1" s="107"/>
      <c r="Z1" s="16"/>
    </row>
    <row r="2" spans="1:26" ht="11.25" customHeight="1" x14ac:dyDescent="0.25">
      <c r="A2" s="87" t="s">
        <v>61</v>
      </c>
      <c r="B2" s="87"/>
      <c r="C2" s="87">
        <v>2</v>
      </c>
      <c r="D2" s="87"/>
      <c r="E2" s="87"/>
      <c r="F2" s="81"/>
      <c r="G2" s="82"/>
      <c r="H2" s="82"/>
      <c r="I2" s="82"/>
      <c r="J2" s="82"/>
      <c r="K2" s="82"/>
      <c r="L2" s="82"/>
      <c r="M2" s="82"/>
      <c r="N2" s="82"/>
      <c r="O2" s="82"/>
      <c r="P2" s="82"/>
      <c r="Q2" s="83"/>
      <c r="R2" s="108"/>
      <c r="S2" s="109"/>
      <c r="T2" s="109"/>
      <c r="U2" s="109"/>
      <c r="V2" s="109"/>
      <c r="W2" s="109"/>
      <c r="X2" s="109"/>
      <c r="Y2" s="110"/>
      <c r="Z2" s="16"/>
    </row>
    <row r="3" spans="1:26" ht="11.25" customHeight="1" x14ac:dyDescent="0.25">
      <c r="A3" s="87" t="s">
        <v>63</v>
      </c>
      <c r="B3" s="87"/>
      <c r="C3" s="111">
        <v>44701</v>
      </c>
      <c r="D3" s="111"/>
      <c r="E3" s="111"/>
      <c r="F3" s="81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108"/>
      <c r="S3" s="109"/>
      <c r="T3" s="109"/>
      <c r="U3" s="109"/>
      <c r="V3" s="109"/>
      <c r="W3" s="109"/>
      <c r="X3" s="109"/>
      <c r="Y3" s="110"/>
      <c r="Z3" s="16"/>
    </row>
    <row r="4" spans="1:26" ht="11.25" customHeight="1" x14ac:dyDescent="0.25">
      <c r="A4" s="87" t="s">
        <v>65</v>
      </c>
      <c r="B4" s="87"/>
      <c r="C4" s="87" t="s">
        <v>66</v>
      </c>
      <c r="D4" s="87"/>
      <c r="E4" s="87"/>
      <c r="F4" s="84"/>
      <c r="G4" s="85"/>
      <c r="H4" s="85"/>
      <c r="I4" s="85"/>
      <c r="J4" s="85"/>
      <c r="K4" s="85"/>
      <c r="L4" s="85"/>
      <c r="M4" s="85"/>
      <c r="N4" s="85"/>
      <c r="O4" s="85"/>
      <c r="P4" s="85"/>
      <c r="Q4" s="86"/>
      <c r="R4" s="108"/>
      <c r="S4" s="109"/>
      <c r="T4" s="109"/>
      <c r="U4" s="109"/>
      <c r="V4" s="109"/>
      <c r="W4" s="109"/>
      <c r="X4" s="109"/>
      <c r="Y4" s="110"/>
      <c r="Z4" s="16"/>
    </row>
    <row r="5" spans="1:26" ht="11.25" customHeight="1" x14ac:dyDescent="0.25">
      <c r="A5" s="88" t="s">
        <v>67</v>
      </c>
      <c r="B5" s="88"/>
      <c r="C5" s="87" t="s">
        <v>68</v>
      </c>
      <c r="D5" s="87"/>
      <c r="E5" s="87"/>
      <c r="F5" s="96" t="s">
        <v>78</v>
      </c>
      <c r="G5" s="97"/>
      <c r="H5" s="97"/>
      <c r="I5" s="97"/>
      <c r="J5" s="97"/>
      <c r="K5" s="97"/>
      <c r="L5" s="97"/>
      <c r="M5" s="97"/>
      <c r="N5" s="97"/>
      <c r="O5" s="97"/>
      <c r="P5" s="97"/>
      <c r="Q5" s="98"/>
      <c r="R5" s="108"/>
      <c r="S5" s="109"/>
      <c r="T5" s="109"/>
      <c r="U5" s="109"/>
      <c r="V5" s="109"/>
      <c r="W5" s="109"/>
      <c r="X5" s="109"/>
      <c r="Y5" s="110"/>
    </row>
    <row r="6" spans="1:26" ht="11.25" customHeight="1" x14ac:dyDescent="0.25">
      <c r="A6" s="87" t="s">
        <v>69</v>
      </c>
      <c r="B6" s="87"/>
      <c r="C6" s="87" t="s">
        <v>66</v>
      </c>
      <c r="D6" s="87"/>
      <c r="E6" s="87"/>
      <c r="F6" s="99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1"/>
      <c r="R6" s="22" t="s">
        <v>80</v>
      </c>
      <c r="S6" s="94" t="s">
        <v>112</v>
      </c>
      <c r="T6" s="94"/>
      <c r="U6" s="23" t="s">
        <v>81</v>
      </c>
      <c r="V6" s="90"/>
      <c r="W6" s="90"/>
      <c r="X6" s="90"/>
      <c r="Y6" s="91"/>
    </row>
    <row r="7" spans="1:26" ht="11.25" customHeight="1" x14ac:dyDescent="0.25">
      <c r="A7" s="87" t="s">
        <v>71</v>
      </c>
      <c r="B7" s="87"/>
      <c r="C7" s="87" t="s">
        <v>72</v>
      </c>
      <c r="D7" s="87"/>
      <c r="E7" s="87"/>
      <c r="F7" s="102" t="s">
        <v>70</v>
      </c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4"/>
      <c r="R7" s="20"/>
      <c r="S7" s="95"/>
      <c r="T7" s="95"/>
      <c r="U7" s="21"/>
      <c r="V7" s="92"/>
      <c r="W7" s="92"/>
      <c r="X7" s="92"/>
      <c r="Y7" s="93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89" t="s">
        <v>107</v>
      </c>
      <c r="C9" s="89"/>
      <c r="D9" s="89"/>
      <c r="E9" s="89"/>
      <c r="F9" s="89"/>
      <c r="G9" s="89"/>
      <c r="H9" s="89"/>
      <c r="I9" s="89"/>
      <c r="J9" s="89"/>
      <c r="K9" s="89"/>
      <c r="L9" s="89"/>
      <c r="M9" s="6"/>
      <c r="N9" s="18" t="s">
        <v>73</v>
      </c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V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ref="W10" si="1">J10</f>
        <v>0</v>
      </c>
      <c r="X10" s="13">
        <f t="shared" ref="X10" si="2">K10</f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3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4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3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4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3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4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3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4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3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4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3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4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3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4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3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4"/>
        <v>0</v>
      </c>
    </row>
    <row r="20" spans="1:25" ht="18" customHeight="1" x14ac:dyDescent="0.25">
      <c r="A20" s="14" t="s">
        <v>22</v>
      </c>
      <c r="B20" s="10"/>
      <c r="C20" s="10"/>
      <c r="D20" s="10">
        <v>3</v>
      </c>
      <c r="E20" s="10"/>
      <c r="F20" s="10"/>
      <c r="G20" s="10"/>
      <c r="H20" s="10"/>
      <c r="I20" s="10"/>
      <c r="J20" s="10"/>
      <c r="K20" s="10"/>
      <c r="L20" s="3">
        <f t="shared" si="3"/>
        <v>3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4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3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4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3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4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>
        <v>2</v>
      </c>
      <c r="G23" s="10"/>
      <c r="H23" s="10"/>
      <c r="I23" s="10"/>
      <c r="J23" s="10"/>
      <c r="K23" s="10"/>
      <c r="L23" s="3">
        <f t="shared" si="3"/>
        <v>2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4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>
        <v>2</v>
      </c>
      <c r="G24" s="10"/>
      <c r="H24" s="10"/>
      <c r="I24" s="10"/>
      <c r="J24" s="10"/>
      <c r="K24" s="10"/>
      <c r="L24" s="3">
        <f t="shared" si="3"/>
        <v>2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4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>
        <v>2</v>
      </c>
      <c r="G25" s="10"/>
      <c r="H25" s="10"/>
      <c r="I25" s="10"/>
      <c r="J25" s="10"/>
      <c r="K25" s="10"/>
      <c r="L25" s="3">
        <f t="shared" si="3"/>
        <v>2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4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>
        <v>6</v>
      </c>
      <c r="G26" s="10"/>
      <c r="H26" s="10"/>
      <c r="I26" s="10"/>
      <c r="J26" s="10"/>
      <c r="K26" s="10"/>
      <c r="L26" s="3">
        <f t="shared" si="3"/>
        <v>6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4"/>
        <v>0</v>
      </c>
    </row>
    <row r="27" spans="1:25" ht="18" customHeight="1" x14ac:dyDescent="0.25">
      <c r="A27" s="14" t="s">
        <v>33</v>
      </c>
      <c r="B27" s="10"/>
      <c r="C27" s="10"/>
      <c r="D27" s="10">
        <v>3</v>
      </c>
      <c r="E27" s="10"/>
      <c r="F27" s="10"/>
      <c r="G27" s="10"/>
      <c r="H27" s="10"/>
      <c r="I27" s="10"/>
      <c r="J27" s="10"/>
      <c r="K27" s="10"/>
      <c r="L27" s="3">
        <f t="shared" si="3"/>
        <v>3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4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>
        <v>2</v>
      </c>
      <c r="G28" s="10"/>
      <c r="H28" s="10"/>
      <c r="I28" s="10"/>
      <c r="J28" s="10"/>
      <c r="K28" s="10"/>
      <c r="L28" s="3">
        <f t="shared" si="3"/>
        <v>2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4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>
        <v>7</v>
      </c>
      <c r="G29" s="10"/>
      <c r="H29" s="10"/>
      <c r="I29" s="10"/>
      <c r="J29" s="10"/>
      <c r="K29" s="10"/>
      <c r="L29" s="3">
        <f t="shared" si="3"/>
        <v>7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4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>
        <v>5</v>
      </c>
      <c r="G30" s="10"/>
      <c r="H30" s="10"/>
      <c r="I30" s="10"/>
      <c r="J30" s="10"/>
      <c r="K30" s="10"/>
      <c r="L30" s="3">
        <f t="shared" si="3"/>
        <v>5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4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>
        <v>5</v>
      </c>
      <c r="G31" s="10"/>
      <c r="H31" s="10"/>
      <c r="I31" s="10"/>
      <c r="J31" s="10"/>
      <c r="K31" s="10"/>
      <c r="L31" s="3">
        <f t="shared" si="3"/>
        <v>5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4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>
        <v>2</v>
      </c>
      <c r="G32" s="10"/>
      <c r="H32" s="10"/>
      <c r="I32" s="10"/>
      <c r="J32" s="10"/>
      <c r="K32" s="10"/>
      <c r="L32" s="3">
        <f t="shared" si="3"/>
        <v>2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4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>
        <v>5</v>
      </c>
      <c r="G33" s="10"/>
      <c r="H33" s="10"/>
      <c r="I33" s="10"/>
      <c r="J33" s="10"/>
      <c r="K33" s="10"/>
      <c r="L33" s="3">
        <f t="shared" si="3"/>
        <v>5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4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>
        <v>6</v>
      </c>
      <c r="G34" s="10"/>
      <c r="H34" s="10"/>
      <c r="I34" s="10"/>
      <c r="J34" s="10"/>
      <c r="K34" s="10"/>
      <c r="L34" s="3">
        <f t="shared" si="3"/>
        <v>6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4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>
        <v>2</v>
      </c>
      <c r="G35" s="10"/>
      <c r="H35" s="10"/>
      <c r="I35" s="10"/>
      <c r="J35" s="10"/>
      <c r="K35" s="10"/>
      <c r="L35" s="3">
        <f t="shared" si="3"/>
        <v>2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4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>
        <v>2</v>
      </c>
      <c r="G36" s="10"/>
      <c r="H36" s="10"/>
      <c r="I36" s="10"/>
      <c r="J36" s="10"/>
      <c r="K36" s="10"/>
      <c r="L36" s="3">
        <f t="shared" si="3"/>
        <v>2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4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>
        <v>2</v>
      </c>
      <c r="G37" s="10"/>
      <c r="H37" s="10"/>
      <c r="I37" s="10"/>
      <c r="J37" s="10"/>
      <c r="K37" s="10"/>
      <c r="L37" s="3">
        <f t="shared" si="3"/>
        <v>2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4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>
        <v>2</v>
      </c>
      <c r="G38" s="10"/>
      <c r="H38" s="10"/>
      <c r="I38" s="10"/>
      <c r="J38" s="10"/>
      <c r="K38" s="10"/>
      <c r="L38" s="3">
        <f t="shared" si="3"/>
        <v>2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4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>
        <v>2</v>
      </c>
      <c r="G39" s="10"/>
      <c r="H39" s="10"/>
      <c r="I39" s="10"/>
      <c r="J39" s="10"/>
      <c r="K39" s="10"/>
      <c r="L39" s="3">
        <f t="shared" si="3"/>
        <v>2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4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>
        <v>2</v>
      </c>
      <c r="G40" s="10"/>
      <c r="H40" s="10"/>
      <c r="I40" s="10"/>
      <c r="J40" s="10"/>
      <c r="K40" s="10"/>
      <c r="L40" s="3">
        <f t="shared" si="3"/>
        <v>2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4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>
        <v>2</v>
      </c>
      <c r="G41" s="10"/>
      <c r="H41" s="10"/>
      <c r="I41" s="10"/>
      <c r="J41" s="10"/>
      <c r="K41" s="10"/>
      <c r="L41" s="3">
        <f t="shared" si="3"/>
        <v>2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4"/>
        <v>0</v>
      </c>
    </row>
    <row r="42" spans="1:25" ht="18" customHeight="1" x14ac:dyDescent="0.25">
      <c r="A42" s="14" t="s">
        <v>74</v>
      </c>
      <c r="B42" s="10"/>
      <c r="C42" s="10"/>
      <c r="D42" s="10">
        <v>1</v>
      </c>
      <c r="E42" s="10"/>
      <c r="F42" s="10"/>
      <c r="G42" s="10"/>
      <c r="H42" s="10"/>
      <c r="I42" s="10"/>
      <c r="J42" s="10"/>
      <c r="K42" s="10"/>
      <c r="L42" s="3">
        <f t="shared" si="3"/>
        <v>1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4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>
        <v>2</v>
      </c>
      <c r="G43" s="10"/>
      <c r="H43" s="10"/>
      <c r="I43" s="10"/>
      <c r="J43" s="10"/>
      <c r="K43" s="10"/>
      <c r="L43" s="3">
        <f t="shared" si="3"/>
        <v>2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4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>
        <v>3</v>
      </c>
      <c r="G44" s="10"/>
      <c r="H44" s="10"/>
      <c r="I44" s="10"/>
      <c r="J44" s="10"/>
      <c r="K44" s="10"/>
      <c r="L44" s="3">
        <f t="shared" si="3"/>
        <v>3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4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>
        <v>3</v>
      </c>
      <c r="G45" s="10"/>
      <c r="H45" s="10"/>
      <c r="I45" s="10"/>
      <c r="J45" s="10"/>
      <c r="K45" s="10"/>
      <c r="L45" s="3">
        <f t="shared" si="3"/>
        <v>3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4"/>
        <v>0</v>
      </c>
    </row>
    <row r="46" spans="1:25" ht="18" customHeight="1" x14ac:dyDescent="0.25">
      <c r="A46" s="14" t="s">
        <v>75</v>
      </c>
      <c r="B46" s="10"/>
      <c r="C46" s="10"/>
      <c r="D46" s="10">
        <v>1</v>
      </c>
      <c r="E46" s="10"/>
      <c r="F46" s="10"/>
      <c r="G46" s="10"/>
      <c r="H46" s="10"/>
      <c r="I46" s="10"/>
      <c r="J46" s="10"/>
      <c r="K46" s="10"/>
      <c r="L46" s="3">
        <f t="shared" si="3"/>
        <v>1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4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>
        <v>5</v>
      </c>
      <c r="G47" s="10"/>
      <c r="H47" s="10"/>
      <c r="I47" s="10"/>
      <c r="J47" s="10"/>
      <c r="K47" s="10"/>
      <c r="L47" s="3">
        <f t="shared" si="3"/>
        <v>5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4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3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4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3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4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5">SUM(C11:C49)</f>
        <v>0</v>
      </c>
      <c r="D50" s="3">
        <f t="shared" si="5"/>
        <v>8</v>
      </c>
      <c r="E50" s="3">
        <f t="shared" si="5"/>
        <v>0</v>
      </c>
      <c r="F50" s="3">
        <f t="shared" si="5"/>
        <v>71</v>
      </c>
      <c r="G50" s="3">
        <f t="shared" si="5"/>
        <v>0</v>
      </c>
      <c r="H50" s="3">
        <f t="shared" si="5"/>
        <v>0</v>
      </c>
      <c r="I50" s="3">
        <f t="shared" si="5"/>
        <v>0</v>
      </c>
      <c r="J50" s="3">
        <f t="shared" si="5"/>
        <v>0</v>
      </c>
      <c r="K50" s="3">
        <f t="shared" si="5"/>
        <v>0</v>
      </c>
      <c r="L50" s="3">
        <f>SUM(L11:L49)</f>
        <v>79</v>
      </c>
      <c r="N50" s="24" t="s">
        <v>79</v>
      </c>
      <c r="O50" s="3">
        <f>SUM(O11:O49)</f>
        <v>0</v>
      </c>
      <c r="P50" s="3">
        <f t="shared" ref="P50" si="6">SUM(P11:P49)</f>
        <v>0</v>
      </c>
      <c r="Q50" s="3">
        <f t="shared" ref="Q50" si="7">SUM(Q11:Q49)</f>
        <v>0</v>
      </c>
      <c r="R50" s="3">
        <f t="shared" ref="R50" si="8">SUM(R11:R49)</f>
        <v>0</v>
      </c>
      <c r="S50" s="3">
        <f t="shared" ref="S50" si="9">SUM(S11:S49)</f>
        <v>0</v>
      </c>
      <c r="T50" s="3">
        <f t="shared" ref="T50" si="10">SUM(T11:T49)</f>
        <v>0</v>
      </c>
      <c r="U50" s="3">
        <f t="shared" ref="U50" si="11">SUM(U11:U49)</f>
        <v>0</v>
      </c>
      <c r="V50" s="3">
        <f t="shared" ref="V50" si="12">SUM(V11:V49)</f>
        <v>0</v>
      </c>
      <c r="W50" s="3">
        <f t="shared" ref="W50" si="13">SUM(W11:W49)</f>
        <v>0</v>
      </c>
      <c r="X50" s="3">
        <f t="shared" ref="X50" si="14">SUM(X11:X49)</f>
        <v>0</v>
      </c>
      <c r="Y50" s="3">
        <f>SUM(Y11:Y49)</f>
        <v>0</v>
      </c>
    </row>
    <row r="56" spans="1:25" ht="36" customHeight="1" x14ac:dyDescent="0.25">
      <c r="A56" s="18" t="s">
        <v>73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6"/>
      <c r="N56" s="18" t="s">
        <v>73</v>
      </c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</row>
    <row r="57" spans="1:25" ht="78.75" x14ac:dyDescent="0.25">
      <c r="A57" s="12"/>
      <c r="B57" s="13" t="str">
        <f>B10</f>
        <v>Thalassa 0.9 -1.6</v>
      </c>
      <c r="C57" s="13" t="str">
        <f t="shared" ref="C57:K57" si="15">C10</f>
        <v>Thalassa 1.3 - 2.0</v>
      </c>
      <c r="D57" s="13" t="str">
        <f t="shared" si="15"/>
        <v>3 mm progress ex</v>
      </c>
      <c r="E57" s="13" t="str">
        <f t="shared" si="15"/>
        <v>4.5 mm Progress</v>
      </c>
      <c r="F57" s="13" t="str">
        <f t="shared" si="15"/>
        <v>6 mm Progress</v>
      </c>
      <c r="G57" s="13" t="str">
        <f t="shared" si="15"/>
        <v>8 mm Progress</v>
      </c>
      <c r="H57" s="13" t="str">
        <f t="shared" si="15"/>
        <v>8 mm Reproductor</v>
      </c>
      <c r="I57" s="13">
        <f t="shared" si="15"/>
        <v>0</v>
      </c>
      <c r="J57" s="13">
        <f t="shared" si="15"/>
        <v>0</v>
      </c>
      <c r="K57" s="13">
        <f t="shared" si="1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16">C10</f>
        <v>Thalassa 1.3 - 2.0</v>
      </c>
      <c r="Q57" s="13" t="str">
        <f t="shared" si="16"/>
        <v>3 mm progress ex</v>
      </c>
      <c r="R57" s="13" t="str">
        <f t="shared" si="16"/>
        <v>4.5 mm Progress</v>
      </c>
      <c r="S57" s="13" t="str">
        <f t="shared" si="16"/>
        <v>6 mm Progress</v>
      </c>
      <c r="T57" s="13" t="str">
        <f t="shared" si="16"/>
        <v>8 mm Progress</v>
      </c>
      <c r="U57" s="13" t="str">
        <f t="shared" si="16"/>
        <v>8 mm Reproductor</v>
      </c>
      <c r="V57" s="13">
        <f t="shared" si="16"/>
        <v>0</v>
      </c>
      <c r="W57" s="13">
        <f t="shared" si="16"/>
        <v>0</v>
      </c>
      <c r="X57" s="13">
        <f t="shared" si="1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1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1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1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1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1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1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1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1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1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1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1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1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1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1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1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1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1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1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1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1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1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1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1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1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1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1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1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1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1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1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1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1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1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1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1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1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1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1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1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1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1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1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1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1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1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1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1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1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1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1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1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1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1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1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1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1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1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1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1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1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1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1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1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1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1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1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1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1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1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1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1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1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1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1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1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1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" si="19">SUM(C58:C96)</f>
        <v>0</v>
      </c>
      <c r="D97" s="3">
        <f t="shared" ref="D97" si="20">SUM(D58:D96)</f>
        <v>0</v>
      </c>
      <c r="E97" s="3">
        <f t="shared" ref="E97" si="21">SUM(E58:E96)</f>
        <v>0</v>
      </c>
      <c r="F97" s="3">
        <f t="shared" ref="F97" si="22">SUM(F58:F96)</f>
        <v>0</v>
      </c>
      <c r="G97" s="3">
        <f t="shared" ref="G97" si="23">SUM(G58:G96)</f>
        <v>0</v>
      </c>
      <c r="H97" s="3">
        <f t="shared" ref="H97" si="24">SUM(H58:H96)</f>
        <v>0</v>
      </c>
      <c r="I97" s="3">
        <f t="shared" ref="I97" si="25">SUM(I58:I96)</f>
        <v>0</v>
      </c>
      <c r="J97" s="3">
        <f t="shared" ref="J97" si="26">SUM(J58:J96)</f>
        <v>0</v>
      </c>
      <c r="K97" s="3">
        <f t="shared" ref="K97" si="27">SUM(K58:K96)</f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" si="28">SUM(P58:P96)</f>
        <v>0</v>
      </c>
      <c r="Q97" s="3">
        <f t="shared" ref="Q97" si="29">SUM(Q58:Q96)</f>
        <v>0</v>
      </c>
      <c r="R97" s="3">
        <f t="shared" ref="R97" si="30">SUM(R58:R96)</f>
        <v>0</v>
      </c>
      <c r="S97" s="3">
        <f t="shared" ref="S97" si="31">SUM(S58:S96)</f>
        <v>0</v>
      </c>
      <c r="T97" s="3">
        <f t="shared" ref="T97" si="32">SUM(T58:T96)</f>
        <v>0</v>
      </c>
      <c r="U97" s="3">
        <f t="shared" ref="U97" si="33">SUM(U58:U96)</f>
        <v>0</v>
      </c>
      <c r="V97" s="3">
        <f t="shared" ref="V97" si="34">SUM(V58:V96)</f>
        <v>0</v>
      </c>
      <c r="W97" s="3">
        <f t="shared" ref="W97" si="35">SUM(W58:W96)</f>
        <v>0</v>
      </c>
      <c r="X97" s="3">
        <f t="shared" ref="X97" si="36">SUM(X58:X96)</f>
        <v>0</v>
      </c>
      <c r="Y97" s="3">
        <f>SUM(Y58:Y96)</f>
        <v>0</v>
      </c>
    </row>
  </sheetData>
  <mergeCells count="24">
    <mergeCell ref="O56:Y56"/>
    <mergeCell ref="V6:Y7"/>
    <mergeCell ref="S6:T7"/>
    <mergeCell ref="B9:L9"/>
    <mergeCell ref="O9:Y9"/>
    <mergeCell ref="B56:L56"/>
    <mergeCell ref="F5:Q6"/>
    <mergeCell ref="F7:Q7"/>
    <mergeCell ref="R1:Y5"/>
    <mergeCell ref="A6:B6"/>
    <mergeCell ref="A7:B7"/>
    <mergeCell ref="C1:E1"/>
    <mergeCell ref="C2:E2"/>
    <mergeCell ref="C3:E3"/>
    <mergeCell ref="C4:E4"/>
    <mergeCell ref="C5:E5"/>
    <mergeCell ref="F1:Q4"/>
    <mergeCell ref="C6:E6"/>
    <mergeCell ref="C7:E7"/>
    <mergeCell ref="A1:B1"/>
    <mergeCell ref="A2:B2"/>
    <mergeCell ref="A3:B3"/>
    <mergeCell ref="A4:B4"/>
    <mergeCell ref="A5:B5"/>
  </mergeCells>
  <conditionalFormatting sqref="B50:L50">
    <cfRule type="cellIs" dxfId="71" priority="4" operator="equal">
      <formula>0</formula>
    </cfRule>
  </conditionalFormatting>
  <conditionalFormatting sqref="B97:L97">
    <cfRule type="cellIs" dxfId="70" priority="2" operator="equal">
      <formula>0</formula>
    </cfRule>
  </conditionalFormatting>
  <conditionalFormatting sqref="L11:L49">
    <cfRule type="cellIs" dxfId="69" priority="8" operator="equal">
      <formula>0</formula>
    </cfRule>
  </conditionalFormatting>
  <conditionalFormatting sqref="L58:L96">
    <cfRule type="cellIs" dxfId="68" priority="6" operator="equal">
      <formula>0</formula>
    </cfRule>
  </conditionalFormatting>
  <conditionalFormatting sqref="O50:Y50">
    <cfRule type="cellIs" dxfId="67" priority="3" operator="equal">
      <formula>0</formula>
    </cfRule>
  </conditionalFormatting>
  <conditionalFormatting sqref="O97:Y97">
    <cfRule type="cellIs" dxfId="66" priority="1" operator="equal">
      <formula>0</formula>
    </cfRule>
  </conditionalFormatting>
  <conditionalFormatting sqref="Y11:Y49">
    <cfRule type="cellIs" dxfId="65" priority="7" operator="equal">
      <formula>0</formula>
    </cfRule>
  </conditionalFormatting>
  <conditionalFormatting sqref="Y58:Y96">
    <cfRule type="cellIs" dxfId="64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FAA11-D9B6-4FC2-B6AC-6C35CDC12761}">
  <dimension ref="A1:Z97"/>
  <sheetViews>
    <sheetView view="pageLayout" topLeftCell="A22" zoomScaleNormal="100" workbookViewId="0">
      <selection activeCell="F26" sqref="F26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87" t="s">
        <v>58</v>
      </c>
      <c r="B1" s="87"/>
      <c r="C1" s="87" t="s">
        <v>59</v>
      </c>
      <c r="D1" s="87"/>
      <c r="E1" s="87"/>
      <c r="F1" s="78" t="s">
        <v>60</v>
      </c>
      <c r="G1" s="79"/>
      <c r="H1" s="79"/>
      <c r="I1" s="79"/>
      <c r="J1" s="79"/>
      <c r="K1" s="79"/>
      <c r="L1" s="79"/>
      <c r="M1" s="79"/>
      <c r="N1" s="79"/>
      <c r="O1" s="79"/>
      <c r="P1" s="79"/>
      <c r="Q1" s="80"/>
      <c r="R1" s="105"/>
      <c r="S1" s="106"/>
      <c r="T1" s="106"/>
      <c r="U1" s="106"/>
      <c r="V1" s="106"/>
      <c r="W1" s="106"/>
      <c r="X1" s="106"/>
      <c r="Y1" s="107"/>
      <c r="Z1" s="16"/>
    </row>
    <row r="2" spans="1:26" ht="11.25" customHeight="1" x14ac:dyDescent="0.25">
      <c r="A2" s="87" t="s">
        <v>61</v>
      </c>
      <c r="B2" s="87"/>
      <c r="C2" s="87">
        <v>2</v>
      </c>
      <c r="D2" s="87"/>
      <c r="E2" s="87"/>
      <c r="F2" s="81"/>
      <c r="G2" s="82"/>
      <c r="H2" s="82"/>
      <c r="I2" s="82"/>
      <c r="J2" s="82"/>
      <c r="K2" s="82"/>
      <c r="L2" s="82"/>
      <c r="M2" s="82"/>
      <c r="N2" s="82"/>
      <c r="O2" s="82"/>
      <c r="P2" s="82"/>
      <c r="Q2" s="83"/>
      <c r="R2" s="108"/>
      <c r="S2" s="109"/>
      <c r="T2" s="109"/>
      <c r="U2" s="109"/>
      <c r="V2" s="109"/>
      <c r="W2" s="109"/>
      <c r="X2" s="109"/>
      <c r="Y2" s="110"/>
      <c r="Z2" s="16"/>
    </row>
    <row r="3" spans="1:26" ht="11.25" customHeight="1" x14ac:dyDescent="0.25">
      <c r="A3" s="87" t="s">
        <v>63</v>
      </c>
      <c r="B3" s="87"/>
      <c r="C3" s="111">
        <v>44701</v>
      </c>
      <c r="D3" s="111"/>
      <c r="E3" s="111"/>
      <c r="F3" s="81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108"/>
      <c r="S3" s="109"/>
      <c r="T3" s="109"/>
      <c r="U3" s="109"/>
      <c r="V3" s="109"/>
      <c r="W3" s="109"/>
      <c r="X3" s="109"/>
      <c r="Y3" s="110"/>
      <c r="Z3" s="16"/>
    </row>
    <row r="4" spans="1:26" ht="11.25" customHeight="1" x14ac:dyDescent="0.25">
      <c r="A4" s="87" t="s">
        <v>65</v>
      </c>
      <c r="B4" s="87"/>
      <c r="C4" s="87" t="s">
        <v>66</v>
      </c>
      <c r="D4" s="87"/>
      <c r="E4" s="87"/>
      <c r="F4" s="84"/>
      <c r="G4" s="85"/>
      <c r="H4" s="85"/>
      <c r="I4" s="85"/>
      <c r="J4" s="85"/>
      <c r="K4" s="85"/>
      <c r="L4" s="85"/>
      <c r="M4" s="85"/>
      <c r="N4" s="85"/>
      <c r="O4" s="85"/>
      <c r="P4" s="85"/>
      <c r="Q4" s="86"/>
      <c r="R4" s="108"/>
      <c r="S4" s="109"/>
      <c r="T4" s="109"/>
      <c r="U4" s="109"/>
      <c r="V4" s="109"/>
      <c r="W4" s="109"/>
      <c r="X4" s="109"/>
      <c r="Y4" s="110"/>
      <c r="Z4" s="16"/>
    </row>
    <row r="5" spans="1:26" ht="11.25" customHeight="1" x14ac:dyDescent="0.25">
      <c r="A5" s="88" t="s">
        <v>67</v>
      </c>
      <c r="B5" s="88"/>
      <c r="C5" s="87" t="s">
        <v>68</v>
      </c>
      <c r="D5" s="87"/>
      <c r="E5" s="87"/>
      <c r="F5" s="96" t="s">
        <v>78</v>
      </c>
      <c r="G5" s="97"/>
      <c r="H5" s="97"/>
      <c r="I5" s="97"/>
      <c r="J5" s="97"/>
      <c r="K5" s="97"/>
      <c r="L5" s="97"/>
      <c r="M5" s="97"/>
      <c r="N5" s="97"/>
      <c r="O5" s="97"/>
      <c r="P5" s="97"/>
      <c r="Q5" s="98"/>
      <c r="R5" s="108"/>
      <c r="S5" s="109"/>
      <c r="T5" s="109"/>
      <c r="U5" s="109"/>
      <c r="V5" s="109"/>
      <c r="W5" s="109"/>
      <c r="X5" s="109"/>
      <c r="Y5" s="110"/>
    </row>
    <row r="6" spans="1:26" ht="11.25" customHeight="1" x14ac:dyDescent="0.25">
      <c r="A6" s="87" t="s">
        <v>69</v>
      </c>
      <c r="B6" s="87"/>
      <c r="C6" s="87" t="s">
        <v>66</v>
      </c>
      <c r="D6" s="87"/>
      <c r="E6" s="87"/>
      <c r="F6" s="99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1"/>
      <c r="R6" s="22" t="s">
        <v>80</v>
      </c>
      <c r="S6" s="94" t="str">
        <f>'01'!S6</f>
        <v>Mayo</v>
      </c>
      <c r="T6" s="94"/>
      <c r="U6" s="23" t="s">
        <v>81</v>
      </c>
      <c r="V6" s="90"/>
      <c r="W6" s="90"/>
      <c r="X6" s="90"/>
      <c r="Y6" s="91"/>
    </row>
    <row r="7" spans="1:26" ht="11.25" customHeight="1" x14ac:dyDescent="0.25">
      <c r="A7" s="87" t="s">
        <v>71</v>
      </c>
      <c r="B7" s="87"/>
      <c r="C7" s="87" t="s">
        <v>72</v>
      </c>
      <c r="D7" s="87"/>
      <c r="E7" s="87"/>
      <c r="F7" s="102" t="s">
        <v>70</v>
      </c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4"/>
      <c r="R7" s="20"/>
      <c r="S7" s="95"/>
      <c r="T7" s="95"/>
      <c r="U7" s="21"/>
      <c r="V7" s="92"/>
      <c r="W7" s="92"/>
      <c r="X7" s="92"/>
      <c r="Y7" s="93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89" t="s">
        <v>108</v>
      </c>
      <c r="C9" s="89"/>
      <c r="D9" s="89"/>
      <c r="E9" s="89"/>
      <c r="F9" s="89"/>
      <c r="G9" s="89"/>
      <c r="H9" s="89"/>
      <c r="I9" s="89"/>
      <c r="J9" s="89"/>
      <c r="K9" s="89"/>
      <c r="L9" s="89"/>
      <c r="M9" s="6"/>
      <c r="N9" s="18" t="s">
        <v>73</v>
      </c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>
        <v>2</v>
      </c>
      <c r="E20" s="10"/>
      <c r="F20" s="10"/>
      <c r="G20" s="10"/>
      <c r="H20" s="10"/>
      <c r="I20" s="10"/>
      <c r="J20" s="10"/>
      <c r="K20" s="10"/>
      <c r="L20" s="3">
        <f t="shared" si="1"/>
        <v>2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>
        <v>6</v>
      </c>
      <c r="G23" s="10"/>
      <c r="H23" s="10"/>
      <c r="I23" s="10"/>
      <c r="J23" s="10"/>
      <c r="K23" s="10"/>
      <c r="L23" s="3">
        <f t="shared" si="1"/>
        <v>6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>
        <v>1</v>
      </c>
      <c r="E24" s="10"/>
      <c r="F24" s="10">
        <v>2</v>
      </c>
      <c r="G24" s="10"/>
      <c r="H24" s="10"/>
      <c r="I24" s="10"/>
      <c r="J24" s="10"/>
      <c r="K24" s="10"/>
      <c r="L24" s="3">
        <f t="shared" si="1"/>
        <v>3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>
        <v>2</v>
      </c>
      <c r="E25" s="10"/>
      <c r="F25" s="10">
        <v>2</v>
      </c>
      <c r="G25" s="10"/>
      <c r="H25" s="10"/>
      <c r="I25" s="10"/>
      <c r="J25" s="10"/>
      <c r="K25" s="10"/>
      <c r="L25" s="3">
        <f t="shared" si="1"/>
        <v>4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>
        <v>6</v>
      </c>
      <c r="G26" s="10"/>
      <c r="H26" s="10"/>
      <c r="I26" s="10"/>
      <c r="J26" s="10"/>
      <c r="K26" s="10"/>
      <c r="L26" s="3">
        <f t="shared" si="1"/>
        <v>6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>
        <v>2</v>
      </c>
      <c r="E27" s="10"/>
      <c r="F27" s="10"/>
      <c r="G27" s="10"/>
      <c r="H27" s="10"/>
      <c r="I27" s="10"/>
      <c r="J27" s="10"/>
      <c r="K27" s="10"/>
      <c r="L27" s="3">
        <f t="shared" si="1"/>
        <v>2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>
        <v>6</v>
      </c>
      <c r="G28" s="10"/>
      <c r="H28" s="10"/>
      <c r="I28" s="10"/>
      <c r="J28" s="10"/>
      <c r="K28" s="10"/>
      <c r="L28" s="3">
        <f t="shared" si="1"/>
        <v>6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>
        <v>6</v>
      </c>
      <c r="G29" s="10"/>
      <c r="H29" s="10"/>
      <c r="I29" s="10"/>
      <c r="J29" s="10"/>
      <c r="K29" s="10"/>
      <c r="L29" s="3">
        <f t="shared" si="1"/>
        <v>6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>
        <v>6</v>
      </c>
      <c r="G30" s="10"/>
      <c r="H30" s="10"/>
      <c r="I30" s="10"/>
      <c r="J30" s="10"/>
      <c r="K30" s="10"/>
      <c r="L30" s="3">
        <f t="shared" si="1"/>
        <v>6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>
        <v>6</v>
      </c>
      <c r="G31" s="10"/>
      <c r="H31" s="10"/>
      <c r="I31" s="10"/>
      <c r="J31" s="10"/>
      <c r="K31" s="10"/>
      <c r="L31" s="3">
        <f t="shared" si="1"/>
        <v>6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>
        <v>4</v>
      </c>
      <c r="G32" s="10">
        <v>2</v>
      </c>
      <c r="H32" s="10"/>
      <c r="I32" s="10"/>
      <c r="J32" s="10"/>
      <c r="K32" s="10"/>
      <c r="L32" s="3">
        <f t="shared" si="1"/>
        <v>6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>
        <v>8</v>
      </c>
      <c r="G33" s="10"/>
      <c r="H33" s="10"/>
      <c r="I33" s="10"/>
      <c r="J33" s="10"/>
      <c r="K33" s="10"/>
      <c r="L33" s="3">
        <f t="shared" si="1"/>
        <v>8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>
        <v>7</v>
      </c>
      <c r="G34" s="10"/>
      <c r="H34" s="10"/>
      <c r="I34" s="10"/>
      <c r="J34" s="10"/>
      <c r="K34" s="10"/>
      <c r="L34" s="3">
        <f t="shared" si="1"/>
        <v>7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>
        <v>8</v>
      </c>
      <c r="G35" s="10"/>
      <c r="H35" s="10"/>
      <c r="I35" s="10"/>
      <c r="J35" s="10"/>
      <c r="K35" s="10"/>
      <c r="L35" s="3">
        <f t="shared" si="1"/>
        <v>8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>
        <v>2</v>
      </c>
      <c r="G36" s="10"/>
      <c r="H36" s="10"/>
      <c r="I36" s="10"/>
      <c r="J36" s="10"/>
      <c r="K36" s="10"/>
      <c r="L36" s="3">
        <f t="shared" si="1"/>
        <v>2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>
        <v>6</v>
      </c>
      <c r="G37" s="10"/>
      <c r="H37" s="10"/>
      <c r="I37" s="10"/>
      <c r="J37" s="10"/>
      <c r="K37" s="10"/>
      <c r="L37" s="3">
        <f t="shared" si="1"/>
        <v>6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>
        <v>6</v>
      </c>
      <c r="G38" s="10"/>
      <c r="H38" s="10"/>
      <c r="I38" s="10"/>
      <c r="J38" s="10"/>
      <c r="K38" s="10"/>
      <c r="L38" s="3">
        <f t="shared" si="1"/>
        <v>6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>
        <v>2</v>
      </c>
      <c r="G39" s="10"/>
      <c r="H39" s="10"/>
      <c r="I39" s="10"/>
      <c r="J39" s="10"/>
      <c r="K39" s="10"/>
      <c r="L39" s="3">
        <f t="shared" si="1"/>
        <v>2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>
        <v>2</v>
      </c>
      <c r="G40" s="10"/>
      <c r="H40" s="10"/>
      <c r="I40" s="10"/>
      <c r="J40" s="10"/>
      <c r="K40" s="10"/>
      <c r="L40" s="3">
        <f t="shared" si="1"/>
        <v>2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>
        <v>2</v>
      </c>
      <c r="G41" s="10"/>
      <c r="H41" s="10"/>
      <c r="I41" s="10"/>
      <c r="J41" s="10"/>
      <c r="K41" s="10"/>
      <c r="L41" s="3">
        <f t="shared" si="1"/>
        <v>2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>
        <v>2</v>
      </c>
      <c r="D42" s="10">
        <v>2</v>
      </c>
      <c r="E42" s="10"/>
      <c r="F42" s="10"/>
      <c r="G42" s="10"/>
      <c r="H42" s="10"/>
      <c r="I42" s="10"/>
      <c r="J42" s="10"/>
      <c r="K42" s="10"/>
      <c r="L42" s="3">
        <f t="shared" si="1"/>
        <v>4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>
        <v>2</v>
      </c>
      <c r="G43" s="10"/>
      <c r="H43" s="10"/>
      <c r="I43" s="10"/>
      <c r="J43" s="10"/>
      <c r="K43" s="10"/>
      <c r="L43" s="3">
        <f t="shared" si="1"/>
        <v>2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>
        <v>2</v>
      </c>
      <c r="E46" s="10"/>
      <c r="F46" s="10"/>
      <c r="G46" s="10"/>
      <c r="H46" s="10"/>
      <c r="I46" s="10"/>
      <c r="J46" s="10"/>
      <c r="K46" s="10"/>
      <c r="L46" s="3">
        <f t="shared" si="1"/>
        <v>2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>
        <v>2</v>
      </c>
      <c r="D48" s="10">
        <v>2</v>
      </c>
      <c r="E48" s="10"/>
      <c r="F48" s="10"/>
      <c r="G48" s="10"/>
      <c r="H48" s="10"/>
      <c r="I48" s="10"/>
      <c r="J48" s="10"/>
      <c r="K48" s="10"/>
      <c r="L48" s="3">
        <f t="shared" si="1"/>
        <v>4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4</v>
      </c>
      <c r="D50" s="3">
        <f t="shared" si="3"/>
        <v>13</v>
      </c>
      <c r="E50" s="3">
        <f t="shared" si="3"/>
        <v>0</v>
      </c>
      <c r="F50" s="3">
        <f t="shared" si="3"/>
        <v>89</v>
      </c>
      <c r="G50" s="3">
        <f t="shared" si="3"/>
        <v>2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108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6"/>
      <c r="N56" s="18" t="s">
        <v>73</v>
      </c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63" priority="4" operator="equal">
      <formula>0</formula>
    </cfRule>
  </conditionalFormatting>
  <conditionalFormatting sqref="B97:L97">
    <cfRule type="cellIs" dxfId="62" priority="2" operator="equal">
      <formula>0</formula>
    </cfRule>
  </conditionalFormatting>
  <conditionalFormatting sqref="L11:L49">
    <cfRule type="cellIs" dxfId="61" priority="8" operator="equal">
      <formula>0</formula>
    </cfRule>
  </conditionalFormatting>
  <conditionalFormatting sqref="L58:L96">
    <cfRule type="cellIs" dxfId="60" priority="6" operator="equal">
      <formula>0</formula>
    </cfRule>
  </conditionalFormatting>
  <conditionalFormatting sqref="O50:Y50">
    <cfRule type="cellIs" dxfId="59" priority="3" operator="equal">
      <formula>0</formula>
    </cfRule>
  </conditionalFormatting>
  <conditionalFormatting sqref="O97:Y97">
    <cfRule type="cellIs" dxfId="58" priority="1" operator="equal">
      <formula>0</formula>
    </cfRule>
  </conditionalFormatting>
  <conditionalFormatting sqref="Y11:Y49">
    <cfRule type="cellIs" dxfId="57" priority="7" operator="equal">
      <formula>0</formula>
    </cfRule>
  </conditionalFormatting>
  <conditionalFormatting sqref="Y58:Y96">
    <cfRule type="cellIs" dxfId="56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44D3B-6CAC-4ACF-8D5C-759BCA994583}">
  <dimension ref="A1:Z97"/>
  <sheetViews>
    <sheetView view="pageLayout" topLeftCell="A16" zoomScaleNormal="100" workbookViewId="0">
      <selection activeCell="I27" sqref="I27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87" t="s">
        <v>58</v>
      </c>
      <c r="B1" s="87"/>
      <c r="C1" s="87" t="s">
        <v>59</v>
      </c>
      <c r="D1" s="87"/>
      <c r="E1" s="87"/>
      <c r="F1" s="78" t="s">
        <v>60</v>
      </c>
      <c r="G1" s="79"/>
      <c r="H1" s="79"/>
      <c r="I1" s="79"/>
      <c r="J1" s="79"/>
      <c r="K1" s="79"/>
      <c r="L1" s="79"/>
      <c r="M1" s="79"/>
      <c r="N1" s="79"/>
      <c r="O1" s="79"/>
      <c r="P1" s="79"/>
      <c r="Q1" s="80"/>
      <c r="R1" s="105"/>
      <c r="S1" s="106"/>
      <c r="T1" s="106"/>
      <c r="U1" s="106"/>
      <c r="V1" s="106"/>
      <c r="W1" s="106"/>
      <c r="X1" s="106"/>
      <c r="Y1" s="107"/>
      <c r="Z1" s="16"/>
    </row>
    <row r="2" spans="1:26" ht="11.25" customHeight="1" x14ac:dyDescent="0.25">
      <c r="A2" s="87" t="s">
        <v>61</v>
      </c>
      <c r="B2" s="87"/>
      <c r="C2" s="87">
        <v>2</v>
      </c>
      <c r="D2" s="87"/>
      <c r="E2" s="87"/>
      <c r="F2" s="81"/>
      <c r="G2" s="82"/>
      <c r="H2" s="82"/>
      <c r="I2" s="82"/>
      <c r="J2" s="82"/>
      <c r="K2" s="82"/>
      <c r="L2" s="82"/>
      <c r="M2" s="82"/>
      <c r="N2" s="82"/>
      <c r="O2" s="82"/>
      <c r="P2" s="82"/>
      <c r="Q2" s="83"/>
      <c r="R2" s="108"/>
      <c r="S2" s="109"/>
      <c r="T2" s="109"/>
      <c r="U2" s="109"/>
      <c r="V2" s="109"/>
      <c r="W2" s="109"/>
      <c r="X2" s="109"/>
      <c r="Y2" s="110"/>
      <c r="Z2" s="16"/>
    </row>
    <row r="3" spans="1:26" ht="11.25" customHeight="1" x14ac:dyDescent="0.25">
      <c r="A3" s="87" t="s">
        <v>63</v>
      </c>
      <c r="B3" s="87"/>
      <c r="C3" s="111">
        <v>44701</v>
      </c>
      <c r="D3" s="111"/>
      <c r="E3" s="111"/>
      <c r="F3" s="81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108"/>
      <c r="S3" s="109"/>
      <c r="T3" s="109"/>
      <c r="U3" s="109"/>
      <c r="V3" s="109"/>
      <c r="W3" s="109"/>
      <c r="X3" s="109"/>
      <c r="Y3" s="110"/>
      <c r="Z3" s="16"/>
    </row>
    <row r="4" spans="1:26" ht="11.25" customHeight="1" x14ac:dyDescent="0.25">
      <c r="A4" s="87" t="s">
        <v>65</v>
      </c>
      <c r="B4" s="87"/>
      <c r="C4" s="87" t="s">
        <v>66</v>
      </c>
      <c r="D4" s="87"/>
      <c r="E4" s="87"/>
      <c r="F4" s="84"/>
      <c r="G4" s="85"/>
      <c r="H4" s="85"/>
      <c r="I4" s="85"/>
      <c r="J4" s="85"/>
      <c r="K4" s="85"/>
      <c r="L4" s="85"/>
      <c r="M4" s="85"/>
      <c r="N4" s="85"/>
      <c r="O4" s="85"/>
      <c r="P4" s="85"/>
      <c r="Q4" s="86"/>
      <c r="R4" s="108"/>
      <c r="S4" s="109"/>
      <c r="T4" s="109"/>
      <c r="U4" s="109"/>
      <c r="V4" s="109"/>
      <c r="W4" s="109"/>
      <c r="X4" s="109"/>
      <c r="Y4" s="110"/>
      <c r="Z4" s="16"/>
    </row>
    <row r="5" spans="1:26" ht="11.25" customHeight="1" x14ac:dyDescent="0.25">
      <c r="A5" s="88" t="s">
        <v>67</v>
      </c>
      <c r="B5" s="88"/>
      <c r="C5" s="87" t="s">
        <v>68</v>
      </c>
      <c r="D5" s="87"/>
      <c r="E5" s="87"/>
      <c r="F5" s="96" t="s">
        <v>78</v>
      </c>
      <c r="G5" s="97"/>
      <c r="H5" s="97"/>
      <c r="I5" s="97"/>
      <c r="J5" s="97"/>
      <c r="K5" s="97"/>
      <c r="L5" s="97"/>
      <c r="M5" s="97"/>
      <c r="N5" s="97"/>
      <c r="O5" s="97"/>
      <c r="P5" s="97"/>
      <c r="Q5" s="98"/>
      <c r="R5" s="108"/>
      <c r="S5" s="109"/>
      <c r="T5" s="109"/>
      <c r="U5" s="109"/>
      <c r="V5" s="109"/>
      <c r="W5" s="109"/>
      <c r="X5" s="109"/>
      <c r="Y5" s="110"/>
    </row>
    <row r="6" spans="1:26" ht="11.25" customHeight="1" x14ac:dyDescent="0.25">
      <c r="A6" s="87" t="s">
        <v>69</v>
      </c>
      <c r="B6" s="87"/>
      <c r="C6" s="87" t="s">
        <v>66</v>
      </c>
      <c r="D6" s="87"/>
      <c r="E6" s="87"/>
      <c r="F6" s="99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1"/>
      <c r="R6" s="22" t="s">
        <v>80</v>
      </c>
      <c r="S6" s="94" t="str">
        <f>'01'!S6</f>
        <v>Mayo</v>
      </c>
      <c r="T6" s="94"/>
      <c r="U6" s="23" t="s">
        <v>81</v>
      </c>
      <c r="V6" s="90"/>
      <c r="W6" s="90"/>
      <c r="X6" s="90"/>
      <c r="Y6" s="91"/>
    </row>
    <row r="7" spans="1:26" ht="11.25" customHeight="1" x14ac:dyDescent="0.25">
      <c r="A7" s="87" t="s">
        <v>71</v>
      </c>
      <c r="B7" s="87"/>
      <c r="C7" s="87" t="s">
        <v>72</v>
      </c>
      <c r="D7" s="87"/>
      <c r="E7" s="87"/>
      <c r="F7" s="102" t="s">
        <v>70</v>
      </c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4"/>
      <c r="R7" s="20"/>
      <c r="S7" s="95"/>
      <c r="T7" s="95"/>
      <c r="U7" s="21"/>
      <c r="V7" s="92"/>
      <c r="W7" s="92"/>
      <c r="X7" s="92"/>
      <c r="Y7" s="93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89" t="s">
        <v>109</v>
      </c>
      <c r="C9" s="89"/>
      <c r="D9" s="89"/>
      <c r="E9" s="89"/>
      <c r="F9" s="89"/>
      <c r="G9" s="89"/>
      <c r="H9" s="89"/>
      <c r="I9" s="89"/>
      <c r="J9" s="89"/>
      <c r="K9" s="89"/>
      <c r="L9" s="89"/>
      <c r="M9" s="6"/>
      <c r="N9" s="18" t="s">
        <v>73</v>
      </c>
      <c r="O9" s="89" t="s">
        <v>105</v>
      </c>
      <c r="P9" s="89"/>
      <c r="Q9" s="89"/>
      <c r="R9" s="89"/>
      <c r="S9" s="89"/>
      <c r="T9" s="89"/>
      <c r="U9" s="89"/>
      <c r="V9" s="89"/>
      <c r="W9" s="89"/>
      <c r="X9" s="89"/>
      <c r="Y9" s="89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>
        <v>6</v>
      </c>
      <c r="G23" s="10">
        <v>2</v>
      </c>
      <c r="H23" s="10"/>
      <c r="I23" s="10"/>
      <c r="J23" s="10"/>
      <c r="K23" s="10"/>
      <c r="L23" s="3">
        <f t="shared" si="1"/>
        <v>8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>
        <v>6</v>
      </c>
      <c r="G24" s="10"/>
      <c r="H24" s="10"/>
      <c r="I24" s="10"/>
      <c r="J24" s="10"/>
      <c r="K24" s="10"/>
      <c r="L24" s="3">
        <f t="shared" si="1"/>
        <v>6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>
        <v>6</v>
      </c>
      <c r="G25" s="10"/>
      <c r="H25" s="10"/>
      <c r="I25" s="10"/>
      <c r="J25" s="10"/>
      <c r="K25" s="10"/>
      <c r="L25" s="3">
        <f t="shared" si="1"/>
        <v>6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>
        <v>6</v>
      </c>
      <c r="H26" s="10"/>
      <c r="I26" s="10"/>
      <c r="J26" s="10"/>
      <c r="K26" s="10"/>
      <c r="L26" s="3">
        <f t="shared" si="1"/>
        <v>6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>
        <v>3</v>
      </c>
      <c r="G27" s="10"/>
      <c r="H27" s="10"/>
      <c r="I27" s="10"/>
      <c r="J27" s="10"/>
      <c r="K27" s="10"/>
      <c r="L27" s="3">
        <f t="shared" si="1"/>
        <v>3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>
        <v>4</v>
      </c>
      <c r="G28" s="10">
        <v>2</v>
      </c>
      <c r="H28" s="10"/>
      <c r="I28" s="10"/>
      <c r="J28" s="10"/>
      <c r="K28" s="10"/>
      <c r="L28" s="3">
        <f t="shared" si="1"/>
        <v>6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>
        <v>3</v>
      </c>
      <c r="G29" s="10">
        <v>3</v>
      </c>
      <c r="H29" s="10"/>
      <c r="I29" s="10"/>
      <c r="J29" s="10"/>
      <c r="K29" s="10"/>
      <c r="L29" s="3">
        <f t="shared" si="1"/>
        <v>6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>
        <v>3</v>
      </c>
      <c r="G30" s="10">
        <v>3</v>
      </c>
      <c r="H30" s="10"/>
      <c r="I30" s="10"/>
      <c r="J30" s="10"/>
      <c r="K30" s="10"/>
      <c r="L30" s="3">
        <f t="shared" si="1"/>
        <v>6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>
        <v>3</v>
      </c>
      <c r="G31" s="10">
        <v>3</v>
      </c>
      <c r="H31" s="10"/>
      <c r="I31" s="10"/>
      <c r="J31" s="10"/>
      <c r="K31" s="10"/>
      <c r="L31" s="3">
        <f t="shared" si="1"/>
        <v>6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>
        <v>3</v>
      </c>
      <c r="G32" s="10">
        <v>3</v>
      </c>
      <c r="H32" s="10"/>
      <c r="I32" s="10"/>
      <c r="J32" s="10"/>
      <c r="K32" s="10"/>
      <c r="L32" s="3">
        <f t="shared" si="1"/>
        <v>6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>
        <v>2</v>
      </c>
      <c r="H33" s="10"/>
      <c r="I33" s="10"/>
      <c r="J33" s="10"/>
      <c r="K33" s="10"/>
      <c r="L33" s="3">
        <f t="shared" si="1"/>
        <v>2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>
        <v>2</v>
      </c>
      <c r="H34" s="10"/>
      <c r="I34" s="10"/>
      <c r="J34" s="10"/>
      <c r="K34" s="10"/>
      <c r="L34" s="3">
        <f t="shared" si="1"/>
        <v>2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>
        <v>2</v>
      </c>
      <c r="H35" s="10"/>
      <c r="I35" s="10"/>
      <c r="J35" s="10"/>
      <c r="K35" s="10"/>
      <c r="L35" s="3">
        <f t="shared" si="1"/>
        <v>2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>
        <v>2</v>
      </c>
      <c r="H36" s="10"/>
      <c r="I36" s="10"/>
      <c r="J36" s="10"/>
      <c r="K36" s="10"/>
      <c r="L36" s="3">
        <f t="shared" si="1"/>
        <v>2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>
        <v>3</v>
      </c>
      <c r="G37" s="10">
        <v>3</v>
      </c>
      <c r="H37" s="10"/>
      <c r="I37" s="10"/>
      <c r="J37" s="10"/>
      <c r="K37" s="10"/>
      <c r="L37" s="3">
        <f t="shared" si="1"/>
        <v>6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>
        <v>3</v>
      </c>
      <c r="G38" s="10">
        <v>3</v>
      </c>
      <c r="H38" s="10"/>
      <c r="I38" s="10"/>
      <c r="J38" s="10"/>
      <c r="K38" s="10"/>
      <c r="L38" s="3">
        <f t="shared" si="1"/>
        <v>6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>
        <v>2</v>
      </c>
      <c r="H39" s="10"/>
      <c r="I39" s="10"/>
      <c r="J39" s="10"/>
      <c r="K39" s="10"/>
      <c r="L39" s="3">
        <f t="shared" si="1"/>
        <v>2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>
        <v>2</v>
      </c>
      <c r="H40" s="10"/>
      <c r="I40" s="10"/>
      <c r="J40" s="10"/>
      <c r="K40" s="10"/>
      <c r="L40" s="3">
        <f t="shared" si="1"/>
        <v>2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>
        <v>2</v>
      </c>
      <c r="H41" s="10"/>
      <c r="I41" s="10"/>
      <c r="J41" s="10"/>
      <c r="K41" s="10"/>
      <c r="L41" s="3">
        <f t="shared" si="1"/>
        <v>2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>
        <v>2</v>
      </c>
      <c r="D42" s="10">
        <v>2</v>
      </c>
      <c r="E42" s="10"/>
      <c r="F42" s="10"/>
      <c r="G42" s="10"/>
      <c r="H42" s="10"/>
      <c r="I42" s="10"/>
      <c r="J42" s="10"/>
      <c r="K42" s="10"/>
      <c r="L42" s="3">
        <f t="shared" si="1"/>
        <v>4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>
        <v>2</v>
      </c>
      <c r="H43" s="10"/>
      <c r="I43" s="10"/>
      <c r="J43" s="10"/>
      <c r="K43" s="10"/>
      <c r="L43" s="3">
        <f t="shared" si="1"/>
        <v>2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>
        <v>2</v>
      </c>
      <c r="E46" s="10"/>
      <c r="F46" s="10">
        <v>3</v>
      </c>
      <c r="G46" s="10"/>
      <c r="H46" s="10"/>
      <c r="I46" s="10"/>
      <c r="J46" s="10"/>
      <c r="K46" s="10"/>
      <c r="L46" s="3">
        <f t="shared" si="1"/>
        <v>5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>
        <v>3</v>
      </c>
      <c r="G47" s="10"/>
      <c r="H47" s="10"/>
      <c r="I47" s="10"/>
      <c r="J47" s="10"/>
      <c r="K47" s="10"/>
      <c r="L47" s="3">
        <f t="shared" si="1"/>
        <v>3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>
        <v>2</v>
      </c>
      <c r="D48" s="10">
        <v>2</v>
      </c>
      <c r="E48" s="10"/>
      <c r="F48" s="10"/>
      <c r="G48" s="10"/>
      <c r="H48" s="10"/>
      <c r="I48" s="10"/>
      <c r="J48" s="10"/>
      <c r="K48" s="10"/>
      <c r="L48" s="3">
        <f t="shared" si="1"/>
        <v>4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4</v>
      </c>
      <c r="D50" s="3">
        <f t="shared" si="3"/>
        <v>6</v>
      </c>
      <c r="E50" s="3">
        <f t="shared" si="3"/>
        <v>0</v>
      </c>
      <c r="F50" s="3">
        <f t="shared" si="3"/>
        <v>49</v>
      </c>
      <c r="G50" s="3">
        <f t="shared" si="3"/>
        <v>44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103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6"/>
      <c r="N56" s="18" t="s">
        <v>73</v>
      </c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55" priority="4" operator="equal">
      <formula>0</formula>
    </cfRule>
  </conditionalFormatting>
  <conditionalFormatting sqref="B97:L97">
    <cfRule type="cellIs" dxfId="54" priority="2" operator="equal">
      <formula>0</formula>
    </cfRule>
  </conditionalFormatting>
  <conditionalFormatting sqref="L11:L49">
    <cfRule type="cellIs" dxfId="53" priority="8" operator="equal">
      <formula>0</formula>
    </cfRule>
  </conditionalFormatting>
  <conditionalFormatting sqref="L58:L96">
    <cfRule type="cellIs" dxfId="52" priority="6" operator="equal">
      <formula>0</formula>
    </cfRule>
  </conditionalFormatting>
  <conditionalFormatting sqref="O50:Y50">
    <cfRule type="cellIs" dxfId="51" priority="3" operator="equal">
      <formula>0</formula>
    </cfRule>
  </conditionalFormatting>
  <conditionalFormatting sqref="O97:Y97">
    <cfRule type="cellIs" dxfId="50" priority="1" operator="equal">
      <formula>0</formula>
    </cfRule>
  </conditionalFormatting>
  <conditionalFormatting sqref="Y11:Y49">
    <cfRule type="cellIs" dxfId="49" priority="7" operator="equal">
      <formula>0</formula>
    </cfRule>
  </conditionalFormatting>
  <conditionalFormatting sqref="Y58:Y96">
    <cfRule type="cellIs" dxfId="48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9116A-3283-4C5D-B44A-21AE19DC017D}">
  <dimension ref="A1:Z97"/>
  <sheetViews>
    <sheetView view="pageLayout" topLeftCell="A14" zoomScaleNormal="100" workbookViewId="0">
      <selection activeCell="F26" sqref="F26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87" t="s">
        <v>58</v>
      </c>
      <c r="B1" s="87"/>
      <c r="C1" s="87" t="s">
        <v>59</v>
      </c>
      <c r="D1" s="87"/>
      <c r="E1" s="87"/>
      <c r="F1" s="78" t="s">
        <v>60</v>
      </c>
      <c r="G1" s="79"/>
      <c r="H1" s="79"/>
      <c r="I1" s="79"/>
      <c r="J1" s="79"/>
      <c r="K1" s="79"/>
      <c r="L1" s="79"/>
      <c r="M1" s="79"/>
      <c r="N1" s="79"/>
      <c r="O1" s="79"/>
      <c r="P1" s="79"/>
      <c r="Q1" s="80"/>
      <c r="R1" s="105"/>
      <c r="S1" s="106"/>
      <c r="T1" s="106"/>
      <c r="U1" s="106"/>
      <c r="V1" s="106"/>
      <c r="W1" s="106"/>
      <c r="X1" s="106"/>
      <c r="Y1" s="107"/>
      <c r="Z1" s="16"/>
    </row>
    <row r="2" spans="1:26" ht="11.25" customHeight="1" x14ac:dyDescent="0.25">
      <c r="A2" s="87" t="s">
        <v>61</v>
      </c>
      <c r="B2" s="87"/>
      <c r="C2" s="87">
        <v>2</v>
      </c>
      <c r="D2" s="87"/>
      <c r="E2" s="87"/>
      <c r="F2" s="81"/>
      <c r="G2" s="82"/>
      <c r="H2" s="82"/>
      <c r="I2" s="82"/>
      <c r="J2" s="82"/>
      <c r="K2" s="82"/>
      <c r="L2" s="82"/>
      <c r="M2" s="82"/>
      <c r="N2" s="82"/>
      <c r="O2" s="82"/>
      <c r="P2" s="82"/>
      <c r="Q2" s="83"/>
      <c r="R2" s="108"/>
      <c r="S2" s="109"/>
      <c r="T2" s="109"/>
      <c r="U2" s="109"/>
      <c r="V2" s="109"/>
      <c r="W2" s="109"/>
      <c r="X2" s="109"/>
      <c r="Y2" s="110"/>
      <c r="Z2" s="16"/>
    </row>
    <row r="3" spans="1:26" ht="11.25" customHeight="1" x14ac:dyDescent="0.25">
      <c r="A3" s="87" t="s">
        <v>63</v>
      </c>
      <c r="B3" s="87"/>
      <c r="C3" s="111">
        <v>44701</v>
      </c>
      <c r="D3" s="111"/>
      <c r="E3" s="111"/>
      <c r="F3" s="81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108"/>
      <c r="S3" s="109"/>
      <c r="T3" s="109"/>
      <c r="U3" s="109"/>
      <c r="V3" s="109"/>
      <c r="W3" s="109"/>
      <c r="X3" s="109"/>
      <c r="Y3" s="110"/>
      <c r="Z3" s="16"/>
    </row>
    <row r="4" spans="1:26" ht="11.25" customHeight="1" x14ac:dyDescent="0.25">
      <c r="A4" s="87" t="s">
        <v>65</v>
      </c>
      <c r="B4" s="87"/>
      <c r="C4" s="87" t="s">
        <v>66</v>
      </c>
      <c r="D4" s="87"/>
      <c r="E4" s="87"/>
      <c r="F4" s="84"/>
      <c r="G4" s="85"/>
      <c r="H4" s="85"/>
      <c r="I4" s="85"/>
      <c r="J4" s="85"/>
      <c r="K4" s="85"/>
      <c r="L4" s="85"/>
      <c r="M4" s="85"/>
      <c r="N4" s="85"/>
      <c r="O4" s="85"/>
      <c r="P4" s="85"/>
      <c r="Q4" s="86"/>
      <c r="R4" s="108"/>
      <c r="S4" s="109"/>
      <c r="T4" s="109"/>
      <c r="U4" s="109"/>
      <c r="V4" s="109"/>
      <c r="W4" s="109"/>
      <c r="X4" s="109"/>
      <c r="Y4" s="110"/>
      <c r="Z4" s="16"/>
    </row>
    <row r="5" spans="1:26" ht="11.25" customHeight="1" x14ac:dyDescent="0.25">
      <c r="A5" s="88" t="s">
        <v>67</v>
      </c>
      <c r="B5" s="88"/>
      <c r="C5" s="87" t="s">
        <v>68</v>
      </c>
      <c r="D5" s="87"/>
      <c r="E5" s="87"/>
      <c r="F5" s="96" t="s">
        <v>78</v>
      </c>
      <c r="G5" s="97"/>
      <c r="H5" s="97"/>
      <c r="I5" s="97"/>
      <c r="J5" s="97"/>
      <c r="K5" s="97"/>
      <c r="L5" s="97"/>
      <c r="M5" s="97"/>
      <c r="N5" s="97"/>
      <c r="O5" s="97"/>
      <c r="P5" s="97"/>
      <c r="Q5" s="98"/>
      <c r="R5" s="108"/>
      <c r="S5" s="109"/>
      <c r="T5" s="109"/>
      <c r="U5" s="109"/>
      <c r="V5" s="109"/>
      <c r="W5" s="109"/>
      <c r="X5" s="109"/>
      <c r="Y5" s="110"/>
    </row>
    <row r="6" spans="1:26" ht="11.25" customHeight="1" x14ac:dyDescent="0.25">
      <c r="A6" s="87" t="s">
        <v>69</v>
      </c>
      <c r="B6" s="87"/>
      <c r="C6" s="87" t="s">
        <v>66</v>
      </c>
      <c r="D6" s="87"/>
      <c r="E6" s="87"/>
      <c r="F6" s="99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1"/>
      <c r="R6" s="22" t="s">
        <v>80</v>
      </c>
      <c r="S6" s="94" t="str">
        <f>'01'!S6</f>
        <v>Mayo</v>
      </c>
      <c r="T6" s="94"/>
      <c r="U6" s="23" t="s">
        <v>81</v>
      </c>
      <c r="V6" s="90"/>
      <c r="W6" s="90"/>
      <c r="X6" s="90"/>
      <c r="Y6" s="91"/>
    </row>
    <row r="7" spans="1:26" ht="11.25" customHeight="1" x14ac:dyDescent="0.25">
      <c r="A7" s="87" t="s">
        <v>71</v>
      </c>
      <c r="B7" s="87"/>
      <c r="C7" s="87" t="s">
        <v>72</v>
      </c>
      <c r="D7" s="87"/>
      <c r="E7" s="87"/>
      <c r="F7" s="102" t="s">
        <v>70</v>
      </c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4"/>
      <c r="R7" s="20"/>
      <c r="S7" s="95"/>
      <c r="T7" s="95"/>
      <c r="U7" s="21"/>
      <c r="V7" s="92"/>
      <c r="W7" s="92"/>
      <c r="X7" s="92"/>
      <c r="Y7" s="93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89" t="s">
        <v>110</v>
      </c>
      <c r="C9" s="89"/>
      <c r="D9" s="89"/>
      <c r="E9" s="89"/>
      <c r="F9" s="89"/>
      <c r="G9" s="89"/>
      <c r="H9" s="89"/>
      <c r="I9" s="89"/>
      <c r="J9" s="89"/>
      <c r="K9" s="89"/>
      <c r="L9" s="89"/>
      <c r="M9" s="6"/>
      <c r="N9" s="18" t="s">
        <v>73</v>
      </c>
      <c r="O9" s="89" t="s">
        <v>106</v>
      </c>
      <c r="P9" s="89"/>
      <c r="Q9" s="89"/>
      <c r="R9" s="89"/>
      <c r="S9" s="89"/>
      <c r="T9" s="89"/>
      <c r="U9" s="89"/>
      <c r="V9" s="89"/>
      <c r="W9" s="89"/>
      <c r="X9" s="89"/>
      <c r="Y9" s="89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>
        <v>4</v>
      </c>
      <c r="F20" s="10"/>
      <c r="G20" s="10"/>
      <c r="H20" s="10"/>
      <c r="I20" s="10"/>
      <c r="J20" s="10"/>
      <c r="K20" s="10"/>
      <c r="L20" s="3">
        <f t="shared" si="1"/>
        <v>4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>
        <v>4</v>
      </c>
      <c r="G23" s="10">
        <v>2</v>
      </c>
      <c r="H23" s="10"/>
      <c r="I23" s="10"/>
      <c r="J23" s="10"/>
      <c r="K23" s="10"/>
      <c r="L23" s="3">
        <f t="shared" si="1"/>
        <v>6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>
        <v>2</v>
      </c>
      <c r="F24" s="10">
        <v>4</v>
      </c>
      <c r="G24" s="10"/>
      <c r="H24" s="10"/>
      <c r="I24" s="10"/>
      <c r="J24" s="10"/>
      <c r="K24" s="10"/>
      <c r="L24" s="3">
        <f t="shared" si="1"/>
        <v>6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>
        <v>2</v>
      </c>
      <c r="F25" s="10">
        <v>4</v>
      </c>
      <c r="G25" s="10"/>
      <c r="H25" s="10"/>
      <c r="I25" s="10"/>
      <c r="J25" s="10"/>
      <c r="K25" s="10"/>
      <c r="L25" s="3">
        <f t="shared" si="1"/>
        <v>6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>
        <v>1</v>
      </c>
      <c r="G26" s="10">
        <v>6</v>
      </c>
      <c r="H26" s="10"/>
      <c r="I26" s="10"/>
      <c r="J26" s="10"/>
      <c r="K26" s="10"/>
      <c r="L26" s="3">
        <f t="shared" si="1"/>
        <v>7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>
        <v>3</v>
      </c>
      <c r="F27" s="10"/>
      <c r="G27" s="10"/>
      <c r="H27" s="10"/>
      <c r="I27" s="10"/>
      <c r="J27" s="10"/>
      <c r="K27" s="10"/>
      <c r="L27" s="3">
        <f t="shared" si="1"/>
        <v>3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>
        <v>4</v>
      </c>
      <c r="G28" s="10">
        <v>2</v>
      </c>
      <c r="H28" s="10"/>
      <c r="I28" s="10"/>
      <c r="J28" s="10"/>
      <c r="K28" s="10"/>
      <c r="L28" s="3">
        <f t="shared" si="1"/>
        <v>6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>
        <v>3</v>
      </c>
      <c r="G29" s="10">
        <v>3</v>
      </c>
      <c r="H29" s="10"/>
      <c r="I29" s="10"/>
      <c r="J29" s="10"/>
      <c r="K29" s="10"/>
      <c r="L29" s="3">
        <f t="shared" si="1"/>
        <v>6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>
        <v>3</v>
      </c>
      <c r="G30" s="10">
        <v>3</v>
      </c>
      <c r="H30" s="10"/>
      <c r="I30" s="10"/>
      <c r="J30" s="10"/>
      <c r="K30" s="10"/>
      <c r="L30" s="3">
        <f t="shared" si="1"/>
        <v>6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>
        <v>3</v>
      </c>
      <c r="G31" s="10">
        <v>3</v>
      </c>
      <c r="H31" s="10"/>
      <c r="I31" s="10"/>
      <c r="J31" s="10"/>
      <c r="K31" s="10"/>
      <c r="L31" s="3">
        <f t="shared" si="1"/>
        <v>6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>
        <v>3</v>
      </c>
      <c r="G32" s="10">
        <v>3</v>
      </c>
      <c r="H32" s="10"/>
      <c r="I32" s="10"/>
      <c r="J32" s="10"/>
      <c r="K32" s="10"/>
      <c r="L32" s="3">
        <f t="shared" si="1"/>
        <v>6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>
        <v>2</v>
      </c>
      <c r="H33" s="10"/>
      <c r="I33" s="10"/>
      <c r="J33" s="10"/>
      <c r="K33" s="10"/>
      <c r="L33" s="3">
        <f t="shared" si="1"/>
        <v>2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>
        <v>2</v>
      </c>
      <c r="H34" s="10"/>
      <c r="I34" s="10"/>
      <c r="J34" s="10"/>
      <c r="K34" s="10"/>
      <c r="L34" s="3">
        <f t="shared" si="1"/>
        <v>2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>
        <v>2</v>
      </c>
      <c r="H35" s="10"/>
      <c r="I35" s="10"/>
      <c r="J35" s="10"/>
      <c r="K35" s="10"/>
      <c r="L35" s="3">
        <f t="shared" si="1"/>
        <v>2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>
        <v>2</v>
      </c>
      <c r="H36" s="10"/>
      <c r="I36" s="10"/>
      <c r="J36" s="10"/>
      <c r="K36" s="10"/>
      <c r="L36" s="3">
        <f t="shared" si="1"/>
        <v>2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>
        <v>3</v>
      </c>
      <c r="G37" s="10">
        <v>3</v>
      </c>
      <c r="H37" s="10"/>
      <c r="I37" s="10"/>
      <c r="J37" s="10"/>
      <c r="K37" s="10"/>
      <c r="L37" s="3">
        <f t="shared" si="1"/>
        <v>6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>
        <v>3</v>
      </c>
      <c r="G38" s="10">
        <v>3</v>
      </c>
      <c r="H38" s="10"/>
      <c r="I38" s="10"/>
      <c r="J38" s="10"/>
      <c r="K38" s="10"/>
      <c r="L38" s="3">
        <f t="shared" si="1"/>
        <v>6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>
        <v>2</v>
      </c>
      <c r="H39" s="10"/>
      <c r="I39" s="10"/>
      <c r="J39" s="10"/>
      <c r="K39" s="10"/>
      <c r="L39" s="3">
        <f t="shared" si="1"/>
        <v>2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>
        <v>2</v>
      </c>
      <c r="H40" s="10"/>
      <c r="I40" s="10"/>
      <c r="J40" s="10"/>
      <c r="K40" s="10"/>
      <c r="L40" s="3">
        <f t="shared" si="1"/>
        <v>2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>
        <v>2</v>
      </c>
      <c r="H41" s="10"/>
      <c r="I41" s="10"/>
      <c r="J41" s="10"/>
      <c r="K41" s="10"/>
      <c r="L41" s="3">
        <f t="shared" si="1"/>
        <v>2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>
        <v>2</v>
      </c>
      <c r="D42" s="10">
        <v>2</v>
      </c>
      <c r="E42" s="10"/>
      <c r="F42" s="10"/>
      <c r="G42" s="10"/>
      <c r="H42" s="10"/>
      <c r="I42" s="10"/>
      <c r="J42" s="10"/>
      <c r="K42" s="10"/>
      <c r="L42" s="3">
        <f t="shared" si="1"/>
        <v>4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>
        <v>2</v>
      </c>
      <c r="H43" s="10"/>
      <c r="I43" s="10"/>
      <c r="J43" s="10"/>
      <c r="K43" s="10"/>
      <c r="L43" s="3">
        <f t="shared" si="1"/>
        <v>2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>
        <v>2</v>
      </c>
      <c r="E46" s="10"/>
      <c r="F46" s="10"/>
      <c r="G46" s="10"/>
      <c r="H46" s="10"/>
      <c r="I46" s="10"/>
      <c r="J46" s="10"/>
      <c r="K46" s="10"/>
      <c r="L46" s="3">
        <f t="shared" si="1"/>
        <v>2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>
        <v>2</v>
      </c>
      <c r="D48" s="10">
        <v>2</v>
      </c>
      <c r="E48" s="10"/>
      <c r="F48" s="10"/>
      <c r="G48" s="10"/>
      <c r="H48" s="10"/>
      <c r="I48" s="10"/>
      <c r="J48" s="10"/>
      <c r="K48" s="10"/>
      <c r="L48" s="3">
        <f t="shared" si="1"/>
        <v>4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4</v>
      </c>
      <c r="D50" s="3">
        <f t="shared" si="3"/>
        <v>6</v>
      </c>
      <c r="E50" s="3">
        <f t="shared" si="3"/>
        <v>11</v>
      </c>
      <c r="F50" s="3">
        <f t="shared" si="3"/>
        <v>35</v>
      </c>
      <c r="G50" s="3">
        <f t="shared" si="3"/>
        <v>44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100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6"/>
      <c r="N56" s="18" t="s">
        <v>73</v>
      </c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47" priority="4" operator="equal">
      <formula>0</formula>
    </cfRule>
  </conditionalFormatting>
  <conditionalFormatting sqref="B97:L97">
    <cfRule type="cellIs" dxfId="46" priority="2" operator="equal">
      <formula>0</formula>
    </cfRule>
  </conditionalFormatting>
  <conditionalFormatting sqref="L11:L49">
    <cfRule type="cellIs" dxfId="45" priority="8" operator="equal">
      <formula>0</formula>
    </cfRule>
  </conditionalFormatting>
  <conditionalFormatting sqref="L58:L96">
    <cfRule type="cellIs" dxfId="44" priority="6" operator="equal">
      <formula>0</formula>
    </cfRule>
  </conditionalFormatting>
  <conditionalFormatting sqref="O50:Y50">
    <cfRule type="cellIs" dxfId="43" priority="3" operator="equal">
      <formula>0</formula>
    </cfRule>
  </conditionalFormatting>
  <conditionalFormatting sqref="O97:Y97">
    <cfRule type="cellIs" dxfId="42" priority="1" operator="equal">
      <formula>0</formula>
    </cfRule>
  </conditionalFormatting>
  <conditionalFormatting sqref="Y11:Y49">
    <cfRule type="cellIs" dxfId="41" priority="7" operator="equal">
      <formula>0</formula>
    </cfRule>
  </conditionalFormatting>
  <conditionalFormatting sqref="Y58:Y96">
    <cfRule type="cellIs" dxfId="40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5AA63-739E-4E88-9AAF-D866D980136C}">
  <dimension ref="A1:Z97"/>
  <sheetViews>
    <sheetView view="pageLayout" topLeftCell="A19" zoomScaleNormal="100" workbookViewId="0">
      <selection activeCell="H28" sqref="H28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87" t="s">
        <v>58</v>
      </c>
      <c r="B1" s="87"/>
      <c r="C1" s="87" t="s">
        <v>59</v>
      </c>
      <c r="D1" s="87"/>
      <c r="E1" s="87"/>
      <c r="F1" s="78" t="s">
        <v>60</v>
      </c>
      <c r="G1" s="79"/>
      <c r="H1" s="79"/>
      <c r="I1" s="79"/>
      <c r="J1" s="79"/>
      <c r="K1" s="79"/>
      <c r="L1" s="79"/>
      <c r="M1" s="79"/>
      <c r="N1" s="79"/>
      <c r="O1" s="79"/>
      <c r="P1" s="79"/>
      <c r="Q1" s="80"/>
      <c r="R1" s="105"/>
      <c r="S1" s="106"/>
      <c r="T1" s="106"/>
      <c r="U1" s="106"/>
      <c r="V1" s="106"/>
      <c r="W1" s="106"/>
      <c r="X1" s="106"/>
      <c r="Y1" s="107"/>
      <c r="Z1" s="16"/>
    </row>
    <row r="2" spans="1:26" ht="11.25" customHeight="1" x14ac:dyDescent="0.25">
      <c r="A2" s="87" t="s">
        <v>61</v>
      </c>
      <c r="B2" s="87"/>
      <c r="C2" s="87">
        <v>2</v>
      </c>
      <c r="D2" s="87"/>
      <c r="E2" s="87"/>
      <c r="F2" s="81"/>
      <c r="G2" s="82"/>
      <c r="H2" s="82"/>
      <c r="I2" s="82"/>
      <c r="J2" s="82"/>
      <c r="K2" s="82"/>
      <c r="L2" s="82"/>
      <c r="M2" s="82"/>
      <c r="N2" s="82"/>
      <c r="O2" s="82"/>
      <c r="P2" s="82"/>
      <c r="Q2" s="83"/>
      <c r="R2" s="108"/>
      <c r="S2" s="109"/>
      <c r="T2" s="109"/>
      <c r="U2" s="109"/>
      <c r="V2" s="109"/>
      <c r="W2" s="109"/>
      <c r="X2" s="109"/>
      <c r="Y2" s="110"/>
      <c r="Z2" s="16"/>
    </row>
    <row r="3" spans="1:26" ht="11.25" customHeight="1" x14ac:dyDescent="0.25">
      <c r="A3" s="87" t="s">
        <v>63</v>
      </c>
      <c r="B3" s="87"/>
      <c r="C3" s="111">
        <v>44701</v>
      </c>
      <c r="D3" s="111"/>
      <c r="E3" s="111"/>
      <c r="F3" s="81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108"/>
      <c r="S3" s="109"/>
      <c r="T3" s="109"/>
      <c r="U3" s="109"/>
      <c r="V3" s="109"/>
      <c r="W3" s="109"/>
      <c r="X3" s="109"/>
      <c r="Y3" s="110"/>
      <c r="Z3" s="16"/>
    </row>
    <row r="4" spans="1:26" ht="11.25" customHeight="1" x14ac:dyDescent="0.25">
      <c r="A4" s="87" t="s">
        <v>65</v>
      </c>
      <c r="B4" s="87"/>
      <c r="C4" s="87" t="s">
        <v>66</v>
      </c>
      <c r="D4" s="87"/>
      <c r="E4" s="87"/>
      <c r="F4" s="84"/>
      <c r="G4" s="85"/>
      <c r="H4" s="85"/>
      <c r="I4" s="85"/>
      <c r="J4" s="85"/>
      <c r="K4" s="85"/>
      <c r="L4" s="85"/>
      <c r="M4" s="85"/>
      <c r="N4" s="85"/>
      <c r="O4" s="85"/>
      <c r="P4" s="85"/>
      <c r="Q4" s="86"/>
      <c r="R4" s="108"/>
      <c r="S4" s="109"/>
      <c r="T4" s="109"/>
      <c r="U4" s="109"/>
      <c r="V4" s="109"/>
      <c r="W4" s="109"/>
      <c r="X4" s="109"/>
      <c r="Y4" s="110"/>
      <c r="Z4" s="16"/>
    </row>
    <row r="5" spans="1:26" ht="11.25" customHeight="1" x14ac:dyDescent="0.25">
      <c r="A5" s="88" t="s">
        <v>67</v>
      </c>
      <c r="B5" s="88"/>
      <c r="C5" s="87" t="s">
        <v>68</v>
      </c>
      <c r="D5" s="87"/>
      <c r="E5" s="87"/>
      <c r="F5" s="96" t="s">
        <v>78</v>
      </c>
      <c r="G5" s="97"/>
      <c r="H5" s="97"/>
      <c r="I5" s="97"/>
      <c r="J5" s="97"/>
      <c r="K5" s="97"/>
      <c r="L5" s="97"/>
      <c r="M5" s="97"/>
      <c r="N5" s="97"/>
      <c r="O5" s="97"/>
      <c r="P5" s="97"/>
      <c r="Q5" s="98"/>
      <c r="R5" s="108"/>
      <c r="S5" s="109"/>
      <c r="T5" s="109"/>
      <c r="U5" s="109"/>
      <c r="V5" s="109"/>
      <c r="W5" s="109"/>
      <c r="X5" s="109"/>
      <c r="Y5" s="110"/>
    </row>
    <row r="6" spans="1:26" ht="11.25" customHeight="1" x14ac:dyDescent="0.25">
      <c r="A6" s="87" t="s">
        <v>69</v>
      </c>
      <c r="B6" s="87"/>
      <c r="C6" s="87" t="s">
        <v>66</v>
      </c>
      <c r="D6" s="87"/>
      <c r="E6" s="87"/>
      <c r="F6" s="99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1"/>
      <c r="R6" s="22" t="s">
        <v>80</v>
      </c>
      <c r="S6" s="94" t="str">
        <f>'01'!S6</f>
        <v>Mayo</v>
      </c>
      <c r="T6" s="94"/>
      <c r="U6" s="23" t="s">
        <v>81</v>
      </c>
      <c r="V6" s="90"/>
      <c r="W6" s="90"/>
      <c r="X6" s="90"/>
      <c r="Y6" s="91"/>
    </row>
    <row r="7" spans="1:26" ht="11.25" customHeight="1" x14ac:dyDescent="0.25">
      <c r="A7" s="87" t="s">
        <v>71</v>
      </c>
      <c r="B7" s="87"/>
      <c r="C7" s="87" t="s">
        <v>72</v>
      </c>
      <c r="D7" s="87"/>
      <c r="E7" s="87"/>
      <c r="F7" s="102" t="s">
        <v>70</v>
      </c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4"/>
      <c r="R7" s="20"/>
      <c r="S7" s="95"/>
      <c r="T7" s="95"/>
      <c r="U7" s="21"/>
      <c r="V7" s="92"/>
      <c r="W7" s="92"/>
      <c r="X7" s="92"/>
      <c r="Y7" s="93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89" t="s">
        <v>111</v>
      </c>
      <c r="C9" s="89"/>
      <c r="D9" s="89"/>
      <c r="E9" s="89"/>
      <c r="F9" s="89"/>
      <c r="G9" s="89"/>
      <c r="H9" s="89"/>
      <c r="I9" s="89"/>
      <c r="J9" s="89"/>
      <c r="K9" s="89"/>
      <c r="L9" s="89"/>
      <c r="M9" s="6"/>
      <c r="N9" s="18" t="s">
        <v>73</v>
      </c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>
        <v>4</v>
      </c>
      <c r="E20" s="10"/>
      <c r="F20" s="10"/>
      <c r="G20" s="10"/>
      <c r="H20" s="10"/>
      <c r="I20" s="10"/>
      <c r="J20" s="10"/>
      <c r="K20" s="10"/>
      <c r="L20" s="3">
        <f t="shared" si="1"/>
        <v>4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>
        <v>4</v>
      </c>
      <c r="G23" s="10">
        <v>2</v>
      </c>
      <c r="H23" s="10"/>
      <c r="I23" s="10"/>
      <c r="J23" s="10"/>
      <c r="K23" s="10"/>
      <c r="L23" s="3">
        <f t="shared" si="1"/>
        <v>6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>
        <v>2</v>
      </c>
      <c r="E24" s="10"/>
      <c r="F24" s="10">
        <v>4</v>
      </c>
      <c r="G24" s="10"/>
      <c r="H24" s="10"/>
      <c r="I24" s="10"/>
      <c r="J24" s="10"/>
      <c r="K24" s="10"/>
      <c r="L24" s="3">
        <f t="shared" si="1"/>
        <v>6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>
        <v>2</v>
      </c>
      <c r="E25" s="10"/>
      <c r="F25" s="10">
        <v>4</v>
      </c>
      <c r="G25" s="10"/>
      <c r="H25" s="10"/>
      <c r="I25" s="10"/>
      <c r="J25" s="10"/>
      <c r="K25" s="10"/>
      <c r="L25" s="3">
        <f t="shared" si="1"/>
        <v>6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>
        <v>1</v>
      </c>
      <c r="G26" s="10">
        <v>6</v>
      </c>
      <c r="H26" s="10"/>
      <c r="I26" s="10"/>
      <c r="J26" s="10"/>
      <c r="K26" s="10"/>
      <c r="L26" s="3">
        <f t="shared" si="1"/>
        <v>7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>
        <v>3</v>
      </c>
      <c r="E27" s="10"/>
      <c r="F27" s="10"/>
      <c r="G27" s="10"/>
      <c r="H27" s="10"/>
      <c r="I27" s="10"/>
      <c r="J27" s="10"/>
      <c r="K27" s="10"/>
      <c r="L27" s="3">
        <f t="shared" si="1"/>
        <v>3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>
        <v>2</v>
      </c>
      <c r="G28" s="10">
        <v>2</v>
      </c>
      <c r="H28" s="10"/>
      <c r="I28" s="10"/>
      <c r="J28" s="10"/>
      <c r="K28" s="10"/>
      <c r="L28" s="3">
        <f t="shared" si="1"/>
        <v>4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>
        <v>3</v>
      </c>
      <c r="G29" s="10">
        <v>3</v>
      </c>
      <c r="H29" s="10"/>
      <c r="I29" s="10"/>
      <c r="J29" s="10"/>
      <c r="K29" s="10"/>
      <c r="L29" s="3">
        <f t="shared" si="1"/>
        <v>6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>
        <v>3</v>
      </c>
      <c r="G30" s="10">
        <v>3</v>
      </c>
      <c r="H30" s="10"/>
      <c r="I30" s="10"/>
      <c r="J30" s="10"/>
      <c r="K30" s="10"/>
      <c r="L30" s="3">
        <f t="shared" si="1"/>
        <v>6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>
        <v>3</v>
      </c>
      <c r="G31" s="10">
        <v>3</v>
      </c>
      <c r="H31" s="10"/>
      <c r="I31" s="10"/>
      <c r="J31" s="10"/>
      <c r="K31" s="10"/>
      <c r="L31" s="3">
        <f t="shared" si="1"/>
        <v>6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>
        <v>3</v>
      </c>
      <c r="G32" s="10">
        <v>3</v>
      </c>
      <c r="H32" s="10"/>
      <c r="I32" s="10"/>
      <c r="J32" s="10"/>
      <c r="K32" s="10"/>
      <c r="L32" s="3">
        <f t="shared" si="1"/>
        <v>6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>
        <v>2</v>
      </c>
      <c r="H33" s="10">
        <v>6</v>
      </c>
      <c r="I33" s="10"/>
      <c r="J33" s="10"/>
      <c r="K33" s="10"/>
      <c r="L33" s="3">
        <f t="shared" si="1"/>
        <v>8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>
        <v>2</v>
      </c>
      <c r="H34" s="10">
        <v>6</v>
      </c>
      <c r="I34" s="10"/>
      <c r="J34" s="10"/>
      <c r="K34" s="10"/>
      <c r="L34" s="3">
        <f t="shared" si="1"/>
        <v>8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>
        <v>2</v>
      </c>
      <c r="H35" s="10">
        <v>6</v>
      </c>
      <c r="I35" s="10"/>
      <c r="J35" s="10"/>
      <c r="K35" s="10"/>
      <c r="L35" s="3">
        <f t="shared" si="1"/>
        <v>8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>
        <v>2</v>
      </c>
      <c r="H36" s="10">
        <v>6</v>
      </c>
      <c r="I36" s="10"/>
      <c r="J36" s="10"/>
      <c r="K36" s="10"/>
      <c r="L36" s="3">
        <f t="shared" si="1"/>
        <v>8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>
        <v>3</v>
      </c>
      <c r="G37" s="10">
        <v>3</v>
      </c>
      <c r="H37" s="10"/>
      <c r="I37" s="10"/>
      <c r="J37" s="10"/>
      <c r="K37" s="10"/>
      <c r="L37" s="3">
        <f t="shared" si="1"/>
        <v>6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>
        <v>3</v>
      </c>
      <c r="G38" s="10">
        <v>3</v>
      </c>
      <c r="H38" s="10"/>
      <c r="I38" s="10"/>
      <c r="J38" s="10"/>
      <c r="K38" s="10"/>
      <c r="L38" s="3">
        <f t="shared" si="1"/>
        <v>6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>
        <v>2</v>
      </c>
      <c r="H39" s="10">
        <v>6</v>
      </c>
      <c r="I39" s="10"/>
      <c r="J39" s="10"/>
      <c r="K39" s="10"/>
      <c r="L39" s="3">
        <f t="shared" si="1"/>
        <v>8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>
        <v>2</v>
      </c>
      <c r="H40" s="10">
        <v>6</v>
      </c>
      <c r="I40" s="10"/>
      <c r="J40" s="10"/>
      <c r="K40" s="10"/>
      <c r="L40" s="3">
        <f t="shared" si="1"/>
        <v>8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>
        <v>2</v>
      </c>
      <c r="H41" s="10"/>
      <c r="I41" s="10"/>
      <c r="J41" s="10"/>
      <c r="K41" s="10"/>
      <c r="L41" s="3">
        <f t="shared" si="1"/>
        <v>2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>
        <v>2</v>
      </c>
      <c r="D42" s="10">
        <v>2</v>
      </c>
      <c r="E42" s="10"/>
      <c r="F42" s="10"/>
      <c r="G42" s="10"/>
      <c r="H42" s="10"/>
      <c r="I42" s="10"/>
      <c r="J42" s="10"/>
      <c r="K42" s="10"/>
      <c r="L42" s="3">
        <f t="shared" si="1"/>
        <v>4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>
        <v>2</v>
      </c>
      <c r="H43" s="10"/>
      <c r="I43" s="10"/>
      <c r="J43" s="10"/>
      <c r="K43" s="10"/>
      <c r="L43" s="3">
        <f t="shared" si="1"/>
        <v>2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>
        <v>3</v>
      </c>
      <c r="I44" s="10"/>
      <c r="J44" s="10"/>
      <c r="K44" s="10"/>
      <c r="L44" s="3">
        <f t="shared" si="1"/>
        <v>3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>
        <v>2</v>
      </c>
      <c r="E46" s="10"/>
      <c r="F46" s="10"/>
      <c r="G46" s="10"/>
      <c r="H46" s="10">
        <v>2</v>
      </c>
      <c r="I46" s="10"/>
      <c r="J46" s="10"/>
      <c r="K46" s="10"/>
      <c r="L46" s="3">
        <f t="shared" si="1"/>
        <v>4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>
        <v>2</v>
      </c>
      <c r="D48" s="10">
        <v>2</v>
      </c>
      <c r="E48" s="10"/>
      <c r="F48" s="10"/>
      <c r="G48" s="10"/>
      <c r="H48" s="10"/>
      <c r="I48" s="10"/>
      <c r="J48" s="10"/>
      <c r="K48" s="10"/>
      <c r="L48" s="3">
        <f t="shared" si="1"/>
        <v>4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4</v>
      </c>
      <c r="D50" s="3">
        <f t="shared" si="3"/>
        <v>17</v>
      </c>
      <c r="E50" s="3">
        <f t="shared" si="3"/>
        <v>0</v>
      </c>
      <c r="F50" s="3">
        <f t="shared" si="3"/>
        <v>33</v>
      </c>
      <c r="G50" s="3">
        <f t="shared" si="3"/>
        <v>44</v>
      </c>
      <c r="H50" s="3">
        <f t="shared" si="3"/>
        <v>41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139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6"/>
      <c r="N56" s="18" t="s">
        <v>73</v>
      </c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39" priority="4" operator="equal">
      <formula>0</formula>
    </cfRule>
  </conditionalFormatting>
  <conditionalFormatting sqref="B97:L97">
    <cfRule type="cellIs" dxfId="38" priority="2" operator="equal">
      <formula>0</formula>
    </cfRule>
  </conditionalFormatting>
  <conditionalFormatting sqref="L11:L49">
    <cfRule type="cellIs" dxfId="37" priority="8" operator="equal">
      <formula>0</formula>
    </cfRule>
  </conditionalFormatting>
  <conditionalFormatting sqref="L58:L96">
    <cfRule type="cellIs" dxfId="36" priority="6" operator="equal">
      <formula>0</formula>
    </cfRule>
  </conditionalFormatting>
  <conditionalFormatting sqref="O50:Y50">
    <cfRule type="cellIs" dxfId="35" priority="3" operator="equal">
      <formula>0</formula>
    </cfRule>
  </conditionalFormatting>
  <conditionalFormatting sqref="O97:Y97">
    <cfRule type="cellIs" dxfId="34" priority="1" operator="equal">
      <formula>0</formula>
    </cfRule>
  </conditionalFormatting>
  <conditionalFormatting sqref="Y11:Y49">
    <cfRule type="cellIs" dxfId="33" priority="7" operator="equal">
      <formula>0</formula>
    </cfRule>
  </conditionalFormatting>
  <conditionalFormatting sqref="Y58:Y96">
    <cfRule type="cellIs" dxfId="32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D2F92-0589-49EA-B492-78770BAD3E8A}">
  <dimension ref="A1:Z97"/>
  <sheetViews>
    <sheetView view="pageLayout" topLeftCell="A25" zoomScaleNormal="100" workbookViewId="0">
      <selection activeCell="S8" sqref="S8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87" t="s">
        <v>58</v>
      </c>
      <c r="B1" s="87"/>
      <c r="C1" s="87" t="s">
        <v>59</v>
      </c>
      <c r="D1" s="87"/>
      <c r="E1" s="87"/>
      <c r="F1" s="78" t="s">
        <v>60</v>
      </c>
      <c r="G1" s="79"/>
      <c r="H1" s="79"/>
      <c r="I1" s="79"/>
      <c r="J1" s="79"/>
      <c r="K1" s="79"/>
      <c r="L1" s="79"/>
      <c r="M1" s="79"/>
      <c r="N1" s="79"/>
      <c r="O1" s="79"/>
      <c r="P1" s="79"/>
      <c r="Q1" s="80"/>
      <c r="R1" s="105"/>
      <c r="S1" s="106"/>
      <c r="T1" s="106"/>
      <c r="U1" s="106"/>
      <c r="V1" s="106"/>
      <c r="W1" s="106"/>
      <c r="X1" s="106"/>
      <c r="Y1" s="107"/>
      <c r="Z1" s="16"/>
    </row>
    <row r="2" spans="1:26" ht="11.25" customHeight="1" x14ac:dyDescent="0.25">
      <c r="A2" s="87" t="s">
        <v>61</v>
      </c>
      <c r="B2" s="87"/>
      <c r="C2" s="87">
        <v>2</v>
      </c>
      <c r="D2" s="87"/>
      <c r="E2" s="87"/>
      <c r="F2" s="81"/>
      <c r="G2" s="82"/>
      <c r="H2" s="82"/>
      <c r="I2" s="82"/>
      <c r="J2" s="82"/>
      <c r="K2" s="82"/>
      <c r="L2" s="82"/>
      <c r="M2" s="82"/>
      <c r="N2" s="82"/>
      <c r="O2" s="82"/>
      <c r="P2" s="82"/>
      <c r="Q2" s="83"/>
      <c r="R2" s="108"/>
      <c r="S2" s="109"/>
      <c r="T2" s="109"/>
      <c r="U2" s="109"/>
      <c r="V2" s="109"/>
      <c r="W2" s="109"/>
      <c r="X2" s="109"/>
      <c r="Y2" s="110"/>
      <c r="Z2" s="16"/>
    </row>
    <row r="3" spans="1:26" ht="11.25" customHeight="1" x14ac:dyDescent="0.25">
      <c r="A3" s="87" t="s">
        <v>63</v>
      </c>
      <c r="B3" s="87"/>
      <c r="C3" s="111">
        <v>44701</v>
      </c>
      <c r="D3" s="111"/>
      <c r="E3" s="111"/>
      <c r="F3" s="81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108"/>
      <c r="S3" s="109"/>
      <c r="T3" s="109"/>
      <c r="U3" s="109"/>
      <c r="V3" s="109"/>
      <c r="W3" s="109"/>
      <c r="X3" s="109"/>
      <c r="Y3" s="110"/>
      <c r="Z3" s="16"/>
    </row>
    <row r="4" spans="1:26" ht="11.25" customHeight="1" x14ac:dyDescent="0.25">
      <c r="A4" s="87" t="s">
        <v>65</v>
      </c>
      <c r="B4" s="87"/>
      <c r="C4" s="87" t="s">
        <v>66</v>
      </c>
      <c r="D4" s="87"/>
      <c r="E4" s="87"/>
      <c r="F4" s="84"/>
      <c r="G4" s="85"/>
      <c r="H4" s="85"/>
      <c r="I4" s="85"/>
      <c r="J4" s="85"/>
      <c r="K4" s="85"/>
      <c r="L4" s="85"/>
      <c r="M4" s="85"/>
      <c r="N4" s="85"/>
      <c r="O4" s="85"/>
      <c r="P4" s="85"/>
      <c r="Q4" s="86"/>
      <c r="R4" s="108"/>
      <c r="S4" s="109"/>
      <c r="T4" s="109"/>
      <c r="U4" s="109"/>
      <c r="V4" s="109"/>
      <c r="W4" s="109"/>
      <c r="X4" s="109"/>
      <c r="Y4" s="110"/>
      <c r="Z4" s="16"/>
    </row>
    <row r="5" spans="1:26" ht="11.25" customHeight="1" x14ac:dyDescent="0.25">
      <c r="A5" s="88" t="s">
        <v>67</v>
      </c>
      <c r="B5" s="88"/>
      <c r="C5" s="87" t="s">
        <v>68</v>
      </c>
      <c r="D5" s="87"/>
      <c r="E5" s="87"/>
      <c r="F5" s="96" t="s">
        <v>78</v>
      </c>
      <c r="G5" s="97"/>
      <c r="H5" s="97"/>
      <c r="I5" s="97"/>
      <c r="J5" s="97"/>
      <c r="K5" s="97"/>
      <c r="L5" s="97"/>
      <c r="M5" s="97"/>
      <c r="N5" s="97"/>
      <c r="O5" s="97"/>
      <c r="P5" s="97"/>
      <c r="Q5" s="98"/>
      <c r="R5" s="108"/>
      <c r="S5" s="109"/>
      <c r="T5" s="109"/>
      <c r="U5" s="109"/>
      <c r="V5" s="109"/>
      <c r="W5" s="109"/>
      <c r="X5" s="109"/>
      <c r="Y5" s="110"/>
    </row>
    <row r="6" spans="1:26" ht="11.25" customHeight="1" x14ac:dyDescent="0.25">
      <c r="A6" s="87" t="s">
        <v>69</v>
      </c>
      <c r="B6" s="87"/>
      <c r="C6" s="87" t="s">
        <v>66</v>
      </c>
      <c r="D6" s="87"/>
      <c r="E6" s="87"/>
      <c r="F6" s="99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1"/>
      <c r="R6" s="22" t="s">
        <v>80</v>
      </c>
      <c r="S6" s="94" t="str">
        <f>'01'!S6</f>
        <v>Mayo</v>
      </c>
      <c r="T6" s="94"/>
      <c r="U6" s="23" t="s">
        <v>81</v>
      </c>
      <c r="V6" s="90"/>
      <c r="W6" s="90"/>
      <c r="X6" s="90"/>
      <c r="Y6" s="91"/>
    </row>
    <row r="7" spans="1:26" ht="11.25" customHeight="1" x14ac:dyDescent="0.25">
      <c r="A7" s="87" t="s">
        <v>71</v>
      </c>
      <c r="B7" s="87"/>
      <c r="C7" s="87" t="s">
        <v>72</v>
      </c>
      <c r="D7" s="87"/>
      <c r="E7" s="87"/>
      <c r="F7" s="102" t="s">
        <v>70</v>
      </c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4"/>
      <c r="R7" s="20"/>
      <c r="S7" s="95"/>
      <c r="T7" s="95"/>
      <c r="U7" s="21"/>
      <c r="V7" s="92"/>
      <c r="W7" s="92"/>
      <c r="X7" s="92"/>
      <c r="Y7" s="93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6"/>
      <c r="N9" s="18" t="s">
        <v>73</v>
      </c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>
        <f t="shared" si="1"/>
        <v>0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>
        <f t="shared" si="1"/>
        <v>0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1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>
        <f t="shared" si="1"/>
        <v>0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>
        <f t="shared" si="1"/>
        <v>0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>
        <f t="shared" si="1"/>
        <v>0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>
        <f t="shared" si="1"/>
        <v>0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>
        <f t="shared" si="1"/>
        <v>0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">
        <f t="shared" si="1"/>
        <v>0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">
        <f t="shared" si="1"/>
        <v>0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>
        <f t="shared" si="1"/>
        <v>0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>
        <f t="shared" si="1"/>
        <v>0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">
        <f t="shared" si="1"/>
        <v>0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">
        <f t="shared" si="1"/>
        <v>0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">
        <f t="shared" si="1"/>
        <v>0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0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6"/>
      <c r="N56" s="18" t="s">
        <v>73</v>
      </c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31" priority="4" operator="equal">
      <formula>0</formula>
    </cfRule>
  </conditionalFormatting>
  <conditionalFormatting sqref="B97:L97">
    <cfRule type="cellIs" dxfId="30" priority="2" operator="equal">
      <formula>0</formula>
    </cfRule>
  </conditionalFormatting>
  <conditionalFormatting sqref="L11:L49">
    <cfRule type="cellIs" dxfId="29" priority="8" operator="equal">
      <formula>0</formula>
    </cfRule>
  </conditionalFormatting>
  <conditionalFormatting sqref="L58:L96">
    <cfRule type="cellIs" dxfId="28" priority="6" operator="equal">
      <formula>0</formula>
    </cfRule>
  </conditionalFormatting>
  <conditionalFormatting sqref="O50:Y50">
    <cfRule type="cellIs" dxfId="27" priority="3" operator="equal">
      <formula>0</formula>
    </cfRule>
  </conditionalFormatting>
  <conditionalFormatting sqref="O97:Y97">
    <cfRule type="cellIs" dxfId="26" priority="1" operator="equal">
      <formula>0</formula>
    </cfRule>
  </conditionalFormatting>
  <conditionalFormatting sqref="Y11:Y49">
    <cfRule type="cellIs" dxfId="25" priority="7" operator="equal">
      <formula>0</formula>
    </cfRule>
  </conditionalFormatting>
  <conditionalFormatting sqref="Y58:Y96">
    <cfRule type="cellIs" dxfId="24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58F4-5502-4760-A7C6-3F3527B5348A}">
  <dimension ref="A1:Z97"/>
  <sheetViews>
    <sheetView view="pageLayout" zoomScaleNormal="100" workbookViewId="0">
      <selection activeCell="S8" sqref="S8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87" t="s">
        <v>58</v>
      </c>
      <c r="B1" s="87"/>
      <c r="C1" s="87" t="s">
        <v>59</v>
      </c>
      <c r="D1" s="87"/>
      <c r="E1" s="87"/>
      <c r="F1" s="78" t="s">
        <v>60</v>
      </c>
      <c r="G1" s="79"/>
      <c r="H1" s="79"/>
      <c r="I1" s="79"/>
      <c r="J1" s="79"/>
      <c r="K1" s="79"/>
      <c r="L1" s="79"/>
      <c r="M1" s="79"/>
      <c r="N1" s="79"/>
      <c r="O1" s="79"/>
      <c r="P1" s="79"/>
      <c r="Q1" s="80"/>
      <c r="R1" s="105"/>
      <c r="S1" s="106"/>
      <c r="T1" s="106"/>
      <c r="U1" s="106"/>
      <c r="V1" s="106"/>
      <c r="W1" s="106"/>
      <c r="X1" s="106"/>
      <c r="Y1" s="107"/>
      <c r="Z1" s="16"/>
    </row>
    <row r="2" spans="1:26" ht="11.25" customHeight="1" x14ac:dyDescent="0.25">
      <c r="A2" s="87" t="s">
        <v>61</v>
      </c>
      <c r="B2" s="87"/>
      <c r="C2" s="87">
        <v>2</v>
      </c>
      <c r="D2" s="87"/>
      <c r="E2" s="87"/>
      <c r="F2" s="81"/>
      <c r="G2" s="82"/>
      <c r="H2" s="82"/>
      <c r="I2" s="82"/>
      <c r="J2" s="82"/>
      <c r="K2" s="82"/>
      <c r="L2" s="82"/>
      <c r="M2" s="82"/>
      <c r="N2" s="82"/>
      <c r="O2" s="82"/>
      <c r="P2" s="82"/>
      <c r="Q2" s="83"/>
      <c r="R2" s="108"/>
      <c r="S2" s="109"/>
      <c r="T2" s="109"/>
      <c r="U2" s="109"/>
      <c r="V2" s="109"/>
      <c r="W2" s="109"/>
      <c r="X2" s="109"/>
      <c r="Y2" s="110"/>
      <c r="Z2" s="16"/>
    </row>
    <row r="3" spans="1:26" ht="11.25" customHeight="1" x14ac:dyDescent="0.25">
      <c r="A3" s="87" t="s">
        <v>63</v>
      </c>
      <c r="B3" s="87"/>
      <c r="C3" s="111">
        <v>44701</v>
      </c>
      <c r="D3" s="111"/>
      <c r="E3" s="111"/>
      <c r="F3" s="81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108"/>
      <c r="S3" s="109"/>
      <c r="T3" s="109"/>
      <c r="U3" s="109"/>
      <c r="V3" s="109"/>
      <c r="W3" s="109"/>
      <c r="X3" s="109"/>
      <c r="Y3" s="110"/>
      <c r="Z3" s="16"/>
    </row>
    <row r="4" spans="1:26" ht="11.25" customHeight="1" x14ac:dyDescent="0.25">
      <c r="A4" s="87" t="s">
        <v>65</v>
      </c>
      <c r="B4" s="87"/>
      <c r="C4" s="87" t="s">
        <v>66</v>
      </c>
      <c r="D4" s="87"/>
      <c r="E4" s="87"/>
      <c r="F4" s="84"/>
      <c r="G4" s="85"/>
      <c r="H4" s="85"/>
      <c r="I4" s="85"/>
      <c r="J4" s="85"/>
      <c r="K4" s="85"/>
      <c r="L4" s="85"/>
      <c r="M4" s="85"/>
      <c r="N4" s="85"/>
      <c r="O4" s="85"/>
      <c r="P4" s="85"/>
      <c r="Q4" s="86"/>
      <c r="R4" s="108"/>
      <c r="S4" s="109"/>
      <c r="T4" s="109"/>
      <c r="U4" s="109"/>
      <c r="V4" s="109"/>
      <c r="W4" s="109"/>
      <c r="X4" s="109"/>
      <c r="Y4" s="110"/>
      <c r="Z4" s="16"/>
    </row>
    <row r="5" spans="1:26" ht="11.25" customHeight="1" x14ac:dyDescent="0.25">
      <c r="A5" s="88" t="s">
        <v>67</v>
      </c>
      <c r="B5" s="88"/>
      <c r="C5" s="87" t="s">
        <v>68</v>
      </c>
      <c r="D5" s="87"/>
      <c r="E5" s="87"/>
      <c r="F5" s="96" t="s">
        <v>78</v>
      </c>
      <c r="G5" s="97"/>
      <c r="H5" s="97"/>
      <c r="I5" s="97"/>
      <c r="J5" s="97"/>
      <c r="K5" s="97"/>
      <c r="L5" s="97"/>
      <c r="M5" s="97"/>
      <c r="N5" s="97"/>
      <c r="O5" s="97"/>
      <c r="P5" s="97"/>
      <c r="Q5" s="98"/>
      <c r="R5" s="108"/>
      <c r="S5" s="109"/>
      <c r="T5" s="109"/>
      <c r="U5" s="109"/>
      <c r="V5" s="109"/>
      <c r="W5" s="109"/>
      <c r="X5" s="109"/>
      <c r="Y5" s="110"/>
    </row>
    <row r="6" spans="1:26" ht="11.25" customHeight="1" x14ac:dyDescent="0.25">
      <c r="A6" s="87" t="s">
        <v>69</v>
      </c>
      <c r="B6" s="87"/>
      <c r="C6" s="87" t="s">
        <v>66</v>
      </c>
      <c r="D6" s="87"/>
      <c r="E6" s="87"/>
      <c r="F6" s="99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1"/>
      <c r="R6" s="22" t="s">
        <v>80</v>
      </c>
      <c r="S6" s="94" t="str">
        <f>'01'!S6</f>
        <v>Mayo</v>
      </c>
      <c r="T6" s="94"/>
      <c r="U6" s="23" t="s">
        <v>81</v>
      </c>
      <c r="V6" s="90"/>
      <c r="W6" s="90"/>
      <c r="X6" s="90"/>
      <c r="Y6" s="91"/>
    </row>
    <row r="7" spans="1:26" ht="11.25" customHeight="1" x14ac:dyDescent="0.25">
      <c r="A7" s="87" t="s">
        <v>71</v>
      </c>
      <c r="B7" s="87"/>
      <c r="C7" s="87" t="s">
        <v>72</v>
      </c>
      <c r="D7" s="87"/>
      <c r="E7" s="87"/>
      <c r="F7" s="102" t="s">
        <v>70</v>
      </c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4"/>
      <c r="R7" s="20"/>
      <c r="S7" s="95"/>
      <c r="T7" s="95"/>
      <c r="U7" s="21"/>
      <c r="V7" s="92"/>
      <c r="W7" s="92"/>
      <c r="X7" s="92"/>
      <c r="Y7" s="93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6"/>
      <c r="N9" s="18" t="s">
        <v>73</v>
      </c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>
        <f t="shared" si="1"/>
        <v>0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>
        <f t="shared" si="1"/>
        <v>0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1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>
        <f t="shared" si="1"/>
        <v>0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>
        <f t="shared" si="1"/>
        <v>0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>
        <f t="shared" si="1"/>
        <v>0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>
        <f t="shared" si="1"/>
        <v>0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>
        <f t="shared" si="1"/>
        <v>0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">
        <f t="shared" si="1"/>
        <v>0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">
        <f t="shared" si="1"/>
        <v>0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>
        <f t="shared" si="1"/>
        <v>0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>
        <f t="shared" si="1"/>
        <v>0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">
        <f t="shared" si="1"/>
        <v>0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">
        <f t="shared" si="1"/>
        <v>0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">
        <f t="shared" si="1"/>
        <v>0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0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6"/>
      <c r="N56" s="18" t="s">
        <v>73</v>
      </c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23" priority="4" operator="equal">
      <formula>0</formula>
    </cfRule>
  </conditionalFormatting>
  <conditionalFormatting sqref="B97:L97">
    <cfRule type="cellIs" dxfId="22" priority="2" operator="equal">
      <formula>0</formula>
    </cfRule>
  </conditionalFormatting>
  <conditionalFormatting sqref="L11:L49">
    <cfRule type="cellIs" dxfId="21" priority="8" operator="equal">
      <formula>0</formula>
    </cfRule>
  </conditionalFormatting>
  <conditionalFormatting sqref="L58:L96">
    <cfRule type="cellIs" dxfId="20" priority="6" operator="equal">
      <formula>0</formula>
    </cfRule>
  </conditionalFormatting>
  <conditionalFormatting sqref="O50:Y50">
    <cfRule type="cellIs" dxfId="19" priority="3" operator="equal">
      <formula>0</formula>
    </cfRule>
  </conditionalFormatting>
  <conditionalFormatting sqref="O97:Y97">
    <cfRule type="cellIs" dxfId="18" priority="1" operator="equal">
      <formula>0</formula>
    </cfRule>
  </conditionalFormatting>
  <conditionalFormatting sqref="Y11:Y49">
    <cfRule type="cellIs" dxfId="17" priority="7" operator="equal">
      <formula>0</formula>
    </cfRule>
  </conditionalFormatting>
  <conditionalFormatting sqref="Y58:Y96">
    <cfRule type="cellIs" dxfId="16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1997B-6276-445D-9558-DE5D1881BA83}">
  <dimension ref="A1:Z97"/>
  <sheetViews>
    <sheetView view="pageLayout" topLeftCell="A22" zoomScaleNormal="100" workbookViewId="0">
      <selection activeCell="B11" sqref="B11:K49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87" t="s">
        <v>58</v>
      </c>
      <c r="B1" s="87"/>
      <c r="C1" s="87" t="s">
        <v>59</v>
      </c>
      <c r="D1" s="87"/>
      <c r="E1" s="87"/>
      <c r="F1" s="78" t="s">
        <v>60</v>
      </c>
      <c r="G1" s="79"/>
      <c r="H1" s="79"/>
      <c r="I1" s="79"/>
      <c r="J1" s="79"/>
      <c r="K1" s="79"/>
      <c r="L1" s="79"/>
      <c r="M1" s="79"/>
      <c r="N1" s="79"/>
      <c r="O1" s="79"/>
      <c r="P1" s="79"/>
      <c r="Q1" s="80"/>
      <c r="R1" s="105"/>
      <c r="S1" s="106"/>
      <c r="T1" s="106"/>
      <c r="U1" s="106"/>
      <c r="V1" s="106"/>
      <c r="W1" s="106"/>
      <c r="X1" s="106"/>
      <c r="Y1" s="107"/>
      <c r="Z1" s="16"/>
    </row>
    <row r="2" spans="1:26" ht="11.25" customHeight="1" x14ac:dyDescent="0.25">
      <c r="A2" s="87" t="s">
        <v>61</v>
      </c>
      <c r="B2" s="87"/>
      <c r="C2" s="87">
        <v>2</v>
      </c>
      <c r="D2" s="87"/>
      <c r="E2" s="87"/>
      <c r="F2" s="81"/>
      <c r="G2" s="82"/>
      <c r="H2" s="82"/>
      <c r="I2" s="82"/>
      <c r="J2" s="82"/>
      <c r="K2" s="82"/>
      <c r="L2" s="82"/>
      <c r="M2" s="82"/>
      <c r="N2" s="82"/>
      <c r="O2" s="82"/>
      <c r="P2" s="82"/>
      <c r="Q2" s="83"/>
      <c r="R2" s="108"/>
      <c r="S2" s="109"/>
      <c r="T2" s="109"/>
      <c r="U2" s="109"/>
      <c r="V2" s="109"/>
      <c r="W2" s="109"/>
      <c r="X2" s="109"/>
      <c r="Y2" s="110"/>
      <c r="Z2" s="16"/>
    </row>
    <row r="3" spans="1:26" ht="11.25" customHeight="1" x14ac:dyDescent="0.25">
      <c r="A3" s="87" t="s">
        <v>63</v>
      </c>
      <c r="B3" s="87"/>
      <c r="C3" s="111">
        <v>44701</v>
      </c>
      <c r="D3" s="111"/>
      <c r="E3" s="111"/>
      <c r="F3" s="81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108"/>
      <c r="S3" s="109"/>
      <c r="T3" s="109"/>
      <c r="U3" s="109"/>
      <c r="V3" s="109"/>
      <c r="W3" s="109"/>
      <c r="X3" s="109"/>
      <c r="Y3" s="110"/>
      <c r="Z3" s="16"/>
    </row>
    <row r="4" spans="1:26" ht="11.25" customHeight="1" x14ac:dyDescent="0.25">
      <c r="A4" s="87" t="s">
        <v>65</v>
      </c>
      <c r="B4" s="87"/>
      <c r="C4" s="87" t="s">
        <v>66</v>
      </c>
      <c r="D4" s="87"/>
      <c r="E4" s="87"/>
      <c r="F4" s="84"/>
      <c r="G4" s="85"/>
      <c r="H4" s="85"/>
      <c r="I4" s="85"/>
      <c r="J4" s="85"/>
      <c r="K4" s="85"/>
      <c r="L4" s="85"/>
      <c r="M4" s="85"/>
      <c r="N4" s="85"/>
      <c r="O4" s="85"/>
      <c r="P4" s="85"/>
      <c r="Q4" s="86"/>
      <c r="R4" s="108"/>
      <c r="S4" s="109"/>
      <c r="T4" s="109"/>
      <c r="U4" s="109"/>
      <c r="V4" s="109"/>
      <c r="W4" s="109"/>
      <c r="X4" s="109"/>
      <c r="Y4" s="110"/>
      <c r="Z4" s="16"/>
    </row>
    <row r="5" spans="1:26" ht="11.25" customHeight="1" x14ac:dyDescent="0.25">
      <c r="A5" s="88" t="s">
        <v>67</v>
      </c>
      <c r="B5" s="88"/>
      <c r="C5" s="87" t="s">
        <v>68</v>
      </c>
      <c r="D5" s="87"/>
      <c r="E5" s="87"/>
      <c r="F5" s="96" t="s">
        <v>78</v>
      </c>
      <c r="G5" s="97"/>
      <c r="H5" s="97"/>
      <c r="I5" s="97"/>
      <c r="J5" s="97"/>
      <c r="K5" s="97"/>
      <c r="L5" s="97"/>
      <c r="M5" s="97"/>
      <c r="N5" s="97"/>
      <c r="O5" s="97"/>
      <c r="P5" s="97"/>
      <c r="Q5" s="98"/>
      <c r="R5" s="108"/>
      <c r="S5" s="109"/>
      <c r="T5" s="109"/>
      <c r="U5" s="109"/>
      <c r="V5" s="109"/>
      <c r="W5" s="109"/>
      <c r="X5" s="109"/>
      <c r="Y5" s="110"/>
    </row>
    <row r="6" spans="1:26" ht="11.25" customHeight="1" x14ac:dyDescent="0.25">
      <c r="A6" s="87" t="s">
        <v>69</v>
      </c>
      <c r="B6" s="87"/>
      <c r="C6" s="87" t="s">
        <v>66</v>
      </c>
      <c r="D6" s="87"/>
      <c r="E6" s="87"/>
      <c r="F6" s="99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1"/>
      <c r="R6" s="22" t="s">
        <v>80</v>
      </c>
      <c r="S6" s="94" t="str">
        <f>'01'!S6</f>
        <v>Mayo</v>
      </c>
      <c r="T6" s="94"/>
      <c r="U6" s="23" t="s">
        <v>81</v>
      </c>
      <c r="V6" s="90"/>
      <c r="W6" s="90"/>
      <c r="X6" s="90"/>
      <c r="Y6" s="91"/>
    </row>
    <row r="7" spans="1:26" ht="11.25" customHeight="1" x14ac:dyDescent="0.25">
      <c r="A7" s="87" t="s">
        <v>71</v>
      </c>
      <c r="B7" s="87"/>
      <c r="C7" s="87" t="s">
        <v>72</v>
      </c>
      <c r="D7" s="87"/>
      <c r="E7" s="87"/>
      <c r="F7" s="102" t="s">
        <v>70</v>
      </c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4"/>
      <c r="R7" s="20"/>
      <c r="S7" s="95"/>
      <c r="T7" s="95"/>
      <c r="U7" s="21"/>
      <c r="V7" s="92"/>
      <c r="W7" s="92"/>
      <c r="X7" s="92"/>
      <c r="Y7" s="93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6"/>
      <c r="N9" s="18" t="s">
        <v>73</v>
      </c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>
        <f t="shared" si="1"/>
        <v>0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>
        <f t="shared" si="1"/>
        <v>0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1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>
        <f t="shared" si="1"/>
        <v>0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>
        <f t="shared" si="1"/>
        <v>0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>
        <f t="shared" si="1"/>
        <v>0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>
        <f t="shared" si="1"/>
        <v>0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>
        <f t="shared" si="1"/>
        <v>0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">
        <f t="shared" si="1"/>
        <v>0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">
        <f t="shared" si="1"/>
        <v>0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>
        <f t="shared" si="1"/>
        <v>0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>
        <f t="shared" si="1"/>
        <v>0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">
        <f t="shared" si="1"/>
        <v>0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">
        <f t="shared" si="1"/>
        <v>0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">
        <f t="shared" si="1"/>
        <v>0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0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6"/>
      <c r="N56" s="18" t="s">
        <v>73</v>
      </c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15" priority="4" operator="equal">
      <formula>0</formula>
    </cfRule>
  </conditionalFormatting>
  <conditionalFormatting sqref="B97:L97">
    <cfRule type="cellIs" dxfId="14" priority="2" operator="equal">
      <formula>0</formula>
    </cfRule>
  </conditionalFormatting>
  <conditionalFormatting sqref="L11:L49">
    <cfRule type="cellIs" dxfId="13" priority="8" operator="equal">
      <formula>0</formula>
    </cfRule>
  </conditionalFormatting>
  <conditionalFormatting sqref="L58:L96">
    <cfRule type="cellIs" dxfId="12" priority="6" operator="equal">
      <formula>0</formula>
    </cfRule>
  </conditionalFormatting>
  <conditionalFormatting sqref="O50:Y50">
    <cfRule type="cellIs" dxfId="11" priority="3" operator="equal">
      <formula>0</formula>
    </cfRule>
  </conditionalFormatting>
  <conditionalFormatting sqref="O97:Y97">
    <cfRule type="cellIs" dxfId="10" priority="1" operator="equal">
      <formula>0</formula>
    </cfRule>
  </conditionalFormatting>
  <conditionalFormatting sqref="Y11:Y49">
    <cfRule type="cellIs" dxfId="9" priority="7" operator="equal">
      <formula>0</formula>
    </cfRule>
  </conditionalFormatting>
  <conditionalFormatting sqref="Y58:Y96">
    <cfRule type="cellIs" dxfId="8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225F8-0348-49DB-BB59-3F7DF646A997}">
  <dimension ref="A1:Z97"/>
  <sheetViews>
    <sheetView view="pageLayout" zoomScaleNormal="100" workbookViewId="0">
      <selection activeCell="S8" sqref="S8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87" t="s">
        <v>58</v>
      </c>
      <c r="B1" s="87"/>
      <c r="C1" s="87" t="s">
        <v>59</v>
      </c>
      <c r="D1" s="87"/>
      <c r="E1" s="87"/>
      <c r="F1" s="78" t="s">
        <v>60</v>
      </c>
      <c r="G1" s="79"/>
      <c r="H1" s="79"/>
      <c r="I1" s="79"/>
      <c r="J1" s="79"/>
      <c r="K1" s="79"/>
      <c r="L1" s="79"/>
      <c r="M1" s="79"/>
      <c r="N1" s="79"/>
      <c r="O1" s="79"/>
      <c r="P1" s="79"/>
      <c r="Q1" s="80"/>
      <c r="R1" s="105"/>
      <c r="S1" s="106"/>
      <c r="T1" s="106"/>
      <c r="U1" s="106"/>
      <c r="V1" s="106"/>
      <c r="W1" s="106"/>
      <c r="X1" s="106"/>
      <c r="Y1" s="107"/>
      <c r="Z1" s="16"/>
    </row>
    <row r="2" spans="1:26" ht="11.25" customHeight="1" x14ac:dyDescent="0.25">
      <c r="A2" s="87" t="s">
        <v>61</v>
      </c>
      <c r="B2" s="87"/>
      <c r="C2" s="87">
        <v>2</v>
      </c>
      <c r="D2" s="87"/>
      <c r="E2" s="87"/>
      <c r="F2" s="81"/>
      <c r="G2" s="82"/>
      <c r="H2" s="82"/>
      <c r="I2" s="82"/>
      <c r="J2" s="82"/>
      <c r="K2" s="82"/>
      <c r="L2" s="82"/>
      <c r="M2" s="82"/>
      <c r="N2" s="82"/>
      <c r="O2" s="82"/>
      <c r="P2" s="82"/>
      <c r="Q2" s="83"/>
      <c r="R2" s="108"/>
      <c r="S2" s="109"/>
      <c r="T2" s="109"/>
      <c r="U2" s="109"/>
      <c r="V2" s="109"/>
      <c r="W2" s="109"/>
      <c r="X2" s="109"/>
      <c r="Y2" s="110"/>
      <c r="Z2" s="16"/>
    </row>
    <row r="3" spans="1:26" ht="11.25" customHeight="1" x14ac:dyDescent="0.25">
      <c r="A3" s="87" t="s">
        <v>63</v>
      </c>
      <c r="B3" s="87"/>
      <c r="C3" s="111">
        <v>44701</v>
      </c>
      <c r="D3" s="111"/>
      <c r="E3" s="111"/>
      <c r="F3" s="81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108"/>
      <c r="S3" s="109"/>
      <c r="T3" s="109"/>
      <c r="U3" s="109"/>
      <c r="V3" s="109"/>
      <c r="W3" s="109"/>
      <c r="X3" s="109"/>
      <c r="Y3" s="110"/>
      <c r="Z3" s="16"/>
    </row>
    <row r="4" spans="1:26" ht="11.25" customHeight="1" x14ac:dyDescent="0.25">
      <c r="A4" s="87" t="s">
        <v>65</v>
      </c>
      <c r="B4" s="87"/>
      <c r="C4" s="87" t="s">
        <v>66</v>
      </c>
      <c r="D4" s="87"/>
      <c r="E4" s="87"/>
      <c r="F4" s="84"/>
      <c r="G4" s="85"/>
      <c r="H4" s="85"/>
      <c r="I4" s="85"/>
      <c r="J4" s="85"/>
      <c r="K4" s="85"/>
      <c r="L4" s="85"/>
      <c r="M4" s="85"/>
      <c r="N4" s="85"/>
      <c r="O4" s="85"/>
      <c r="P4" s="85"/>
      <c r="Q4" s="86"/>
      <c r="R4" s="108"/>
      <c r="S4" s="109"/>
      <c r="T4" s="109"/>
      <c r="U4" s="109"/>
      <c r="V4" s="109"/>
      <c r="W4" s="109"/>
      <c r="X4" s="109"/>
      <c r="Y4" s="110"/>
      <c r="Z4" s="16"/>
    </row>
    <row r="5" spans="1:26" ht="11.25" customHeight="1" x14ac:dyDescent="0.25">
      <c r="A5" s="88" t="s">
        <v>67</v>
      </c>
      <c r="B5" s="88"/>
      <c r="C5" s="87" t="s">
        <v>68</v>
      </c>
      <c r="D5" s="87"/>
      <c r="E5" s="87"/>
      <c r="F5" s="96" t="s">
        <v>78</v>
      </c>
      <c r="G5" s="97"/>
      <c r="H5" s="97"/>
      <c r="I5" s="97"/>
      <c r="J5" s="97"/>
      <c r="K5" s="97"/>
      <c r="L5" s="97"/>
      <c r="M5" s="97"/>
      <c r="N5" s="97"/>
      <c r="O5" s="97"/>
      <c r="P5" s="97"/>
      <c r="Q5" s="98"/>
      <c r="R5" s="108"/>
      <c r="S5" s="109"/>
      <c r="T5" s="109"/>
      <c r="U5" s="109"/>
      <c r="V5" s="109"/>
      <c r="W5" s="109"/>
      <c r="X5" s="109"/>
      <c r="Y5" s="110"/>
    </row>
    <row r="6" spans="1:26" ht="11.25" customHeight="1" x14ac:dyDescent="0.25">
      <c r="A6" s="87" t="s">
        <v>69</v>
      </c>
      <c r="B6" s="87"/>
      <c r="C6" s="87" t="s">
        <v>66</v>
      </c>
      <c r="D6" s="87"/>
      <c r="E6" s="87"/>
      <c r="F6" s="99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1"/>
      <c r="R6" s="22" t="s">
        <v>80</v>
      </c>
      <c r="S6" s="94" t="str">
        <f>'01'!S6</f>
        <v>Mayo</v>
      </c>
      <c r="T6" s="94"/>
      <c r="U6" s="23" t="s">
        <v>81</v>
      </c>
      <c r="V6" s="90"/>
      <c r="W6" s="90"/>
      <c r="X6" s="90"/>
      <c r="Y6" s="91"/>
    </row>
    <row r="7" spans="1:26" ht="11.25" customHeight="1" x14ac:dyDescent="0.25">
      <c r="A7" s="87" t="s">
        <v>71</v>
      </c>
      <c r="B7" s="87"/>
      <c r="C7" s="87" t="s">
        <v>72</v>
      </c>
      <c r="D7" s="87"/>
      <c r="E7" s="87"/>
      <c r="F7" s="102" t="s">
        <v>70</v>
      </c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4"/>
      <c r="R7" s="20"/>
      <c r="S7" s="95"/>
      <c r="T7" s="95"/>
      <c r="U7" s="21"/>
      <c r="V7" s="92"/>
      <c r="W7" s="92"/>
      <c r="X7" s="92"/>
      <c r="Y7" s="93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6"/>
      <c r="N9" s="18" t="s">
        <v>73</v>
      </c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>
        <f t="shared" si="1"/>
        <v>0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>
        <f t="shared" si="1"/>
        <v>0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1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>
        <f t="shared" si="1"/>
        <v>0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>
        <f t="shared" si="1"/>
        <v>0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>
        <f t="shared" si="1"/>
        <v>0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>
        <f t="shared" si="1"/>
        <v>0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>
        <f t="shared" si="1"/>
        <v>0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">
        <f t="shared" si="1"/>
        <v>0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">
        <f t="shared" si="1"/>
        <v>0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>
        <f t="shared" si="1"/>
        <v>0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>
        <f t="shared" si="1"/>
        <v>0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">
        <f t="shared" si="1"/>
        <v>0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">
        <f t="shared" si="1"/>
        <v>0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">
        <f t="shared" si="1"/>
        <v>0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0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6"/>
      <c r="N56" s="18" t="s">
        <v>73</v>
      </c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B9:L9"/>
    <mergeCell ref="O9:Y9"/>
    <mergeCell ref="B56:L56"/>
    <mergeCell ref="O56:Y56"/>
    <mergeCell ref="V6:Y7"/>
    <mergeCell ref="A7:B7"/>
    <mergeCell ref="C7:E7"/>
    <mergeCell ref="F7:Q7"/>
    <mergeCell ref="S6:T7"/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</mergeCells>
  <conditionalFormatting sqref="B50:L50">
    <cfRule type="cellIs" dxfId="7" priority="4" operator="equal">
      <formula>0</formula>
    </cfRule>
  </conditionalFormatting>
  <conditionalFormatting sqref="B97:L97">
    <cfRule type="cellIs" dxfId="6" priority="2" operator="equal">
      <formula>0</formula>
    </cfRule>
  </conditionalFormatting>
  <conditionalFormatting sqref="L11:L49">
    <cfRule type="cellIs" dxfId="5" priority="8" operator="equal">
      <formula>0</formula>
    </cfRule>
  </conditionalFormatting>
  <conditionalFormatting sqref="L58:L96">
    <cfRule type="cellIs" dxfId="4" priority="6" operator="equal">
      <formula>0</formula>
    </cfRule>
  </conditionalFormatting>
  <conditionalFormatting sqref="O50:Y50">
    <cfRule type="cellIs" dxfId="3" priority="3" operator="equal">
      <formula>0</formula>
    </cfRule>
  </conditionalFormatting>
  <conditionalFormatting sqref="O97:Y97">
    <cfRule type="cellIs" dxfId="2" priority="1" operator="equal">
      <formula>0</formula>
    </cfRule>
  </conditionalFormatting>
  <conditionalFormatting sqref="Y11:Y49">
    <cfRule type="cellIs" dxfId="1" priority="7" operator="equal">
      <formula>0</formula>
    </cfRule>
  </conditionalFormatting>
  <conditionalFormatting sqref="Y58:Y96">
    <cfRule type="cellIs" dxfId="0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5F9BB-1D20-4770-B235-BDBE6FE2759F}">
  <sheetPr>
    <tabColor rgb="FF00B050"/>
  </sheetPr>
  <dimension ref="B2:N42"/>
  <sheetViews>
    <sheetView topLeftCell="A46" workbookViewId="0">
      <selection activeCell="P37" sqref="P37"/>
    </sheetView>
  </sheetViews>
  <sheetFormatPr baseColWidth="10" defaultRowHeight="15" x14ac:dyDescent="0.25"/>
  <cols>
    <col min="3" max="12" width="7.42578125" customWidth="1"/>
  </cols>
  <sheetData>
    <row r="2" spans="2:14" ht="94.5" customHeight="1" thickBot="1" x14ac:dyDescent="0.3">
      <c r="B2" s="35"/>
      <c r="C2" s="36" t="s">
        <v>0</v>
      </c>
      <c r="D2" s="36" t="s">
        <v>1</v>
      </c>
      <c r="E2" s="36" t="s">
        <v>57</v>
      </c>
      <c r="F2" s="36" t="s">
        <v>2</v>
      </c>
      <c r="G2" s="36" t="s">
        <v>3</v>
      </c>
      <c r="H2" s="36" t="s">
        <v>4</v>
      </c>
      <c r="I2" s="36" t="s">
        <v>5</v>
      </c>
      <c r="J2" s="36"/>
      <c r="K2" s="36"/>
      <c r="L2" s="36"/>
    </row>
    <row r="3" spans="2:14" ht="19.5" customHeight="1" x14ac:dyDescent="0.25">
      <c r="B3" s="37" t="s">
        <v>9</v>
      </c>
      <c r="C3" s="38">
        <f>('01'!B11+'01'!O11+'01'!B58+'01'!O58)+('02'!B11+'02'!O11+'02'!B58+'02'!O58)+('03'!B11+'03'!O11+'03'!B58+'03'!O58)+('04'!B11+'04'!O11+'04'!B58+'04'!O58)+('05'!B11+'05'!O11+'05'!B58+'05'!O58)+('06'!B11+'06'!O11+'06'!B58+'06'!O58)+('07'!B11+'07'!O11+'07'!B58+'07'!O58)+('08'!B11+'08'!O11+'08'!B58+'08'!O58)+('09'!B11+'09'!O11+'09'!B58+'09'!O58)</f>
        <v>0</v>
      </c>
      <c r="D3" s="38">
        <f>('01'!C11+'01'!P11+'01'!C58+'01'!P58)+('02'!C11+'02'!P11+'02'!C58+'02'!P58)+('03'!C11+'03'!P11+'03'!C58+'03'!P58)+('04'!C11+'04'!P11+'04'!C58+'04'!P58)+('05'!C11+'05'!P11+'05'!C58+'05'!P58)+('06'!C11+'06'!P11+'06'!C58+'06'!P58)+('07'!C11+'07'!P11+'07'!C58+'07'!P58)+('08'!C11+'08'!P11+'08'!C58+'08'!P58)+('09'!C11+'09'!P11+'09'!C58+'09'!P58)</f>
        <v>0</v>
      </c>
      <c r="E3" s="38">
        <f>('01'!D11+'01'!Q11+'01'!D58+'01'!Q58)+('02'!D11+'02'!Q11+'02'!D58+'02'!Q58)+('03'!D11+'03'!Q11+'03'!D58+'03'!Q58)+('04'!D11+'04'!Q11+'04'!D58+'04'!Q58)+('05'!D11+'05'!Q11+'05'!D58+'05'!Q58)+('06'!D11+'06'!Q11+'06'!D58+'06'!Q58)+('07'!D11+'07'!Q11+'07'!D58+'07'!Q58)+('08'!D11+'08'!Q11+'08'!D58+'08'!Q58)+('09'!D11+'09'!Q11+'09'!D58+'09'!Q58)</f>
        <v>0</v>
      </c>
      <c r="F3" s="38">
        <f>('01'!E11+'01'!R11+'01'!E58+'01'!R58)+('02'!E11+'02'!R11+'02'!E58+'02'!R58)+('03'!E11+'03'!R11+'03'!E58+'03'!R58)+('04'!E11+'04'!R11+'04'!E58+'04'!R58)+('05'!E11+'05'!R11+'05'!E58+'05'!R58)+('06'!E11+'06'!R11+'06'!E58+'06'!R58)+('07'!E11+'07'!R11+'07'!E58+'07'!R58)+('08'!E11+'08'!R11+'08'!E58+'08'!R58)+('09'!E11+'09'!R11+'09'!E58+'09'!R58)</f>
        <v>0</v>
      </c>
      <c r="G3" s="38">
        <f>('01'!F11+'01'!S11+'01'!F58+'01'!S58)+('02'!F11+'02'!S11+'02'!F58+'02'!S58)+('03'!F11+'03'!S11+'03'!F58+'03'!S58)+('04'!F11+'04'!S11+'04'!F58+'04'!S58)+('05'!F11+'05'!S11+'05'!F58+'05'!S58)+('06'!F11+'06'!S11+'06'!F58+'06'!S58)+('07'!F11+'07'!S11+'07'!F58+'07'!S58)+('08'!F11+'08'!S11+'08'!F58+'08'!S58)+('09'!F11+'09'!S11+'09'!F58+'09'!S58)</f>
        <v>0</v>
      </c>
      <c r="H3" s="38">
        <f>('01'!G11+'01'!T11+'01'!G58+'01'!T58)+('02'!G11+'02'!T11+'02'!G58+'02'!T58)+('03'!G11+'03'!T11+'03'!G58+'03'!T58)+('04'!G11+'04'!T11+'04'!G58+'04'!T58)+('05'!G11+'05'!T11+'05'!G58+'05'!T58)+('06'!G11+'06'!T11+'06'!G58+'06'!T58)+('07'!G11+'07'!T11+'07'!G58+'07'!T58)+('08'!G11+'08'!T11+'08'!G58+'08'!T58)+('09'!G11+'09'!T11+'09'!G58+'09'!T58)</f>
        <v>0</v>
      </c>
      <c r="I3" s="38">
        <f>('01'!H11+'01'!U11+'01'!H58+'01'!U58)+('02'!H11+'02'!U11+'02'!H58+'02'!U58)+('03'!H11+'03'!U11+'03'!H58+'03'!U58)+('04'!H11+'04'!U11+'04'!H58+'04'!U58)+('05'!H11+'05'!U11+'05'!H58+'05'!U58)+('06'!H11+'06'!U11+'06'!H58+'06'!U58)+('07'!H11+'07'!U11+'07'!H58+'07'!U58)+('08'!H11+'08'!U11+'08'!H58+'08'!U58)+('09'!H11+'09'!U11+'09'!H58+'09'!U58)</f>
        <v>0</v>
      </c>
      <c r="J3" s="38">
        <f>('01'!I11+'01'!V11+'01'!I58+'01'!V58)+('02'!I11+'02'!V11+'02'!I58+'02'!V58)+('03'!I11+'03'!V11+'03'!I58+'03'!V58)+('04'!I11+'04'!V11+'04'!I58+'04'!V58)+('05'!I11+'05'!V11+'05'!I58+'05'!V58)+('06'!I11+'06'!V11+'06'!I58+'06'!V58)+('07'!I11+'07'!V11+'07'!I58+'07'!V58)+('08'!I11+'08'!V11+'08'!I58+'08'!V58)+('09'!I11+'09'!V11+'09'!I58+'09'!V58)</f>
        <v>0</v>
      </c>
      <c r="K3" s="38">
        <f>('01'!J11+'01'!W11+'01'!J58+'01'!W58)+('02'!J11+'02'!W11+'02'!J58+'02'!W58)+('03'!J11+'03'!W11+'03'!J58+'03'!W58)+('04'!J11+'04'!W11+'04'!J58+'04'!W58)+('05'!J11+'05'!W11+'05'!J58+'05'!W58)+('06'!J11+'06'!W11+'06'!J58+'06'!W58)+('07'!J11+'07'!W11+'07'!J58+'07'!W58)+('08'!J11+'08'!W11+'08'!J58+'08'!W58)+('09'!J11+'09'!W11+'09'!J58+'09'!W58)</f>
        <v>0</v>
      </c>
      <c r="L3" s="38">
        <f>('01'!K11+'01'!X11+'01'!K58+'01'!X58)+('02'!K11+'02'!X11+'02'!K58+'02'!X58)+('03'!K11+'03'!X11+'03'!K58+'03'!X58)+('04'!K11+'04'!X11+'04'!K58+'04'!X58)+('05'!K11+'05'!X11+'05'!K58+'05'!X58)+('06'!K11+'06'!X11+'06'!K58+'06'!X58)+('07'!K11+'07'!X11+'07'!K58+'07'!X58)+('08'!K11+'08'!X11+'08'!K58+'08'!X58)+('09'!K11+'09'!X11+'09'!K58+'09'!X58)</f>
        <v>0</v>
      </c>
      <c r="M3" s="39">
        <f>SUM(C3:L3)</f>
        <v>0</v>
      </c>
      <c r="N3" s="40">
        <f>M3*25</f>
        <v>0</v>
      </c>
    </row>
    <row r="4" spans="2:14" ht="19.5" customHeight="1" x14ac:dyDescent="0.25">
      <c r="B4" s="41" t="s">
        <v>11</v>
      </c>
      <c r="C4" s="10">
        <f>('01'!B12+'01'!O12+'01'!B59+'01'!O59)+('02'!B12+'02'!O12+'02'!B59+'02'!O59)+('03'!B12+'03'!O12+'03'!B59+'03'!O59)+('04'!B12+'04'!O12+'04'!B59+'04'!O59)+('05'!B12+'05'!O12+'05'!B59+'05'!O59)+('06'!B12+'06'!O12+'06'!B59+'06'!O59)+('07'!B12+'07'!O12+'07'!B59+'07'!O59)+('08'!B12+'08'!O12+'08'!B59+'08'!O59)+('09'!B12+'09'!O12+'09'!B59+'09'!O59)</f>
        <v>0</v>
      </c>
      <c r="D4" s="10">
        <f>('01'!C12+'01'!P12+'01'!C59+'01'!P59)+('02'!C12+'02'!P12+'02'!C59+'02'!P59)+('03'!C12+'03'!P12+'03'!C59+'03'!P59)+('04'!C12+'04'!P12+'04'!C59+'04'!P59)+('05'!C12+'05'!P12+'05'!C59+'05'!P59)+('06'!C12+'06'!P12+'06'!C59+'06'!P59)+('07'!C12+'07'!P12+'07'!C59+'07'!P59)+('08'!C12+'08'!P12+'08'!C59+'08'!P59)+('09'!C12+'09'!P12+'09'!C59+'09'!P59)</f>
        <v>0</v>
      </c>
      <c r="E4" s="10">
        <f>('01'!D12+'01'!Q12+'01'!D59+'01'!Q59)+('02'!D12+'02'!Q12+'02'!D59+'02'!Q59)+('03'!D12+'03'!Q12+'03'!D59+'03'!Q59)+('04'!D12+'04'!Q12+'04'!D59+'04'!Q59)+('05'!D12+'05'!Q12+'05'!D59+'05'!Q59)+('06'!D12+'06'!Q12+'06'!D59+'06'!Q59)+('07'!D12+'07'!Q12+'07'!D59+'07'!Q59)+('08'!D12+'08'!Q12+'08'!D59+'08'!Q59)+('09'!D12+'09'!Q12+'09'!D59+'09'!Q59)</f>
        <v>0</v>
      </c>
      <c r="F4" s="10">
        <f>('01'!E12+'01'!R12+'01'!E59+'01'!R59)+('02'!E12+'02'!R12+'02'!E59+'02'!R59)+('03'!E12+'03'!R12+'03'!E59+'03'!R59)+('04'!E12+'04'!R12+'04'!E59+'04'!R59)+('05'!E12+'05'!R12+'05'!E59+'05'!R59)+('06'!E12+'06'!R12+'06'!E59+'06'!R59)+('07'!E12+'07'!R12+'07'!E59+'07'!R59)+('08'!E12+'08'!R12+'08'!E59+'08'!R59)+('09'!E12+'09'!R12+'09'!E59+'09'!R59)</f>
        <v>0</v>
      </c>
      <c r="G4" s="10">
        <f>('01'!F12+'01'!S12+'01'!F59+'01'!S59)+('02'!F12+'02'!S12+'02'!F59+'02'!S59)+('03'!F12+'03'!S12+'03'!F59+'03'!S59)+('04'!F12+'04'!S12+'04'!F59+'04'!S59)+('05'!F12+'05'!S12+'05'!F59+'05'!S59)+('06'!F12+'06'!S12+'06'!F59+'06'!S59)+('07'!F12+'07'!S12+'07'!F59+'07'!S59)+('08'!F12+'08'!S12+'08'!F59+'08'!S59)+('09'!F12+'09'!S12+'09'!F59+'09'!S59)</f>
        <v>0</v>
      </c>
      <c r="H4" s="10">
        <f>('01'!G12+'01'!T12+'01'!G59+'01'!T59)+('02'!G12+'02'!T12+'02'!G59+'02'!T59)+('03'!G12+'03'!T12+'03'!G59+'03'!T59)+('04'!G12+'04'!T12+'04'!G59+'04'!T59)+('05'!G12+'05'!T12+'05'!G59+'05'!T59)+('06'!G12+'06'!T12+'06'!G59+'06'!T59)+('07'!G12+'07'!T12+'07'!G59+'07'!T59)+('08'!G12+'08'!T12+'08'!G59+'08'!T59)+('09'!G12+'09'!T12+'09'!G59+'09'!T59)</f>
        <v>0</v>
      </c>
      <c r="I4" s="10">
        <f>('01'!H12+'01'!U12+'01'!H59+'01'!U59)+('02'!H12+'02'!U12+'02'!H59+'02'!U59)+('03'!H12+'03'!U12+'03'!H59+'03'!U59)+('04'!H12+'04'!U12+'04'!H59+'04'!U59)+('05'!H12+'05'!U12+'05'!H59+'05'!U59)+('06'!H12+'06'!U12+'06'!H59+'06'!U59)+('07'!H12+'07'!U12+'07'!H59+'07'!U59)+('08'!H12+'08'!U12+'08'!H59+'08'!U59)+('09'!H12+'09'!U12+'09'!H59+'09'!U59)</f>
        <v>0</v>
      </c>
      <c r="J4" s="10">
        <f>('01'!I12+'01'!V12+'01'!I59+'01'!V59)+('02'!I12+'02'!V12+'02'!I59+'02'!V59)+('03'!I12+'03'!V12+'03'!I59+'03'!V59)+('04'!I12+'04'!V12+'04'!I59+'04'!V59)+('05'!I12+'05'!V12+'05'!I59+'05'!V59)+('06'!I12+'06'!V12+'06'!I59+'06'!V59)+('07'!I12+'07'!V12+'07'!I59+'07'!V59)+('08'!I12+'08'!V12+'08'!I59+'08'!V59)+('09'!I12+'09'!V12+'09'!I59+'09'!V59)</f>
        <v>0</v>
      </c>
      <c r="K4" s="10">
        <f>('01'!J12+'01'!W12+'01'!J59+'01'!W59)+('02'!J12+'02'!W12+'02'!J59+'02'!W59)+('03'!J12+'03'!W12+'03'!J59+'03'!W59)+('04'!J12+'04'!W12+'04'!J59+'04'!W59)+('05'!J12+'05'!W12+'05'!J59+'05'!W59)+('06'!J12+'06'!W12+'06'!J59+'06'!W59)+('07'!J12+'07'!W12+'07'!J59+'07'!W59)+('08'!J12+'08'!W12+'08'!J59+'08'!W59)+('09'!J12+'09'!W12+'09'!J59+'09'!W59)</f>
        <v>0</v>
      </c>
      <c r="L4" s="10">
        <f>('01'!K12+'01'!X12+'01'!K59+'01'!X59)+('02'!K12+'02'!X12+'02'!K59+'02'!X59)+('03'!K12+'03'!X12+'03'!K59+'03'!X59)+('04'!K12+'04'!X12+'04'!K59+'04'!X59)+('05'!K12+'05'!X12+'05'!K59+'05'!X59)+('06'!K12+'06'!X12+'06'!K59+'06'!X59)+('07'!K12+'07'!X12+'07'!K59+'07'!X59)+('08'!K12+'08'!X12+'08'!K59+'08'!X59)+('09'!K12+'09'!X12+'09'!K59+'09'!X59)</f>
        <v>0</v>
      </c>
      <c r="M4">
        <f t="shared" ref="M4:M41" si="0">SUM(C4:L4)</f>
        <v>0</v>
      </c>
      <c r="N4" s="42">
        <f t="shared" ref="N4:N41" si="1">M4*25</f>
        <v>0</v>
      </c>
    </row>
    <row r="5" spans="2:14" ht="19.5" customHeight="1" x14ac:dyDescent="0.25">
      <c r="B5" s="41" t="s">
        <v>12</v>
      </c>
      <c r="C5" s="10">
        <f>('01'!B13+'01'!O13+'01'!B60+'01'!O60)+('02'!B13+'02'!O13+'02'!B60+'02'!O60)+('03'!B13+'03'!O13+'03'!B60+'03'!O60)+('04'!B13+'04'!O13+'04'!B60+'04'!O60)+('05'!B13+'05'!O13+'05'!B60+'05'!O60)+('06'!B13+'06'!O13+'06'!B60+'06'!O60)+('07'!B13+'07'!O13+'07'!B60+'07'!O60)+('08'!B13+'08'!O13+'08'!B60+'08'!O60)+('09'!B13+'09'!O13+'09'!B60+'09'!O60)</f>
        <v>0</v>
      </c>
      <c r="D5" s="10">
        <f>('01'!C13+'01'!P13+'01'!C60+'01'!P60)+('02'!C13+'02'!P13+'02'!C60+'02'!P60)+('03'!C13+'03'!P13+'03'!C60+'03'!P60)+('04'!C13+'04'!P13+'04'!C60+'04'!P60)+('05'!C13+'05'!P13+'05'!C60+'05'!P60)+('06'!C13+'06'!P13+'06'!C60+'06'!P60)+('07'!C13+'07'!P13+'07'!C60+'07'!P60)+('08'!C13+'08'!P13+'08'!C60+'08'!P60)+('09'!C13+'09'!P13+'09'!C60+'09'!P60)</f>
        <v>0</v>
      </c>
      <c r="E5" s="10">
        <f>('01'!D13+'01'!Q13+'01'!D60+'01'!Q60)+('02'!D13+'02'!Q13+'02'!D60+'02'!Q60)+('03'!D13+'03'!Q13+'03'!D60+'03'!Q60)+('04'!D13+'04'!Q13+'04'!D60+'04'!Q60)+('05'!D13+'05'!Q13+'05'!D60+'05'!Q60)+('06'!D13+'06'!Q13+'06'!D60+'06'!Q60)+('07'!D13+'07'!Q13+'07'!D60+'07'!Q60)+('08'!D13+'08'!Q13+'08'!D60+'08'!Q60)+('09'!D13+'09'!Q13+'09'!D60+'09'!Q60)</f>
        <v>0</v>
      </c>
      <c r="F5" s="10">
        <f>('01'!E13+'01'!R13+'01'!E60+'01'!R60)+('02'!E13+'02'!R13+'02'!E60+'02'!R60)+('03'!E13+'03'!R13+'03'!E60+'03'!R60)+('04'!E13+'04'!R13+'04'!E60+'04'!R60)+('05'!E13+'05'!R13+'05'!E60+'05'!R60)+('06'!E13+'06'!R13+'06'!E60+'06'!R60)+('07'!E13+'07'!R13+'07'!E60+'07'!R60)+('08'!E13+'08'!R13+'08'!E60+'08'!R60)+('09'!E13+'09'!R13+'09'!E60+'09'!R60)</f>
        <v>0</v>
      </c>
      <c r="G5" s="10">
        <f>('01'!F13+'01'!S13+'01'!F60+'01'!S60)+('02'!F13+'02'!S13+'02'!F60+'02'!S60)+('03'!F13+'03'!S13+'03'!F60+'03'!S60)+('04'!F13+'04'!S13+'04'!F60+'04'!S60)+('05'!F13+'05'!S13+'05'!F60+'05'!S60)+('06'!F13+'06'!S13+'06'!F60+'06'!S60)+('07'!F13+'07'!S13+'07'!F60+'07'!S60)+('08'!F13+'08'!S13+'08'!F60+'08'!S60)+('09'!F13+'09'!S13+'09'!F60+'09'!S60)</f>
        <v>0</v>
      </c>
      <c r="H5" s="10">
        <f>('01'!G13+'01'!T13+'01'!G60+'01'!T60)+('02'!G13+'02'!T13+'02'!G60+'02'!T60)+('03'!G13+'03'!T13+'03'!G60+'03'!T60)+('04'!G13+'04'!T13+'04'!G60+'04'!T60)+('05'!G13+'05'!T13+'05'!G60+'05'!T60)+('06'!G13+'06'!T13+'06'!G60+'06'!T60)+('07'!G13+'07'!T13+'07'!G60+'07'!T60)+('08'!G13+'08'!T13+'08'!G60+'08'!T60)+('09'!G13+'09'!T13+'09'!G60+'09'!T60)</f>
        <v>0</v>
      </c>
      <c r="I5" s="10">
        <f>('01'!H13+'01'!U13+'01'!H60+'01'!U60)+('02'!H13+'02'!U13+'02'!H60+'02'!U60)+('03'!H13+'03'!U13+'03'!H60+'03'!U60)+('04'!H13+'04'!U13+'04'!H60+'04'!U60)+('05'!H13+'05'!U13+'05'!H60+'05'!U60)+('06'!H13+'06'!U13+'06'!H60+'06'!U60)+('07'!H13+'07'!U13+'07'!H60+'07'!U60)+('08'!H13+'08'!U13+'08'!H60+'08'!U60)+('09'!H13+'09'!U13+'09'!H60+'09'!U60)</f>
        <v>0</v>
      </c>
      <c r="J5" s="10">
        <f>('01'!I13+'01'!V13+'01'!I60+'01'!V60)+('02'!I13+'02'!V13+'02'!I60+'02'!V60)+('03'!I13+'03'!V13+'03'!I60+'03'!V60)+('04'!I13+'04'!V13+'04'!I60+'04'!V60)+('05'!I13+'05'!V13+'05'!I60+'05'!V60)+('06'!I13+'06'!V13+'06'!I60+'06'!V60)+('07'!I13+'07'!V13+'07'!I60+'07'!V60)+('08'!I13+'08'!V13+'08'!I60+'08'!V60)+('09'!I13+'09'!V13+'09'!I60+'09'!V60)</f>
        <v>0</v>
      </c>
      <c r="K5" s="10">
        <f>('01'!J13+'01'!W13+'01'!J60+'01'!W60)+('02'!J13+'02'!W13+'02'!J60+'02'!W60)+('03'!J13+'03'!W13+'03'!J60+'03'!W60)+('04'!J13+'04'!W13+'04'!J60+'04'!W60)+('05'!J13+'05'!W13+'05'!J60+'05'!W60)+('06'!J13+'06'!W13+'06'!J60+'06'!W60)+('07'!J13+'07'!W13+'07'!J60+'07'!W60)+('08'!J13+'08'!W13+'08'!J60+'08'!W60)+('09'!J13+'09'!W13+'09'!J60+'09'!W60)</f>
        <v>0</v>
      </c>
      <c r="L5" s="10">
        <f>('01'!K13+'01'!X13+'01'!K60+'01'!X60)+('02'!K13+'02'!X13+'02'!K60+'02'!X60)+('03'!K13+'03'!X13+'03'!K60+'03'!X60)+('04'!K13+'04'!X13+'04'!K60+'04'!X60)+('05'!K13+'05'!X13+'05'!K60+'05'!X60)+('06'!K13+'06'!X13+'06'!K60+'06'!X60)+('07'!K13+'07'!X13+'07'!K60+'07'!X60)+('08'!K13+'08'!X13+'08'!K60+'08'!X60)+('09'!K13+'09'!X13+'09'!K60+'09'!X60)</f>
        <v>0</v>
      </c>
      <c r="M5">
        <f t="shared" si="0"/>
        <v>0</v>
      </c>
      <c r="N5" s="42">
        <f t="shared" si="1"/>
        <v>0</v>
      </c>
    </row>
    <row r="6" spans="2:14" ht="19.5" customHeight="1" x14ac:dyDescent="0.25">
      <c r="B6" s="41" t="s">
        <v>13</v>
      </c>
      <c r="C6" s="10">
        <f>('01'!B14+'01'!O14+'01'!B61+'01'!O61)+('02'!B14+'02'!O14+'02'!B61+'02'!O61)+('03'!B14+'03'!O14+'03'!B61+'03'!O61)+('04'!B14+'04'!O14+'04'!B61+'04'!O61)+('05'!B14+'05'!O14+'05'!B61+'05'!O61)+('06'!B14+'06'!O14+'06'!B61+'06'!O61)+('07'!B14+'07'!O14+'07'!B61+'07'!O61)+('08'!B14+'08'!O14+'08'!B61+'08'!O61)+('09'!B14+'09'!O14+'09'!B61+'09'!O61)</f>
        <v>0</v>
      </c>
      <c r="D6" s="10">
        <f>('01'!C14+'01'!P14+'01'!C61+'01'!P61)+('02'!C14+'02'!P14+'02'!C61+'02'!P61)+('03'!C14+'03'!P14+'03'!C61+'03'!P61)+('04'!C14+'04'!P14+'04'!C61+'04'!P61)+('05'!C14+'05'!P14+'05'!C61+'05'!P61)+('06'!C14+'06'!P14+'06'!C61+'06'!P61)+('07'!C14+'07'!P14+'07'!C61+'07'!P61)+('08'!C14+'08'!P14+'08'!C61+'08'!P61)+('09'!C14+'09'!P14+'09'!C61+'09'!P61)</f>
        <v>0</v>
      </c>
      <c r="E6" s="10">
        <f>('01'!D14+'01'!Q14+'01'!D61+'01'!Q61)+('02'!D14+'02'!Q14+'02'!D61+'02'!Q61)+('03'!D14+'03'!Q14+'03'!D61+'03'!Q61)+('04'!D14+'04'!Q14+'04'!D61+'04'!Q61)+('05'!D14+'05'!Q14+'05'!D61+'05'!Q61)+('06'!D14+'06'!Q14+'06'!D61+'06'!Q61)+('07'!D14+'07'!Q14+'07'!D61+'07'!Q61)+('08'!D14+'08'!Q14+'08'!D61+'08'!Q61)+('09'!D14+'09'!Q14+'09'!D61+'09'!Q61)</f>
        <v>0</v>
      </c>
      <c r="F6" s="10">
        <f>('01'!E14+'01'!R14+'01'!E61+'01'!R61)+('02'!E14+'02'!R14+'02'!E61+'02'!R61)+('03'!E14+'03'!R14+'03'!E61+'03'!R61)+('04'!E14+'04'!R14+'04'!E61+'04'!R61)+('05'!E14+'05'!R14+'05'!E61+'05'!R61)+('06'!E14+'06'!R14+'06'!E61+'06'!R61)+('07'!E14+'07'!R14+'07'!E61+'07'!R61)+('08'!E14+'08'!R14+'08'!E61+'08'!R61)+('09'!E14+'09'!R14+'09'!E61+'09'!R61)</f>
        <v>0</v>
      </c>
      <c r="G6" s="10">
        <f>('01'!F14+'01'!S14+'01'!F61+'01'!S61)+('02'!F14+'02'!S14+'02'!F61+'02'!S61)+('03'!F14+'03'!S14+'03'!F61+'03'!S61)+('04'!F14+'04'!S14+'04'!F61+'04'!S61)+('05'!F14+'05'!S14+'05'!F61+'05'!S61)+('06'!F14+'06'!S14+'06'!F61+'06'!S61)+('07'!F14+'07'!S14+'07'!F61+'07'!S61)+('08'!F14+'08'!S14+'08'!F61+'08'!S61)+('09'!F14+'09'!S14+'09'!F61+'09'!S61)</f>
        <v>0</v>
      </c>
      <c r="H6" s="10">
        <f>('01'!G14+'01'!T14+'01'!G61+'01'!T61)+('02'!G14+'02'!T14+'02'!G61+'02'!T61)+('03'!G14+'03'!T14+'03'!G61+'03'!T61)+('04'!G14+'04'!T14+'04'!G61+'04'!T61)+('05'!G14+'05'!T14+'05'!G61+'05'!T61)+('06'!G14+'06'!T14+'06'!G61+'06'!T61)+('07'!G14+'07'!T14+'07'!G61+'07'!T61)+('08'!G14+'08'!T14+'08'!G61+'08'!T61)+('09'!G14+'09'!T14+'09'!G61+'09'!T61)</f>
        <v>0</v>
      </c>
      <c r="I6" s="10">
        <f>('01'!H14+'01'!U14+'01'!H61+'01'!U61)+('02'!H14+'02'!U14+'02'!H61+'02'!U61)+('03'!H14+'03'!U14+'03'!H61+'03'!U61)+('04'!H14+'04'!U14+'04'!H61+'04'!U61)+('05'!H14+'05'!U14+'05'!H61+'05'!U61)+('06'!H14+'06'!U14+'06'!H61+'06'!U61)+('07'!H14+'07'!U14+'07'!H61+'07'!U61)+('08'!H14+'08'!U14+'08'!H61+'08'!U61)+('09'!H14+'09'!U14+'09'!H61+'09'!U61)</f>
        <v>0</v>
      </c>
      <c r="J6" s="10">
        <f>('01'!I14+'01'!V14+'01'!I61+'01'!V61)+('02'!I14+'02'!V14+'02'!I61+'02'!V61)+('03'!I14+'03'!V14+'03'!I61+'03'!V61)+('04'!I14+'04'!V14+'04'!I61+'04'!V61)+('05'!I14+'05'!V14+'05'!I61+'05'!V61)+('06'!I14+'06'!V14+'06'!I61+'06'!V61)+('07'!I14+'07'!V14+'07'!I61+'07'!V61)+('08'!I14+'08'!V14+'08'!I61+'08'!V61)+('09'!I14+'09'!V14+'09'!I61+'09'!V61)</f>
        <v>0</v>
      </c>
      <c r="K6" s="10">
        <f>('01'!J14+'01'!W14+'01'!J61+'01'!W61)+('02'!J14+'02'!W14+'02'!J61+'02'!W61)+('03'!J14+'03'!W14+'03'!J61+'03'!W61)+('04'!J14+'04'!W14+'04'!J61+'04'!W61)+('05'!J14+'05'!W14+'05'!J61+'05'!W61)+('06'!J14+'06'!W14+'06'!J61+'06'!W61)+('07'!J14+'07'!W14+'07'!J61+'07'!W61)+('08'!J14+'08'!W14+'08'!J61+'08'!W61)+('09'!J14+'09'!W14+'09'!J61+'09'!W61)</f>
        <v>0</v>
      </c>
      <c r="L6" s="10">
        <f>('01'!K14+'01'!X14+'01'!K61+'01'!X61)+('02'!K14+'02'!X14+'02'!K61+'02'!X61)+('03'!K14+'03'!X14+'03'!K61+'03'!X61)+('04'!K14+'04'!X14+'04'!K61+'04'!X61)+('05'!K14+'05'!X14+'05'!K61+'05'!X61)+('06'!K14+'06'!X14+'06'!K61+'06'!X61)+('07'!K14+'07'!X14+'07'!K61+'07'!X61)+('08'!K14+'08'!X14+'08'!K61+'08'!X61)+('09'!K14+'09'!X14+'09'!K61+'09'!X61)</f>
        <v>0</v>
      </c>
      <c r="M6">
        <f t="shared" si="0"/>
        <v>0</v>
      </c>
      <c r="N6" s="42">
        <f t="shared" si="1"/>
        <v>0</v>
      </c>
    </row>
    <row r="7" spans="2:14" ht="19.5" customHeight="1" x14ac:dyDescent="0.25">
      <c r="B7" s="41" t="s">
        <v>14</v>
      </c>
      <c r="C7" s="10">
        <f>('01'!B15+'01'!O15+'01'!B62+'01'!O62)+('02'!B15+'02'!O15+'02'!B62+'02'!O62)+('03'!B15+'03'!O15+'03'!B62+'03'!O62)+('04'!B15+'04'!O15+'04'!B62+'04'!O62)+('05'!B15+'05'!O15+'05'!B62+'05'!O62)+('06'!B15+'06'!O15+'06'!B62+'06'!O62)+('07'!B15+'07'!O15+'07'!B62+'07'!O62)+('08'!B15+'08'!O15+'08'!B62+'08'!O62)+('09'!B15+'09'!O15+'09'!B62+'09'!O62)</f>
        <v>0</v>
      </c>
      <c r="D7" s="10">
        <f>('01'!C15+'01'!P15+'01'!C62+'01'!P62)+('02'!C15+'02'!P15+'02'!C62+'02'!P62)+('03'!C15+'03'!P15+'03'!C62+'03'!P62)+('04'!C15+'04'!P15+'04'!C62+'04'!P62)+('05'!C15+'05'!P15+'05'!C62+'05'!P62)+('06'!C15+'06'!P15+'06'!C62+'06'!P62)+('07'!C15+'07'!P15+'07'!C62+'07'!P62)+('08'!C15+'08'!P15+'08'!C62+'08'!P62)+('09'!C15+'09'!P15+'09'!C62+'09'!P62)</f>
        <v>0</v>
      </c>
      <c r="E7" s="10">
        <f>('01'!D15+'01'!Q15+'01'!D62+'01'!Q62)+('02'!D15+'02'!Q15+'02'!D62+'02'!Q62)+('03'!D15+'03'!Q15+'03'!D62+'03'!Q62)+('04'!D15+'04'!Q15+'04'!D62+'04'!Q62)+('05'!D15+'05'!Q15+'05'!D62+'05'!Q62)+('06'!D15+'06'!Q15+'06'!D62+'06'!Q62)+('07'!D15+'07'!Q15+'07'!D62+'07'!Q62)+('08'!D15+'08'!Q15+'08'!D62+'08'!Q62)+('09'!D15+'09'!Q15+'09'!D62+'09'!Q62)</f>
        <v>0</v>
      </c>
      <c r="F7" s="10">
        <f>('01'!E15+'01'!R15+'01'!E62+'01'!R62)+('02'!E15+'02'!R15+'02'!E62+'02'!R62)+('03'!E15+'03'!R15+'03'!E62+'03'!R62)+('04'!E15+'04'!R15+'04'!E62+'04'!R62)+('05'!E15+'05'!R15+'05'!E62+'05'!R62)+('06'!E15+'06'!R15+'06'!E62+'06'!R62)+('07'!E15+'07'!R15+'07'!E62+'07'!R62)+('08'!E15+'08'!R15+'08'!E62+'08'!R62)+('09'!E15+'09'!R15+'09'!E62+'09'!R62)</f>
        <v>0</v>
      </c>
      <c r="G7" s="10">
        <f>('01'!F15+'01'!S15+'01'!F62+'01'!S62)+('02'!F15+'02'!S15+'02'!F62+'02'!S62)+('03'!F15+'03'!S15+'03'!F62+'03'!S62)+('04'!F15+'04'!S15+'04'!F62+'04'!S62)+('05'!F15+'05'!S15+'05'!F62+'05'!S62)+('06'!F15+'06'!S15+'06'!F62+'06'!S62)+('07'!F15+'07'!S15+'07'!F62+'07'!S62)+('08'!F15+'08'!S15+'08'!F62+'08'!S62)+('09'!F15+'09'!S15+'09'!F62+'09'!S62)</f>
        <v>0</v>
      </c>
      <c r="H7" s="10">
        <f>('01'!G15+'01'!T15+'01'!G62+'01'!T62)+('02'!G15+'02'!T15+'02'!G62+'02'!T62)+('03'!G15+'03'!T15+'03'!G62+'03'!T62)+('04'!G15+'04'!T15+'04'!G62+'04'!T62)+('05'!G15+'05'!T15+'05'!G62+'05'!T62)+('06'!G15+'06'!T15+'06'!G62+'06'!T62)+('07'!G15+'07'!T15+'07'!G62+'07'!T62)+('08'!G15+'08'!T15+'08'!G62+'08'!T62)+('09'!G15+'09'!T15+'09'!G62+'09'!T62)</f>
        <v>0</v>
      </c>
      <c r="I7" s="10">
        <f>('01'!H15+'01'!U15+'01'!H62+'01'!U62)+('02'!H15+'02'!U15+'02'!H62+'02'!U62)+('03'!H15+'03'!U15+'03'!H62+'03'!U62)+('04'!H15+'04'!U15+'04'!H62+'04'!U62)+('05'!H15+'05'!U15+'05'!H62+'05'!U62)+('06'!H15+'06'!U15+'06'!H62+'06'!U62)+('07'!H15+'07'!U15+'07'!H62+'07'!U62)+('08'!H15+'08'!U15+'08'!H62+'08'!U62)+('09'!H15+'09'!U15+'09'!H62+'09'!U62)</f>
        <v>0</v>
      </c>
      <c r="J7" s="10">
        <f>('01'!I15+'01'!V15+'01'!I62+'01'!V62)+('02'!I15+'02'!V15+'02'!I62+'02'!V62)+('03'!I15+'03'!V15+'03'!I62+'03'!V62)+('04'!I15+'04'!V15+'04'!I62+'04'!V62)+('05'!I15+'05'!V15+'05'!I62+'05'!V62)+('06'!I15+'06'!V15+'06'!I62+'06'!V62)+('07'!I15+'07'!V15+'07'!I62+'07'!V62)+('08'!I15+'08'!V15+'08'!I62+'08'!V62)+('09'!I15+'09'!V15+'09'!I62+'09'!V62)</f>
        <v>0</v>
      </c>
      <c r="K7" s="10">
        <f>('01'!J15+'01'!W15+'01'!J62+'01'!W62)+('02'!J15+'02'!W15+'02'!J62+'02'!W62)+('03'!J15+'03'!W15+'03'!J62+'03'!W62)+('04'!J15+'04'!W15+'04'!J62+'04'!W62)+('05'!J15+'05'!W15+'05'!J62+'05'!W62)+('06'!J15+'06'!W15+'06'!J62+'06'!W62)+('07'!J15+'07'!W15+'07'!J62+'07'!W62)+('08'!J15+'08'!W15+'08'!J62+'08'!W62)+('09'!J15+'09'!W15+'09'!J62+'09'!W62)</f>
        <v>0</v>
      </c>
      <c r="L7" s="10">
        <f>('01'!K15+'01'!X15+'01'!K62+'01'!X62)+('02'!K15+'02'!X15+'02'!K62+'02'!X62)+('03'!K15+'03'!X15+'03'!K62+'03'!X62)+('04'!K15+'04'!X15+'04'!K62+'04'!X62)+('05'!K15+'05'!X15+'05'!K62+'05'!X62)+('06'!K15+'06'!X15+'06'!K62+'06'!X62)+('07'!K15+'07'!X15+'07'!K62+'07'!X62)+('08'!K15+'08'!X15+'08'!K62+'08'!X62)+('09'!K15+'09'!X15+'09'!K62+'09'!X62)</f>
        <v>0</v>
      </c>
      <c r="M7">
        <f t="shared" si="0"/>
        <v>0</v>
      </c>
      <c r="N7" s="42">
        <f t="shared" si="1"/>
        <v>0</v>
      </c>
    </row>
    <row r="8" spans="2:14" ht="19.5" customHeight="1" thickBot="1" x14ac:dyDescent="0.3">
      <c r="B8" s="43" t="s">
        <v>15</v>
      </c>
      <c r="C8" s="44">
        <f>('01'!B16+'01'!O16+'01'!B63+'01'!O63)+('02'!B16+'02'!O16+'02'!B63+'02'!O63)+('03'!B16+'03'!O16+'03'!B63+'03'!O63)+('04'!B16+'04'!O16+'04'!B63+'04'!O63)+('05'!B16+'05'!O16+'05'!B63+'05'!O63)+('06'!B16+'06'!O16+'06'!B63+'06'!O63)+('07'!B16+'07'!O16+'07'!B63+'07'!O63)+('08'!B16+'08'!O16+'08'!B63+'08'!O63)+('09'!B16+'09'!O16+'09'!B63+'09'!O63)</f>
        <v>0</v>
      </c>
      <c r="D8" s="44">
        <f>('01'!C16+'01'!P16+'01'!C63+'01'!P63)+('02'!C16+'02'!P16+'02'!C63+'02'!P63)+('03'!C16+'03'!P16+'03'!C63+'03'!P63)+('04'!C16+'04'!P16+'04'!C63+'04'!P63)+('05'!C16+'05'!P16+'05'!C63+'05'!P63)+('06'!C16+'06'!P16+'06'!C63+'06'!P63)+('07'!C16+'07'!P16+'07'!C63+'07'!P63)+('08'!C16+'08'!P16+'08'!C63+'08'!P63)+('09'!C16+'09'!P16+'09'!C63+'09'!P63)</f>
        <v>0</v>
      </c>
      <c r="E8" s="44">
        <f>('01'!D16+'01'!Q16+'01'!D63+'01'!Q63)+('02'!D16+'02'!Q16+'02'!D63+'02'!Q63)+('03'!D16+'03'!Q16+'03'!D63+'03'!Q63)+('04'!D16+'04'!Q16+'04'!D63+'04'!Q63)+('05'!D16+'05'!Q16+'05'!D63+'05'!Q63)+('06'!D16+'06'!Q16+'06'!D63+'06'!Q63)+('07'!D16+'07'!Q16+'07'!D63+'07'!Q63)+('08'!D16+'08'!Q16+'08'!D63+'08'!Q63)+('09'!D16+'09'!Q16+'09'!D63+'09'!Q63)</f>
        <v>0</v>
      </c>
      <c r="F8" s="44">
        <f>('01'!E16+'01'!R16+'01'!E63+'01'!R63)+('02'!E16+'02'!R16+'02'!E63+'02'!R63)+('03'!E16+'03'!R16+'03'!E63+'03'!R63)+('04'!E16+'04'!R16+'04'!E63+'04'!R63)+('05'!E16+'05'!R16+'05'!E63+'05'!R63)+('06'!E16+'06'!R16+'06'!E63+'06'!R63)+('07'!E16+'07'!R16+'07'!E63+'07'!R63)+('08'!E16+'08'!R16+'08'!E63+'08'!R63)+('09'!E16+'09'!R16+'09'!E63+'09'!R63)</f>
        <v>0</v>
      </c>
      <c r="G8" s="44">
        <f>('01'!F16+'01'!S16+'01'!F63+'01'!S63)+('02'!F16+'02'!S16+'02'!F63+'02'!S63)+('03'!F16+'03'!S16+'03'!F63+'03'!S63)+('04'!F16+'04'!S16+'04'!F63+'04'!S63)+('05'!F16+'05'!S16+'05'!F63+'05'!S63)+('06'!F16+'06'!S16+'06'!F63+'06'!S63)+('07'!F16+'07'!S16+'07'!F63+'07'!S63)+('08'!F16+'08'!S16+'08'!F63+'08'!S63)+('09'!F16+'09'!S16+'09'!F63+'09'!S63)</f>
        <v>0</v>
      </c>
      <c r="H8" s="44">
        <f>('01'!G16+'01'!T16+'01'!G63+'01'!T63)+('02'!G16+'02'!T16+'02'!G63+'02'!T63)+('03'!G16+'03'!T16+'03'!G63+'03'!T63)+('04'!G16+'04'!T16+'04'!G63+'04'!T63)+('05'!G16+'05'!T16+'05'!G63+'05'!T63)+('06'!G16+'06'!T16+'06'!G63+'06'!T63)+('07'!G16+'07'!T16+'07'!G63+'07'!T63)+('08'!G16+'08'!T16+'08'!G63+'08'!T63)+('09'!G16+'09'!T16+'09'!G63+'09'!T63)</f>
        <v>0</v>
      </c>
      <c r="I8" s="44">
        <f>('01'!H16+'01'!U16+'01'!H63+'01'!U63)+('02'!H16+'02'!U16+'02'!H63+'02'!U63)+('03'!H16+'03'!U16+'03'!H63+'03'!U63)+('04'!H16+'04'!U16+'04'!H63+'04'!U63)+('05'!H16+'05'!U16+'05'!H63+'05'!U63)+('06'!H16+'06'!U16+'06'!H63+'06'!U63)+('07'!H16+'07'!U16+'07'!H63+'07'!U63)+('08'!H16+'08'!U16+'08'!H63+'08'!U63)+('09'!H16+'09'!U16+'09'!H63+'09'!U63)</f>
        <v>0</v>
      </c>
      <c r="J8" s="44">
        <f>('01'!I16+'01'!V16+'01'!I63+'01'!V63)+('02'!I16+'02'!V16+'02'!I63+'02'!V63)+('03'!I16+'03'!V16+'03'!I63+'03'!V63)+('04'!I16+'04'!V16+'04'!I63+'04'!V63)+('05'!I16+'05'!V16+'05'!I63+'05'!V63)+('06'!I16+'06'!V16+'06'!I63+'06'!V63)+('07'!I16+'07'!V16+'07'!I63+'07'!V63)+('08'!I16+'08'!V16+'08'!I63+'08'!V63)+('09'!I16+'09'!V16+'09'!I63+'09'!V63)</f>
        <v>0</v>
      </c>
      <c r="K8" s="44">
        <f>('01'!J16+'01'!W16+'01'!J63+'01'!W63)+('02'!J16+'02'!W16+'02'!J63+'02'!W63)+('03'!J16+'03'!W16+'03'!J63+'03'!W63)+('04'!J16+'04'!W16+'04'!J63+'04'!W63)+('05'!J16+'05'!W16+'05'!J63+'05'!W63)+('06'!J16+'06'!W16+'06'!J63+'06'!W63)+('07'!J16+'07'!W16+'07'!J63+'07'!W63)+('08'!J16+'08'!W16+'08'!J63+'08'!W63)+('09'!J16+'09'!W16+'09'!J63+'09'!W63)</f>
        <v>0</v>
      </c>
      <c r="L8" s="44">
        <f>('01'!K16+'01'!X16+'01'!K63+'01'!X63)+('02'!K16+'02'!X16+'02'!K63+'02'!X63)+('03'!K16+'03'!X16+'03'!K63+'03'!X63)+('04'!K16+'04'!X16+'04'!K63+'04'!X63)+('05'!K16+'05'!X16+'05'!K63+'05'!X63)+('06'!K16+'06'!X16+'06'!K63+'06'!X63)+('07'!K16+'07'!X16+'07'!K63+'07'!X63)+('08'!K16+'08'!X16+'08'!K63+'08'!X63)+('09'!K16+'09'!X16+'09'!K63+'09'!X63)</f>
        <v>0</v>
      </c>
      <c r="M8" s="45">
        <f t="shared" si="0"/>
        <v>0</v>
      </c>
      <c r="N8" s="46">
        <f t="shared" si="1"/>
        <v>0</v>
      </c>
    </row>
    <row r="9" spans="2:14" ht="19.5" customHeight="1" x14ac:dyDescent="0.25">
      <c r="B9" s="37" t="s">
        <v>17</v>
      </c>
      <c r="C9" s="38">
        <f>('01'!B17+'01'!O17+'01'!B64+'01'!O64)+('02'!B17+'02'!O17+'02'!B64+'02'!O64)+('03'!B17+'03'!O17+'03'!B64+'03'!O64)+('04'!B17+'04'!O17+'04'!B64+'04'!O64)+('05'!B17+'05'!O17+'05'!B64+'05'!O64)+('06'!B17+'06'!O17+'06'!B64+'06'!O64)+('07'!B17+'07'!O17+'07'!B64+'07'!O64)+('08'!B17+'08'!O17+'08'!B64+'08'!O64)+('09'!B17+'09'!O17+'09'!B64+'09'!O64)</f>
        <v>0</v>
      </c>
      <c r="D9" s="38">
        <f>('01'!C17+'01'!P17+'01'!C64+'01'!P64)+('02'!C17+'02'!P17+'02'!C64+'02'!P64)+('03'!C17+'03'!P17+'03'!C64+'03'!P64)+('04'!C17+'04'!P17+'04'!C64+'04'!P64)+('05'!C17+'05'!P17+'05'!C64+'05'!P64)+('06'!C17+'06'!P17+'06'!C64+'06'!P64)+('07'!C17+'07'!P17+'07'!C64+'07'!P64)+('08'!C17+'08'!P17+'08'!C64+'08'!P64)+('09'!C17+'09'!P17+'09'!C64+'09'!P64)</f>
        <v>0</v>
      </c>
      <c r="E9" s="38">
        <f>('01'!D17+'01'!Q17+'01'!D64+'01'!Q64)+('02'!D17+'02'!Q17+'02'!D64+'02'!Q64)+('03'!D17+'03'!Q17+'03'!D64+'03'!Q64)+('04'!D17+'04'!Q17+'04'!D64+'04'!Q64)+('05'!D17+'05'!Q17+'05'!D64+'05'!Q64)+('06'!D17+'06'!Q17+'06'!D64+'06'!Q64)+('07'!D17+'07'!Q17+'07'!D64+'07'!Q64)+('08'!D17+'08'!Q17+'08'!D64+'08'!Q64)+('09'!D17+'09'!Q17+'09'!D64+'09'!Q64)</f>
        <v>0</v>
      </c>
      <c r="F9" s="38">
        <f>('01'!E17+'01'!R17+'01'!E64+'01'!R64)+('02'!E17+'02'!R17+'02'!E64+'02'!R64)+('03'!E17+'03'!R17+'03'!E64+'03'!R64)+('04'!E17+'04'!R17+'04'!E64+'04'!R64)+('05'!E17+'05'!R17+'05'!E64+'05'!R64)+('06'!E17+'06'!R17+'06'!E64+'06'!R64)+('07'!E17+'07'!R17+'07'!E64+'07'!R64)+('08'!E17+'08'!R17+'08'!E64+'08'!R64)+('09'!E17+'09'!R17+'09'!E64+'09'!R64)</f>
        <v>0</v>
      </c>
      <c r="G9" s="38">
        <f>('01'!F17+'01'!S17+'01'!F64+'01'!S64)+('02'!F17+'02'!S17+'02'!F64+'02'!S64)+('03'!F17+'03'!S17+'03'!F64+'03'!S64)+('04'!F17+'04'!S17+'04'!F64+'04'!S64)+('05'!F17+'05'!S17+'05'!F64+'05'!S64)+('06'!F17+'06'!S17+'06'!F64+'06'!S64)+('07'!F17+'07'!S17+'07'!F64+'07'!S64)+('08'!F17+'08'!S17+'08'!F64+'08'!S64)+('09'!F17+'09'!S17+'09'!F64+'09'!S64)</f>
        <v>0</v>
      </c>
      <c r="H9" s="38">
        <f>('01'!G17+'01'!T17+'01'!G64+'01'!T64)+('02'!G17+'02'!T17+'02'!G64+'02'!T64)+('03'!G17+'03'!T17+'03'!G64+'03'!T64)+('04'!G17+'04'!T17+'04'!G64+'04'!T64)+('05'!G17+'05'!T17+'05'!G64+'05'!T64)+('06'!G17+'06'!T17+'06'!G64+'06'!T64)+('07'!G17+'07'!T17+'07'!G64+'07'!T64)+('08'!G17+'08'!T17+'08'!G64+'08'!T64)+('09'!G17+'09'!T17+'09'!G64+'09'!T64)</f>
        <v>0</v>
      </c>
      <c r="I9" s="38">
        <f>('01'!H17+'01'!U17+'01'!H64+'01'!U64)+('02'!H17+'02'!U17+'02'!H64+'02'!U64)+('03'!H17+'03'!U17+'03'!H64+'03'!U64)+('04'!H17+'04'!U17+'04'!H64+'04'!U64)+('05'!H17+'05'!U17+'05'!H64+'05'!U64)+('06'!H17+'06'!U17+'06'!H64+'06'!U64)+('07'!H17+'07'!U17+'07'!H64+'07'!U64)+('08'!H17+'08'!U17+'08'!H64+'08'!U64)+('09'!H17+'09'!U17+'09'!H64+'09'!U64)</f>
        <v>0</v>
      </c>
      <c r="J9" s="38">
        <f>('01'!I17+'01'!V17+'01'!I64+'01'!V64)+('02'!I17+'02'!V17+'02'!I64+'02'!V64)+('03'!I17+'03'!V17+'03'!I64+'03'!V64)+('04'!I17+'04'!V17+'04'!I64+'04'!V64)+('05'!I17+'05'!V17+'05'!I64+'05'!V64)+('06'!I17+'06'!V17+'06'!I64+'06'!V64)+('07'!I17+'07'!V17+'07'!I64+'07'!V64)+('08'!I17+'08'!V17+'08'!I64+'08'!V64)+('09'!I17+'09'!V17+'09'!I64+'09'!V64)</f>
        <v>0</v>
      </c>
      <c r="K9" s="38">
        <f>('01'!J17+'01'!W17+'01'!J64+'01'!W64)+('02'!J17+'02'!W17+'02'!J64+'02'!W64)+('03'!J17+'03'!W17+'03'!J64+'03'!W64)+('04'!J17+'04'!W17+'04'!J64+'04'!W64)+('05'!J17+'05'!W17+'05'!J64+'05'!W64)+('06'!J17+'06'!W17+'06'!J64+'06'!W64)+('07'!J17+'07'!W17+'07'!J64+'07'!W64)+('08'!J17+'08'!W17+'08'!J64+'08'!W64)+('09'!J17+'09'!W17+'09'!J64+'09'!W64)</f>
        <v>0</v>
      </c>
      <c r="L9" s="38">
        <f>('01'!K17+'01'!X17+'01'!K64+'01'!X64)+('02'!K17+'02'!X17+'02'!K64+'02'!X64)+('03'!K17+'03'!X17+'03'!K64+'03'!X64)+('04'!K17+'04'!X17+'04'!K64+'04'!X64)+('05'!K17+'05'!X17+'05'!K64+'05'!X64)+('06'!K17+'06'!X17+'06'!K64+'06'!X64)+('07'!K17+'07'!X17+'07'!K64+'07'!X64)+('08'!K17+'08'!X17+'08'!K64+'08'!X64)+('09'!K17+'09'!X17+'09'!K64+'09'!X64)</f>
        <v>0</v>
      </c>
      <c r="M9" s="39">
        <f t="shared" si="0"/>
        <v>0</v>
      </c>
      <c r="N9" s="40">
        <f t="shared" si="1"/>
        <v>0</v>
      </c>
    </row>
    <row r="10" spans="2:14" ht="19.5" customHeight="1" x14ac:dyDescent="0.25">
      <c r="B10" s="41" t="s">
        <v>19</v>
      </c>
      <c r="C10" s="10">
        <f>('01'!B18+'01'!O18+'01'!B65+'01'!O65)+('02'!B18+'02'!O18+'02'!B65+'02'!O65)+('03'!B18+'03'!O18+'03'!B65+'03'!O65)+('04'!B18+'04'!O18+'04'!B65+'04'!O65)+('05'!B18+'05'!O18+'05'!B65+'05'!O65)+('06'!B18+'06'!O18+'06'!B65+'06'!O65)+('07'!B18+'07'!O18+'07'!B65+'07'!O65)+('08'!B18+'08'!O18+'08'!B65+'08'!O65)+('09'!B18+'09'!O18+'09'!B65+'09'!O65)</f>
        <v>0</v>
      </c>
      <c r="D10" s="10">
        <f>('01'!C18+'01'!P18+'01'!C65+'01'!P65)+('02'!C18+'02'!P18+'02'!C65+'02'!P65)+('03'!C18+'03'!P18+'03'!C65+'03'!P65)+('04'!C18+'04'!P18+'04'!C65+'04'!P65)+('05'!C18+'05'!P18+'05'!C65+'05'!P65)+('06'!C18+'06'!P18+'06'!C65+'06'!P65)+('07'!C18+'07'!P18+'07'!C65+'07'!P65)+('08'!C18+'08'!P18+'08'!C65+'08'!P65)+('09'!C18+'09'!P18+'09'!C65+'09'!P65)</f>
        <v>0</v>
      </c>
      <c r="E10" s="10">
        <f>('01'!D18+'01'!Q18+'01'!D65+'01'!Q65)+('02'!D18+'02'!Q18+'02'!D65+'02'!Q65)+('03'!D18+'03'!Q18+'03'!D65+'03'!Q65)+('04'!D18+'04'!Q18+'04'!D65+'04'!Q65)+('05'!D18+'05'!Q18+'05'!D65+'05'!Q65)+('06'!D18+'06'!Q18+'06'!D65+'06'!Q65)+('07'!D18+'07'!Q18+'07'!D65+'07'!Q65)+('08'!D18+'08'!Q18+'08'!D65+'08'!Q65)+('09'!D18+'09'!Q18+'09'!D65+'09'!Q65)</f>
        <v>0</v>
      </c>
      <c r="F10" s="10">
        <f>('01'!E18+'01'!R18+'01'!E65+'01'!R65)+('02'!E18+'02'!R18+'02'!E65+'02'!R65)+('03'!E18+'03'!R18+'03'!E65+'03'!R65)+('04'!E18+'04'!R18+'04'!E65+'04'!R65)+('05'!E18+'05'!R18+'05'!E65+'05'!R65)+('06'!E18+'06'!R18+'06'!E65+'06'!R65)+('07'!E18+'07'!R18+'07'!E65+'07'!R65)+('08'!E18+'08'!R18+'08'!E65+'08'!R65)+('09'!E18+'09'!R18+'09'!E65+'09'!R65)</f>
        <v>0</v>
      </c>
      <c r="G10" s="10">
        <f>('01'!F18+'01'!S18+'01'!F65+'01'!S65)+('02'!F18+'02'!S18+'02'!F65+'02'!S65)+('03'!F18+'03'!S18+'03'!F65+'03'!S65)+('04'!F18+'04'!S18+'04'!F65+'04'!S65)+('05'!F18+'05'!S18+'05'!F65+'05'!S65)+('06'!F18+'06'!S18+'06'!F65+'06'!S65)+('07'!F18+'07'!S18+'07'!F65+'07'!S65)+('08'!F18+'08'!S18+'08'!F65+'08'!S65)+('09'!F18+'09'!S18+'09'!F65+'09'!S65)</f>
        <v>0</v>
      </c>
      <c r="H10" s="10">
        <f>('01'!G18+'01'!T18+'01'!G65+'01'!T65)+('02'!G18+'02'!T18+'02'!G65+'02'!T65)+('03'!G18+'03'!T18+'03'!G65+'03'!T65)+('04'!G18+'04'!T18+'04'!G65+'04'!T65)+('05'!G18+'05'!T18+'05'!G65+'05'!T65)+('06'!G18+'06'!T18+'06'!G65+'06'!T65)+('07'!G18+'07'!T18+'07'!G65+'07'!T65)+('08'!G18+'08'!T18+'08'!G65+'08'!T65)+('09'!G18+'09'!T18+'09'!G65+'09'!T65)</f>
        <v>0</v>
      </c>
      <c r="I10" s="10">
        <f>('01'!H18+'01'!U18+'01'!H65+'01'!U65)+('02'!H18+'02'!U18+'02'!H65+'02'!U65)+('03'!H18+'03'!U18+'03'!H65+'03'!U65)+('04'!H18+'04'!U18+'04'!H65+'04'!U65)+('05'!H18+'05'!U18+'05'!H65+'05'!U65)+('06'!H18+'06'!U18+'06'!H65+'06'!U65)+('07'!H18+'07'!U18+'07'!H65+'07'!U65)+('08'!H18+'08'!U18+'08'!H65+'08'!U65)+('09'!H18+'09'!U18+'09'!H65+'09'!U65)</f>
        <v>0</v>
      </c>
      <c r="J10" s="10">
        <f>('01'!I18+'01'!V18+'01'!I65+'01'!V65)+('02'!I18+'02'!V18+'02'!I65+'02'!V65)+('03'!I18+'03'!V18+'03'!I65+'03'!V65)+('04'!I18+'04'!V18+'04'!I65+'04'!V65)+('05'!I18+'05'!V18+'05'!I65+'05'!V65)+('06'!I18+'06'!V18+'06'!I65+'06'!V65)+('07'!I18+'07'!V18+'07'!I65+'07'!V65)+('08'!I18+'08'!V18+'08'!I65+'08'!V65)+('09'!I18+'09'!V18+'09'!I65+'09'!V65)</f>
        <v>0</v>
      </c>
      <c r="K10" s="10">
        <f>('01'!J18+'01'!W18+'01'!J65+'01'!W65)+('02'!J18+'02'!W18+'02'!J65+'02'!W65)+('03'!J18+'03'!W18+'03'!J65+'03'!W65)+('04'!J18+'04'!W18+'04'!J65+'04'!W65)+('05'!J18+'05'!W18+'05'!J65+'05'!W65)+('06'!J18+'06'!W18+'06'!J65+'06'!W65)+('07'!J18+'07'!W18+'07'!J65+'07'!W65)+('08'!J18+'08'!W18+'08'!J65+'08'!W65)+('09'!J18+'09'!W18+'09'!J65+'09'!W65)</f>
        <v>0</v>
      </c>
      <c r="L10" s="10">
        <f>('01'!K18+'01'!X18+'01'!K65+'01'!X65)+('02'!K18+'02'!X18+'02'!K65+'02'!X65)+('03'!K18+'03'!X18+'03'!K65+'03'!X65)+('04'!K18+'04'!X18+'04'!K65+'04'!X65)+('05'!K18+'05'!X18+'05'!K65+'05'!X65)+('06'!K18+'06'!X18+'06'!K65+'06'!X65)+('07'!K18+'07'!X18+'07'!K65+'07'!X65)+('08'!K18+'08'!X18+'08'!K65+'08'!X65)+('09'!K18+'09'!X18+'09'!K65+'09'!X65)</f>
        <v>0</v>
      </c>
      <c r="M10">
        <f t="shared" si="0"/>
        <v>0</v>
      </c>
      <c r="N10" s="42">
        <f t="shared" si="1"/>
        <v>0</v>
      </c>
    </row>
    <row r="11" spans="2:14" ht="19.5" customHeight="1" x14ac:dyDescent="0.25">
      <c r="B11" s="41" t="s">
        <v>20</v>
      </c>
      <c r="C11" s="10">
        <f>('01'!B19+'01'!O19+'01'!B66+'01'!O66)+('02'!B19+'02'!O19+'02'!B66+'02'!O66)+('03'!B19+'03'!O19+'03'!B66+'03'!O66)+('04'!B19+'04'!O19+'04'!B66+'04'!O66)+('05'!B19+'05'!O19+'05'!B66+'05'!O66)+('06'!B19+'06'!O19+'06'!B66+'06'!O66)+('07'!B19+'07'!O19+'07'!B66+'07'!O66)+('08'!B19+'08'!O19+'08'!B66+'08'!O66)+('09'!B19+'09'!O19+'09'!B66+'09'!O66)</f>
        <v>0</v>
      </c>
      <c r="D11" s="10">
        <f>('01'!C19+'01'!P19+'01'!C66+'01'!P66)+('02'!C19+'02'!P19+'02'!C66+'02'!P66)+('03'!C19+'03'!P19+'03'!C66+'03'!P66)+('04'!C19+'04'!P19+'04'!C66+'04'!P66)+('05'!C19+'05'!P19+'05'!C66+'05'!P66)+('06'!C19+'06'!P19+'06'!C66+'06'!P66)+('07'!C19+'07'!P19+'07'!C66+'07'!P66)+('08'!C19+'08'!P19+'08'!C66+'08'!P66)+('09'!C19+'09'!P19+'09'!C66+'09'!P66)</f>
        <v>0</v>
      </c>
      <c r="E11" s="10">
        <f>('01'!D19+'01'!Q19+'01'!D66+'01'!Q66)+('02'!D19+'02'!Q19+'02'!D66+'02'!Q66)+('03'!D19+'03'!Q19+'03'!D66+'03'!Q66)+('04'!D19+'04'!Q19+'04'!D66+'04'!Q66)+('05'!D19+'05'!Q19+'05'!D66+'05'!Q66)+('06'!D19+'06'!Q19+'06'!D66+'06'!Q66)+('07'!D19+'07'!Q19+'07'!D66+'07'!Q66)+('08'!D19+'08'!Q19+'08'!D66+'08'!Q66)+('09'!D19+'09'!Q19+'09'!D66+'09'!Q66)</f>
        <v>0</v>
      </c>
      <c r="F11" s="10">
        <f>('01'!E19+'01'!R19+'01'!E66+'01'!R66)+('02'!E19+'02'!R19+'02'!E66+'02'!R66)+('03'!E19+'03'!R19+'03'!E66+'03'!R66)+('04'!E19+'04'!R19+'04'!E66+'04'!R66)+('05'!E19+'05'!R19+'05'!E66+'05'!R66)+('06'!E19+'06'!R19+'06'!E66+'06'!R66)+('07'!E19+'07'!R19+'07'!E66+'07'!R66)+('08'!E19+'08'!R19+'08'!E66+'08'!R66)+('09'!E19+'09'!R19+'09'!E66+'09'!R66)</f>
        <v>0</v>
      </c>
      <c r="G11" s="10">
        <f>('01'!F19+'01'!S19+'01'!F66+'01'!S66)+('02'!F19+'02'!S19+'02'!F66+'02'!S66)+('03'!F19+'03'!S19+'03'!F66+'03'!S66)+('04'!F19+'04'!S19+'04'!F66+'04'!S66)+('05'!F19+'05'!S19+'05'!F66+'05'!S66)+('06'!F19+'06'!S19+'06'!F66+'06'!S66)+('07'!F19+'07'!S19+'07'!F66+'07'!S66)+('08'!F19+'08'!S19+'08'!F66+'08'!S66)+('09'!F19+'09'!S19+'09'!F66+'09'!S66)</f>
        <v>0</v>
      </c>
      <c r="H11" s="10">
        <f>('01'!G19+'01'!T19+'01'!G66+'01'!T66)+('02'!G19+'02'!T19+'02'!G66+'02'!T66)+('03'!G19+'03'!T19+'03'!G66+'03'!T66)+('04'!G19+'04'!T19+'04'!G66+'04'!T66)+('05'!G19+'05'!T19+'05'!G66+'05'!T66)+('06'!G19+'06'!T19+'06'!G66+'06'!T66)+('07'!G19+'07'!T19+'07'!G66+'07'!T66)+('08'!G19+'08'!T19+'08'!G66+'08'!T66)+('09'!G19+'09'!T19+'09'!G66+'09'!T66)</f>
        <v>0</v>
      </c>
      <c r="I11" s="10">
        <f>('01'!H19+'01'!U19+'01'!H66+'01'!U66)+('02'!H19+'02'!U19+'02'!H66+'02'!U66)+('03'!H19+'03'!U19+'03'!H66+'03'!U66)+('04'!H19+'04'!U19+'04'!H66+'04'!U66)+('05'!H19+'05'!U19+'05'!H66+'05'!U66)+('06'!H19+'06'!U19+'06'!H66+'06'!U66)+('07'!H19+'07'!U19+'07'!H66+'07'!U66)+('08'!H19+'08'!U19+'08'!H66+'08'!U66)+('09'!H19+'09'!U19+'09'!H66+'09'!U66)</f>
        <v>0</v>
      </c>
      <c r="J11" s="10">
        <f>('01'!I19+'01'!V19+'01'!I66+'01'!V66)+('02'!I19+'02'!V19+'02'!I66+'02'!V66)+('03'!I19+'03'!V19+'03'!I66+'03'!V66)+('04'!I19+'04'!V19+'04'!I66+'04'!V66)+('05'!I19+'05'!V19+'05'!I66+'05'!V66)+('06'!I19+'06'!V19+'06'!I66+'06'!V66)+('07'!I19+'07'!V19+'07'!I66+'07'!V66)+('08'!I19+'08'!V19+'08'!I66+'08'!V66)+('09'!I19+'09'!V19+'09'!I66+'09'!V66)</f>
        <v>0</v>
      </c>
      <c r="K11" s="10">
        <f>('01'!J19+'01'!W19+'01'!J66+'01'!W66)+('02'!J19+'02'!W19+'02'!J66+'02'!W66)+('03'!J19+'03'!W19+'03'!J66+'03'!W66)+('04'!J19+'04'!W19+'04'!J66+'04'!W66)+('05'!J19+'05'!W19+'05'!J66+'05'!W66)+('06'!J19+'06'!W19+'06'!J66+'06'!W66)+('07'!J19+'07'!W19+'07'!J66+'07'!W66)+('08'!J19+'08'!W19+'08'!J66+'08'!W66)+('09'!J19+'09'!W19+'09'!J66+'09'!W66)</f>
        <v>0</v>
      </c>
      <c r="L11" s="10">
        <f>('01'!K19+'01'!X19+'01'!K66+'01'!X66)+('02'!K19+'02'!X19+'02'!K66+'02'!X66)+('03'!K19+'03'!X19+'03'!K66+'03'!X66)+('04'!K19+'04'!X19+'04'!K66+'04'!X66)+('05'!K19+'05'!X19+'05'!K66+'05'!X66)+('06'!K19+'06'!X19+'06'!K66+'06'!X66)+('07'!K19+'07'!X19+'07'!K66+'07'!X66)+('08'!K19+'08'!X19+'08'!K66+'08'!X66)+('09'!K19+'09'!X19+'09'!K66+'09'!X66)</f>
        <v>0</v>
      </c>
      <c r="M11">
        <f t="shared" si="0"/>
        <v>0</v>
      </c>
      <c r="N11" s="42">
        <f t="shared" si="1"/>
        <v>0</v>
      </c>
    </row>
    <row r="12" spans="2:14" ht="19.5" customHeight="1" x14ac:dyDescent="0.25">
      <c r="B12" s="41" t="s">
        <v>22</v>
      </c>
      <c r="C12" s="10">
        <f>('01'!B20+'01'!O20+'01'!B67+'01'!O67)+('02'!B20+'02'!O20+'02'!B67+'02'!O67)+('03'!B20+'03'!O20+'03'!B67+'03'!O67)+('04'!B20+'04'!O20+'04'!B67+'04'!O67)+('05'!B20+'05'!O20+'05'!B67+'05'!O67)+('06'!B20+'06'!O20+'06'!B67+'06'!O67)+('07'!B20+'07'!O20+'07'!B67+'07'!O67)+('08'!B20+'08'!O20+'08'!B67+'08'!O67)+('09'!B20+'09'!O20+'09'!B67+'09'!O67)</f>
        <v>0</v>
      </c>
      <c r="D12" s="10">
        <f>('01'!C20+'01'!P20+'01'!C67+'01'!P67)+('02'!C20+'02'!P20+'02'!C67+'02'!P67)+('03'!C20+'03'!P20+'03'!C67+'03'!P67)+('04'!C20+'04'!P20+'04'!C67+'04'!P67)+('05'!C20+'05'!P20+'05'!C67+'05'!P67)+('06'!C20+'06'!P20+'06'!C67+'06'!P67)+('07'!C20+'07'!P20+'07'!C67+'07'!P67)+('08'!C20+'08'!P20+'08'!C67+'08'!P67)+('09'!C20+'09'!P20+'09'!C67+'09'!P67)</f>
        <v>0</v>
      </c>
      <c r="E12" s="10">
        <f>('01'!D20+'01'!Q20+'01'!D67+'01'!Q67)+('02'!D20+'02'!Q20+'02'!D67+'02'!Q67)+('03'!D20+'03'!Q20+'03'!D67+'03'!Q67)+('04'!D20+'04'!Q20+'04'!D67+'04'!Q67)+('05'!D20+'05'!Q20+'05'!D67+'05'!Q67)+('06'!D20+'06'!Q20+'06'!D67+'06'!Q67)+('07'!D20+'07'!Q20+'07'!D67+'07'!Q67)+('08'!D20+'08'!Q20+'08'!D67+'08'!Q67)+('09'!D20+'09'!Q20+'09'!D67+'09'!Q67)</f>
        <v>9</v>
      </c>
      <c r="F12" s="10">
        <f>('01'!E20+'01'!R20+'01'!E67+'01'!R67)+('02'!E20+'02'!R20+'02'!E67+'02'!R67)+('03'!E20+'03'!R20+'03'!E67+'03'!R67)+('04'!E20+'04'!R20+'04'!E67+'04'!R67)+('05'!E20+'05'!R20+'05'!E67+'05'!R67)+('06'!E20+'06'!R20+'06'!E67+'06'!R67)+('07'!E20+'07'!R20+'07'!E67+'07'!R67)+('08'!E20+'08'!R20+'08'!E67+'08'!R67)+('09'!E20+'09'!R20+'09'!E67+'09'!R67)</f>
        <v>4</v>
      </c>
      <c r="G12" s="10">
        <f>('01'!F20+'01'!S20+'01'!F67+'01'!S67)+('02'!F20+'02'!S20+'02'!F67+'02'!S67)+('03'!F20+'03'!S20+'03'!F67+'03'!S67)+('04'!F20+'04'!S20+'04'!F67+'04'!S67)+('05'!F20+'05'!S20+'05'!F67+'05'!S67)+('06'!F20+'06'!S20+'06'!F67+'06'!S67)+('07'!F20+'07'!S20+'07'!F67+'07'!S67)+('08'!F20+'08'!S20+'08'!F67+'08'!S67)+('09'!F20+'09'!S20+'09'!F67+'09'!S67)</f>
        <v>0</v>
      </c>
      <c r="H12" s="10">
        <f>('01'!G20+'01'!T20+'01'!G67+'01'!T67)+('02'!G20+'02'!T20+'02'!G67+'02'!T67)+('03'!G20+'03'!T20+'03'!G67+'03'!T67)+('04'!G20+'04'!T20+'04'!G67+'04'!T67)+('05'!G20+'05'!T20+'05'!G67+'05'!T67)+('06'!G20+'06'!T20+'06'!G67+'06'!T67)+('07'!G20+'07'!T20+'07'!G67+'07'!T67)+('08'!G20+'08'!T20+'08'!G67+'08'!T67)+('09'!G20+'09'!T20+'09'!G67+'09'!T67)</f>
        <v>0</v>
      </c>
      <c r="I12" s="10">
        <f>('01'!H20+'01'!U20+'01'!H67+'01'!U67)+('02'!H20+'02'!U20+'02'!H67+'02'!U67)+('03'!H20+'03'!U20+'03'!H67+'03'!U67)+('04'!H20+'04'!U20+'04'!H67+'04'!U67)+('05'!H20+'05'!U20+'05'!H67+'05'!U67)+('06'!H20+'06'!U20+'06'!H67+'06'!U67)+('07'!H20+'07'!U20+'07'!H67+'07'!U67)+('08'!H20+'08'!U20+'08'!H67+'08'!U67)+('09'!H20+'09'!U20+'09'!H67+'09'!U67)</f>
        <v>0</v>
      </c>
      <c r="J12" s="10">
        <f>('01'!I20+'01'!V20+'01'!I67+'01'!V67)+('02'!I20+'02'!V20+'02'!I67+'02'!V67)+('03'!I20+'03'!V20+'03'!I67+'03'!V67)+('04'!I20+'04'!V20+'04'!I67+'04'!V67)+('05'!I20+'05'!V20+'05'!I67+'05'!V67)+('06'!I20+'06'!V20+'06'!I67+'06'!V67)+('07'!I20+'07'!V20+'07'!I67+'07'!V67)+('08'!I20+'08'!V20+'08'!I67+'08'!V67)+('09'!I20+'09'!V20+'09'!I67+'09'!V67)</f>
        <v>0</v>
      </c>
      <c r="K12" s="10">
        <f>('01'!J20+'01'!W20+'01'!J67+'01'!W67)+('02'!J20+'02'!W20+'02'!J67+'02'!W67)+('03'!J20+'03'!W20+'03'!J67+'03'!W67)+('04'!J20+'04'!W20+'04'!J67+'04'!W67)+('05'!J20+'05'!W20+'05'!J67+'05'!W67)+('06'!J20+'06'!W20+'06'!J67+'06'!W67)+('07'!J20+'07'!W20+'07'!J67+'07'!W67)+('08'!J20+'08'!W20+'08'!J67+'08'!W67)+('09'!J20+'09'!W20+'09'!J67+'09'!W67)</f>
        <v>0</v>
      </c>
      <c r="L12" s="10">
        <f>('01'!K20+'01'!X20+'01'!K67+'01'!X67)+('02'!K20+'02'!X20+'02'!K67+'02'!X67)+('03'!K20+'03'!X20+'03'!K67+'03'!X67)+('04'!K20+'04'!X20+'04'!K67+'04'!X67)+('05'!K20+'05'!X20+'05'!K67+'05'!X67)+('06'!K20+'06'!X20+'06'!K67+'06'!X67)+('07'!K20+'07'!X20+'07'!K67+'07'!X67)+('08'!K20+'08'!X20+'08'!K67+'08'!X67)+('09'!K20+'09'!X20+'09'!K67+'09'!X67)</f>
        <v>0</v>
      </c>
      <c r="M12">
        <f t="shared" si="0"/>
        <v>13</v>
      </c>
      <c r="N12" s="42">
        <f t="shared" si="1"/>
        <v>325</v>
      </c>
    </row>
    <row r="13" spans="2:14" ht="19.5" customHeight="1" x14ac:dyDescent="0.25">
      <c r="B13" s="41" t="s">
        <v>24</v>
      </c>
      <c r="C13" s="10">
        <f>('01'!B21+'01'!O21+'01'!B68+'01'!O68)+('02'!B21+'02'!O21+'02'!B68+'02'!O68)+('03'!B21+'03'!O21+'03'!B68+'03'!O68)+('04'!B21+'04'!O21+'04'!B68+'04'!O68)+('05'!B21+'05'!O21+'05'!B68+'05'!O68)+('06'!B21+'06'!O21+'06'!B68+'06'!O68)+('07'!B21+'07'!O21+'07'!B68+'07'!O68)+('08'!B21+'08'!O21+'08'!B68+'08'!O68)+('09'!B21+'09'!O21+'09'!B68+'09'!O68)</f>
        <v>0</v>
      </c>
      <c r="D13" s="10">
        <f>('01'!C21+'01'!P21+'01'!C68+'01'!P68)+('02'!C21+'02'!P21+'02'!C68+'02'!P68)+('03'!C21+'03'!P21+'03'!C68+'03'!P68)+('04'!C21+'04'!P21+'04'!C68+'04'!P68)+('05'!C21+'05'!P21+'05'!C68+'05'!P68)+('06'!C21+'06'!P21+'06'!C68+'06'!P68)+('07'!C21+'07'!P21+'07'!C68+'07'!P68)+('08'!C21+'08'!P21+'08'!C68+'08'!P68)+('09'!C21+'09'!P21+'09'!C68+'09'!P68)</f>
        <v>0</v>
      </c>
      <c r="E13" s="10">
        <f>('01'!D21+'01'!Q21+'01'!D68+'01'!Q68)+('02'!D21+'02'!Q21+'02'!D68+'02'!Q68)+('03'!D21+'03'!Q21+'03'!D68+'03'!Q68)+('04'!D21+'04'!Q21+'04'!D68+'04'!Q68)+('05'!D21+'05'!Q21+'05'!D68+'05'!Q68)+('06'!D21+'06'!Q21+'06'!D68+'06'!Q68)+('07'!D21+'07'!Q21+'07'!D68+'07'!Q68)+('08'!D21+'08'!Q21+'08'!D68+'08'!Q68)+('09'!D21+'09'!Q21+'09'!D68+'09'!Q68)</f>
        <v>0</v>
      </c>
      <c r="F13" s="10">
        <f>('01'!E21+'01'!R21+'01'!E68+'01'!R68)+('02'!E21+'02'!R21+'02'!E68+'02'!R68)+('03'!E21+'03'!R21+'03'!E68+'03'!R68)+('04'!E21+'04'!R21+'04'!E68+'04'!R68)+('05'!E21+'05'!R21+'05'!E68+'05'!R68)+('06'!E21+'06'!R21+'06'!E68+'06'!R68)+('07'!E21+'07'!R21+'07'!E68+'07'!R68)+('08'!E21+'08'!R21+'08'!E68+'08'!R68)+('09'!E21+'09'!R21+'09'!E68+'09'!R68)</f>
        <v>0</v>
      </c>
      <c r="G13" s="10">
        <f>('01'!F21+'01'!S21+'01'!F68+'01'!S68)+('02'!F21+'02'!S21+'02'!F68+'02'!S68)+('03'!F21+'03'!S21+'03'!F68+'03'!S68)+('04'!F21+'04'!S21+'04'!F68+'04'!S68)+('05'!F21+'05'!S21+'05'!F68+'05'!S68)+('06'!F21+'06'!S21+'06'!F68+'06'!S68)+('07'!F21+'07'!S21+'07'!F68+'07'!S68)+('08'!F21+'08'!S21+'08'!F68+'08'!S68)+('09'!F21+'09'!S21+'09'!F68+'09'!S68)</f>
        <v>0</v>
      </c>
      <c r="H13" s="10">
        <f>('01'!G21+'01'!T21+'01'!G68+'01'!T68)+('02'!G21+'02'!T21+'02'!G68+'02'!T68)+('03'!G21+'03'!T21+'03'!G68+'03'!T68)+('04'!G21+'04'!T21+'04'!G68+'04'!T68)+('05'!G21+'05'!T21+'05'!G68+'05'!T68)+('06'!G21+'06'!T21+'06'!G68+'06'!T68)+('07'!G21+'07'!T21+'07'!G68+'07'!T68)+('08'!G21+'08'!T21+'08'!G68+'08'!T68)+('09'!G21+'09'!T21+'09'!G68+'09'!T68)</f>
        <v>0</v>
      </c>
      <c r="I13" s="10">
        <f>('01'!H21+'01'!U21+'01'!H68+'01'!U68)+('02'!H21+'02'!U21+'02'!H68+'02'!U68)+('03'!H21+'03'!U21+'03'!H68+'03'!U68)+('04'!H21+'04'!U21+'04'!H68+'04'!U68)+('05'!H21+'05'!U21+'05'!H68+'05'!U68)+('06'!H21+'06'!U21+'06'!H68+'06'!U68)+('07'!H21+'07'!U21+'07'!H68+'07'!U68)+('08'!H21+'08'!U21+'08'!H68+'08'!U68)+('09'!H21+'09'!U21+'09'!H68+'09'!U68)</f>
        <v>0</v>
      </c>
      <c r="J13" s="10">
        <f>('01'!I21+'01'!V21+'01'!I68+'01'!V68)+('02'!I21+'02'!V21+'02'!I68+'02'!V68)+('03'!I21+'03'!V21+'03'!I68+'03'!V68)+('04'!I21+'04'!V21+'04'!I68+'04'!V68)+('05'!I21+'05'!V21+'05'!I68+'05'!V68)+('06'!I21+'06'!V21+'06'!I68+'06'!V68)+('07'!I21+'07'!V21+'07'!I68+'07'!V68)+('08'!I21+'08'!V21+'08'!I68+'08'!V68)+('09'!I21+'09'!V21+'09'!I68+'09'!V68)</f>
        <v>0</v>
      </c>
      <c r="K13" s="10">
        <f>('01'!J21+'01'!W21+'01'!J68+'01'!W68)+('02'!J21+'02'!W21+'02'!J68+'02'!W68)+('03'!J21+'03'!W21+'03'!J68+'03'!W68)+('04'!J21+'04'!W21+'04'!J68+'04'!W68)+('05'!J21+'05'!W21+'05'!J68+'05'!W68)+('06'!J21+'06'!W21+'06'!J68+'06'!W68)+('07'!J21+'07'!W21+'07'!J68+'07'!W68)+('08'!J21+'08'!W21+'08'!J68+'08'!W68)+('09'!J21+'09'!W21+'09'!J68+'09'!W68)</f>
        <v>0</v>
      </c>
      <c r="L13" s="10">
        <f>('01'!K21+'01'!X21+'01'!K68+'01'!X68)+('02'!K21+'02'!X21+'02'!K68+'02'!X68)+('03'!K21+'03'!X21+'03'!K68+'03'!X68)+('04'!K21+'04'!X21+'04'!K68+'04'!X68)+('05'!K21+'05'!X21+'05'!K68+'05'!X68)+('06'!K21+'06'!X21+'06'!K68+'06'!X68)+('07'!K21+'07'!X21+'07'!K68+'07'!X68)+('08'!K21+'08'!X21+'08'!K68+'08'!X68)+('09'!K21+'09'!X21+'09'!K68+'09'!X68)</f>
        <v>0</v>
      </c>
      <c r="M13">
        <f t="shared" si="0"/>
        <v>0</v>
      </c>
      <c r="N13" s="42">
        <f t="shared" si="1"/>
        <v>0</v>
      </c>
    </row>
    <row r="14" spans="2:14" ht="19.5" customHeight="1" thickBot="1" x14ac:dyDescent="0.3">
      <c r="B14" s="43" t="s">
        <v>25</v>
      </c>
      <c r="C14" s="44">
        <f>('01'!B22+'01'!O22+'01'!B69+'01'!O69)+('02'!B22+'02'!O22+'02'!B69+'02'!O69)+('03'!B22+'03'!O22+'03'!B69+'03'!O69)+('04'!B22+'04'!O22+'04'!B69+'04'!O69)+('05'!B22+'05'!O22+'05'!B69+'05'!O69)+('06'!B22+'06'!O22+'06'!B69+'06'!O69)+('07'!B22+'07'!O22+'07'!B69+'07'!O69)+('08'!B22+'08'!O22+'08'!B69+'08'!O69)+('09'!B22+'09'!O22+'09'!B69+'09'!O69)</f>
        <v>0</v>
      </c>
      <c r="D14" s="44">
        <f>('01'!C22+'01'!P22+'01'!C69+'01'!P69)+('02'!C22+'02'!P22+'02'!C69+'02'!P69)+('03'!C22+'03'!P22+'03'!C69+'03'!P69)+('04'!C22+'04'!P22+'04'!C69+'04'!P69)+('05'!C22+'05'!P22+'05'!C69+'05'!P69)+('06'!C22+'06'!P22+'06'!C69+'06'!P69)+('07'!C22+'07'!P22+'07'!C69+'07'!P69)+('08'!C22+'08'!P22+'08'!C69+'08'!P69)+('09'!C22+'09'!P22+'09'!C69+'09'!P69)</f>
        <v>0</v>
      </c>
      <c r="E14" s="44">
        <f>('01'!D22+'01'!Q22+'01'!D69+'01'!Q69)+('02'!D22+'02'!Q22+'02'!D69+'02'!Q69)+('03'!D22+'03'!Q22+'03'!D69+'03'!Q69)+('04'!D22+'04'!Q22+'04'!D69+'04'!Q69)+('05'!D22+'05'!Q22+'05'!D69+'05'!Q69)+('06'!D22+'06'!Q22+'06'!D69+'06'!Q69)+('07'!D22+'07'!Q22+'07'!D69+'07'!Q69)+('08'!D22+'08'!Q22+'08'!D69+'08'!Q69)+('09'!D22+'09'!Q22+'09'!D69+'09'!Q69)</f>
        <v>0</v>
      </c>
      <c r="F14" s="44">
        <f>('01'!E22+'01'!R22+'01'!E69+'01'!R69)+('02'!E22+'02'!R22+'02'!E69+'02'!R69)+('03'!E22+'03'!R22+'03'!E69+'03'!R69)+('04'!E22+'04'!R22+'04'!E69+'04'!R69)+('05'!E22+'05'!R22+'05'!E69+'05'!R69)+('06'!E22+'06'!R22+'06'!E69+'06'!R69)+('07'!E22+'07'!R22+'07'!E69+'07'!R69)+('08'!E22+'08'!R22+'08'!E69+'08'!R69)+('09'!E22+'09'!R22+'09'!E69+'09'!R69)</f>
        <v>0</v>
      </c>
      <c r="G14" s="44">
        <f>('01'!F22+'01'!S22+'01'!F69+'01'!S69)+('02'!F22+'02'!S22+'02'!F69+'02'!S69)+('03'!F22+'03'!S22+'03'!F69+'03'!S69)+('04'!F22+'04'!S22+'04'!F69+'04'!S69)+('05'!F22+'05'!S22+'05'!F69+'05'!S69)+('06'!F22+'06'!S22+'06'!F69+'06'!S69)+('07'!F22+'07'!S22+'07'!F69+'07'!S69)+('08'!F22+'08'!S22+'08'!F69+'08'!S69)+('09'!F22+'09'!S22+'09'!F69+'09'!S69)</f>
        <v>0</v>
      </c>
      <c r="H14" s="44">
        <f>('01'!G22+'01'!T22+'01'!G69+'01'!T69)+('02'!G22+'02'!T22+'02'!G69+'02'!T69)+('03'!G22+'03'!T22+'03'!G69+'03'!T69)+('04'!G22+'04'!T22+'04'!G69+'04'!T69)+('05'!G22+'05'!T22+'05'!G69+'05'!T69)+('06'!G22+'06'!T22+'06'!G69+'06'!T69)+('07'!G22+'07'!T22+'07'!G69+'07'!T69)+('08'!G22+'08'!T22+'08'!G69+'08'!T69)+('09'!G22+'09'!T22+'09'!G69+'09'!T69)</f>
        <v>0</v>
      </c>
      <c r="I14" s="44">
        <f>('01'!H22+'01'!U22+'01'!H69+'01'!U69)+('02'!H22+'02'!U22+'02'!H69+'02'!U69)+('03'!H22+'03'!U22+'03'!H69+'03'!U69)+('04'!H22+'04'!U22+'04'!H69+'04'!U69)+('05'!H22+'05'!U22+'05'!H69+'05'!U69)+('06'!H22+'06'!U22+'06'!H69+'06'!U69)+('07'!H22+'07'!U22+'07'!H69+'07'!U69)+('08'!H22+'08'!U22+'08'!H69+'08'!U69)+('09'!H22+'09'!U22+'09'!H69+'09'!U69)</f>
        <v>0</v>
      </c>
      <c r="J14" s="44">
        <f>('01'!I22+'01'!V22+'01'!I69+'01'!V69)+('02'!I22+'02'!V22+'02'!I69+'02'!V69)+('03'!I22+'03'!V22+'03'!I69+'03'!V69)+('04'!I22+'04'!V22+'04'!I69+'04'!V69)+('05'!I22+'05'!V22+'05'!I69+'05'!V69)+('06'!I22+'06'!V22+'06'!I69+'06'!V69)+('07'!I22+'07'!V22+'07'!I69+'07'!V69)+('08'!I22+'08'!V22+'08'!I69+'08'!V69)+('09'!I22+'09'!V22+'09'!I69+'09'!V69)</f>
        <v>0</v>
      </c>
      <c r="K14" s="44">
        <f>('01'!J22+'01'!W22+'01'!J69+'01'!W69)+('02'!J22+'02'!W22+'02'!J69+'02'!W69)+('03'!J22+'03'!W22+'03'!J69+'03'!W69)+('04'!J22+'04'!W22+'04'!J69+'04'!W69)+('05'!J22+'05'!W22+'05'!J69+'05'!W69)+('06'!J22+'06'!W22+'06'!J69+'06'!W69)+('07'!J22+'07'!W22+'07'!J69+'07'!W69)+('08'!J22+'08'!W22+'08'!J69+'08'!W69)+('09'!J22+'09'!W22+'09'!J69+'09'!W69)</f>
        <v>0</v>
      </c>
      <c r="L14" s="44">
        <f>('01'!K22+'01'!X22+'01'!K69+'01'!X69)+('02'!K22+'02'!X22+'02'!K69+'02'!X69)+('03'!K22+'03'!X22+'03'!K69+'03'!X69)+('04'!K22+'04'!X22+'04'!K69+'04'!X69)+('05'!K22+'05'!X22+'05'!K69+'05'!X69)+('06'!K22+'06'!X22+'06'!K69+'06'!X69)+('07'!K22+'07'!X22+'07'!K69+'07'!X69)+('08'!K22+'08'!X22+'08'!K69+'08'!X69)+('09'!K22+'09'!X22+'09'!K69+'09'!X69)</f>
        <v>0</v>
      </c>
      <c r="M14" s="45">
        <f t="shared" si="0"/>
        <v>0</v>
      </c>
      <c r="N14" s="46">
        <f t="shared" si="1"/>
        <v>0</v>
      </c>
    </row>
    <row r="15" spans="2:14" ht="19.5" customHeight="1" x14ac:dyDescent="0.25">
      <c r="B15" s="37" t="s">
        <v>28</v>
      </c>
      <c r="C15" s="38">
        <f>('01'!B23+'01'!O23+'01'!B70+'01'!O70)+('02'!B23+'02'!O23+'02'!B70+'02'!O70)+('03'!B23+'03'!O23+'03'!B70+'03'!O70)+('04'!B23+'04'!O23+'04'!B70+'04'!O70)+('05'!B23+'05'!O23+'05'!B70+'05'!O70)+('06'!B23+'06'!O23+'06'!B70+'06'!O70)+('07'!B23+'07'!O23+'07'!B70+'07'!O70)+('08'!B23+'08'!O23+'08'!B70+'08'!O70)+('09'!B23+'09'!O23+'09'!B70+'09'!O70)</f>
        <v>0</v>
      </c>
      <c r="D15" s="38">
        <f>('01'!C23+'01'!P23+'01'!C70+'01'!P70)+('02'!C23+'02'!P23+'02'!C70+'02'!P70)+('03'!C23+'03'!P23+'03'!C70+'03'!P70)+('04'!C23+'04'!P23+'04'!C70+'04'!P70)+('05'!C23+'05'!P23+'05'!C70+'05'!P70)+('06'!C23+'06'!P23+'06'!C70+'06'!P70)+('07'!C23+'07'!P23+'07'!C70+'07'!P70)+('08'!C23+'08'!P23+'08'!C70+'08'!P70)+('09'!C23+'09'!P23+'09'!C70+'09'!P70)</f>
        <v>0</v>
      </c>
      <c r="E15" s="38">
        <f>('01'!D23+'01'!Q23+'01'!D70+'01'!Q70)+('02'!D23+'02'!Q23+'02'!D70+'02'!Q70)+('03'!D23+'03'!Q23+'03'!D70+'03'!Q70)+('04'!D23+'04'!Q23+'04'!D70+'04'!Q70)+('05'!D23+'05'!Q23+'05'!D70+'05'!Q70)+('06'!D23+'06'!Q23+'06'!D70+'06'!Q70)+('07'!D23+'07'!Q23+'07'!D70+'07'!Q70)+('08'!D23+'08'!Q23+'08'!D70+'08'!Q70)+('09'!D23+'09'!Q23+'09'!D70+'09'!Q70)</f>
        <v>0</v>
      </c>
      <c r="F15" s="38">
        <f>('01'!E23+'01'!R23+'01'!E70+'01'!R70)+('02'!E23+'02'!R23+'02'!E70+'02'!R70)+('03'!E23+'03'!R23+'03'!E70+'03'!R70)+('04'!E23+'04'!R23+'04'!E70+'04'!R70)+('05'!E23+'05'!R23+'05'!E70+'05'!R70)+('06'!E23+'06'!R23+'06'!E70+'06'!R70)+('07'!E23+'07'!R23+'07'!E70+'07'!R70)+('08'!E23+'08'!R23+'08'!E70+'08'!R70)+('09'!E23+'09'!R23+'09'!E70+'09'!R70)</f>
        <v>0</v>
      </c>
      <c r="G15" s="38">
        <f>('01'!F23+'01'!S23+'01'!F70+'01'!S70)+('02'!F23+'02'!S23+'02'!F70+'02'!S70)+('03'!F23+'03'!S23+'03'!F70+'03'!S70)+('04'!F23+'04'!S23+'04'!F70+'04'!S70)+('05'!F23+'05'!S23+'05'!F70+'05'!S70)+('06'!F23+'06'!S23+'06'!F70+'06'!S70)+('07'!F23+'07'!S23+'07'!F70+'07'!S70)+('08'!F23+'08'!S23+'08'!F70+'08'!S70)+('09'!F23+'09'!S23+'09'!F70+'09'!S70)</f>
        <v>22</v>
      </c>
      <c r="H15" s="38">
        <f>('01'!G23+'01'!T23+'01'!G70+'01'!T70)+('02'!G23+'02'!T23+'02'!G70+'02'!T70)+('03'!G23+'03'!T23+'03'!G70+'03'!T70)+('04'!G23+'04'!T23+'04'!G70+'04'!T70)+('05'!G23+'05'!T23+'05'!G70+'05'!T70)+('06'!G23+'06'!T23+'06'!G70+'06'!T70)+('07'!G23+'07'!T23+'07'!G70+'07'!T70)+('08'!G23+'08'!T23+'08'!G70+'08'!T70)+('09'!G23+'09'!T23+'09'!G70+'09'!T70)</f>
        <v>6</v>
      </c>
      <c r="I15" s="38">
        <f>('01'!H23+'01'!U23+'01'!H70+'01'!U70)+('02'!H23+'02'!U23+'02'!H70+'02'!U70)+('03'!H23+'03'!U23+'03'!H70+'03'!U70)+('04'!H23+'04'!U23+'04'!H70+'04'!U70)+('05'!H23+'05'!U23+'05'!H70+'05'!U70)+('06'!H23+'06'!U23+'06'!H70+'06'!U70)+('07'!H23+'07'!U23+'07'!H70+'07'!U70)+('08'!H23+'08'!U23+'08'!H70+'08'!U70)+('09'!H23+'09'!U23+'09'!H70+'09'!U70)</f>
        <v>0</v>
      </c>
      <c r="J15" s="38">
        <f>('01'!I23+'01'!V23+'01'!I70+'01'!V70)+('02'!I23+'02'!V23+'02'!I70+'02'!V70)+('03'!I23+'03'!V23+'03'!I70+'03'!V70)+('04'!I23+'04'!V23+'04'!I70+'04'!V70)+('05'!I23+'05'!V23+'05'!I70+'05'!V70)+('06'!I23+'06'!V23+'06'!I70+'06'!V70)+('07'!I23+'07'!V23+'07'!I70+'07'!V70)+('08'!I23+'08'!V23+'08'!I70+'08'!V70)+('09'!I23+'09'!V23+'09'!I70+'09'!V70)</f>
        <v>0</v>
      </c>
      <c r="K15" s="38">
        <f>('01'!J23+'01'!W23+'01'!J70+'01'!W70)+('02'!J23+'02'!W23+'02'!J70+'02'!W70)+('03'!J23+'03'!W23+'03'!J70+'03'!W70)+('04'!J23+'04'!W23+'04'!J70+'04'!W70)+('05'!J23+'05'!W23+'05'!J70+'05'!W70)+('06'!J23+'06'!W23+'06'!J70+'06'!W70)+('07'!J23+'07'!W23+'07'!J70+'07'!W70)+('08'!J23+'08'!W23+'08'!J70+'08'!W70)+('09'!J23+'09'!W23+'09'!J70+'09'!W70)</f>
        <v>0</v>
      </c>
      <c r="L15" s="38">
        <f>('01'!K23+'01'!X23+'01'!K70+'01'!X70)+('02'!K23+'02'!X23+'02'!K70+'02'!X70)+('03'!K23+'03'!X23+'03'!K70+'03'!X70)+('04'!K23+'04'!X23+'04'!K70+'04'!X70)+('05'!K23+'05'!X23+'05'!K70+'05'!X70)+('06'!K23+'06'!X23+'06'!K70+'06'!X70)+('07'!K23+'07'!X23+'07'!K70+'07'!X70)+('08'!K23+'08'!X23+'08'!K70+'08'!X70)+('09'!K23+'09'!X23+'09'!K70+'09'!X70)</f>
        <v>0</v>
      </c>
      <c r="M15" s="39">
        <f t="shared" si="0"/>
        <v>28</v>
      </c>
      <c r="N15" s="40">
        <f t="shared" si="1"/>
        <v>700</v>
      </c>
    </row>
    <row r="16" spans="2:14" ht="19.5" customHeight="1" x14ac:dyDescent="0.25">
      <c r="B16" s="41" t="s">
        <v>29</v>
      </c>
      <c r="C16" s="10">
        <f>('01'!B24+'01'!O24+'01'!B71+'01'!O71)+('02'!B24+'02'!O24+'02'!B71+'02'!O71)+('03'!B24+'03'!O24+'03'!B71+'03'!O71)+('04'!B24+'04'!O24+'04'!B71+'04'!O71)+('05'!B24+'05'!O24+'05'!B71+'05'!O71)+('06'!B24+'06'!O24+'06'!B71+'06'!O71)+('07'!B24+'07'!O24+'07'!B71+'07'!O71)+('08'!B24+'08'!O24+'08'!B71+'08'!O71)+('09'!B24+'09'!O24+'09'!B71+'09'!O71)</f>
        <v>0</v>
      </c>
      <c r="D16" s="10">
        <f>('01'!C24+'01'!P24+'01'!C71+'01'!P71)+('02'!C24+'02'!P24+'02'!C71+'02'!P71)+('03'!C24+'03'!P24+'03'!C71+'03'!P71)+('04'!C24+'04'!P24+'04'!C71+'04'!P71)+('05'!C24+'05'!P24+'05'!C71+'05'!P71)+('06'!C24+'06'!P24+'06'!C71+'06'!P71)+('07'!C24+'07'!P24+'07'!C71+'07'!P71)+('08'!C24+'08'!P24+'08'!C71+'08'!P71)+('09'!C24+'09'!P24+'09'!C71+'09'!P71)</f>
        <v>0</v>
      </c>
      <c r="E16" s="10">
        <f>('01'!D24+'01'!Q24+'01'!D71+'01'!Q71)+('02'!D24+'02'!Q24+'02'!D71+'02'!Q71)+('03'!D24+'03'!Q24+'03'!D71+'03'!Q71)+('04'!D24+'04'!Q24+'04'!D71+'04'!Q71)+('05'!D24+'05'!Q24+'05'!D71+'05'!Q71)+('06'!D24+'06'!Q24+'06'!D71+'06'!Q71)+('07'!D24+'07'!Q24+'07'!D71+'07'!Q71)+('08'!D24+'08'!Q24+'08'!D71+'08'!Q71)+('09'!D24+'09'!Q24+'09'!D71+'09'!Q71)</f>
        <v>3</v>
      </c>
      <c r="F16" s="10">
        <f>('01'!E24+'01'!R24+'01'!E71+'01'!R71)+('02'!E24+'02'!R24+'02'!E71+'02'!R71)+('03'!E24+'03'!R24+'03'!E71+'03'!R71)+('04'!E24+'04'!R24+'04'!E71+'04'!R71)+('05'!E24+'05'!R24+'05'!E71+'05'!R71)+('06'!E24+'06'!R24+'06'!E71+'06'!R71)+('07'!E24+'07'!R24+'07'!E71+'07'!R71)+('08'!E24+'08'!R24+'08'!E71+'08'!R71)+('09'!E24+'09'!R24+'09'!E71+'09'!R71)</f>
        <v>2</v>
      </c>
      <c r="G16" s="10">
        <f>('01'!F24+'01'!S24+'01'!F71+'01'!S71)+('02'!F24+'02'!S24+'02'!F71+'02'!S71)+('03'!F24+'03'!S24+'03'!F71+'03'!S71)+('04'!F24+'04'!S24+'04'!F71+'04'!S71)+('05'!F24+'05'!S24+'05'!F71+'05'!S71)+('06'!F24+'06'!S24+'06'!F71+'06'!S71)+('07'!F24+'07'!S24+'07'!F71+'07'!S71)+('08'!F24+'08'!S24+'08'!F71+'08'!S71)+('09'!F24+'09'!S24+'09'!F71+'09'!S71)</f>
        <v>18</v>
      </c>
      <c r="H16" s="10">
        <f>('01'!G24+'01'!T24+'01'!G71+'01'!T71)+('02'!G24+'02'!T24+'02'!G71+'02'!T71)+('03'!G24+'03'!T24+'03'!G71+'03'!T71)+('04'!G24+'04'!T24+'04'!G71+'04'!T71)+('05'!G24+'05'!T24+'05'!G71+'05'!T71)+('06'!G24+'06'!T24+'06'!G71+'06'!T71)+('07'!G24+'07'!T24+'07'!G71+'07'!T71)+('08'!G24+'08'!T24+'08'!G71+'08'!T71)+('09'!G24+'09'!T24+'09'!G71+'09'!T71)</f>
        <v>0</v>
      </c>
      <c r="I16" s="10">
        <f>('01'!H24+'01'!U24+'01'!H71+'01'!U71)+('02'!H24+'02'!U24+'02'!H71+'02'!U71)+('03'!H24+'03'!U24+'03'!H71+'03'!U71)+('04'!H24+'04'!U24+'04'!H71+'04'!U71)+('05'!H24+'05'!U24+'05'!H71+'05'!U71)+('06'!H24+'06'!U24+'06'!H71+'06'!U71)+('07'!H24+'07'!U24+'07'!H71+'07'!U71)+('08'!H24+'08'!U24+'08'!H71+'08'!U71)+('09'!H24+'09'!U24+'09'!H71+'09'!U71)</f>
        <v>0</v>
      </c>
      <c r="J16" s="10">
        <f>('01'!I24+'01'!V24+'01'!I71+'01'!V71)+('02'!I24+'02'!V24+'02'!I71+'02'!V71)+('03'!I24+'03'!V24+'03'!I71+'03'!V71)+('04'!I24+'04'!V24+'04'!I71+'04'!V71)+('05'!I24+'05'!V24+'05'!I71+'05'!V71)+('06'!I24+'06'!V24+'06'!I71+'06'!V71)+('07'!I24+'07'!V24+'07'!I71+'07'!V71)+('08'!I24+'08'!V24+'08'!I71+'08'!V71)+('09'!I24+'09'!V24+'09'!I71+'09'!V71)</f>
        <v>0</v>
      </c>
      <c r="K16" s="10">
        <f>('01'!J24+'01'!W24+'01'!J71+'01'!W71)+('02'!J24+'02'!W24+'02'!J71+'02'!W71)+('03'!J24+'03'!W24+'03'!J71+'03'!W71)+('04'!J24+'04'!W24+'04'!J71+'04'!W71)+('05'!J24+'05'!W24+'05'!J71+'05'!W71)+('06'!J24+'06'!W24+'06'!J71+'06'!W71)+('07'!J24+'07'!W24+'07'!J71+'07'!W71)+('08'!J24+'08'!W24+'08'!J71+'08'!W71)+('09'!J24+'09'!W24+'09'!J71+'09'!W71)</f>
        <v>0</v>
      </c>
      <c r="L16" s="10">
        <f>('01'!K24+'01'!X24+'01'!K71+'01'!X71)+('02'!K24+'02'!X24+'02'!K71+'02'!X71)+('03'!K24+'03'!X24+'03'!K71+'03'!X71)+('04'!K24+'04'!X24+'04'!K71+'04'!X71)+('05'!K24+'05'!X24+'05'!K71+'05'!X71)+('06'!K24+'06'!X24+'06'!K71+'06'!X71)+('07'!K24+'07'!X24+'07'!K71+'07'!X71)+('08'!K24+'08'!X24+'08'!K71+'08'!X71)+('09'!K24+'09'!X24+'09'!K71+'09'!X71)</f>
        <v>0</v>
      </c>
      <c r="M16">
        <f t="shared" si="0"/>
        <v>23</v>
      </c>
      <c r="N16" s="42">
        <f t="shared" si="1"/>
        <v>575</v>
      </c>
    </row>
    <row r="17" spans="2:14" ht="19.5" customHeight="1" x14ac:dyDescent="0.25">
      <c r="B17" s="41" t="s">
        <v>30</v>
      </c>
      <c r="C17" s="10">
        <f>('01'!B25+'01'!O25+'01'!B72+'01'!O72)+('02'!B25+'02'!O25+'02'!B72+'02'!O72)+('03'!B25+'03'!O25+'03'!B72+'03'!O72)+('04'!B25+'04'!O25+'04'!B72+'04'!O72)+('05'!B25+'05'!O25+'05'!B72+'05'!O72)+('06'!B25+'06'!O25+'06'!B72+'06'!O72)+('07'!B25+'07'!O25+'07'!B72+'07'!O72)+('08'!B25+'08'!O25+'08'!B72+'08'!O72)+('09'!B25+'09'!O25+'09'!B72+'09'!O72)</f>
        <v>0</v>
      </c>
      <c r="D17" s="10">
        <f>('01'!C25+'01'!P25+'01'!C72+'01'!P72)+('02'!C25+'02'!P25+'02'!C72+'02'!P72)+('03'!C25+'03'!P25+'03'!C72+'03'!P72)+('04'!C25+'04'!P25+'04'!C72+'04'!P72)+('05'!C25+'05'!P25+'05'!C72+'05'!P72)+('06'!C25+'06'!P25+'06'!C72+'06'!P72)+('07'!C25+'07'!P25+'07'!C72+'07'!P72)+('08'!C25+'08'!P25+'08'!C72+'08'!P72)+('09'!C25+'09'!P25+'09'!C72+'09'!P72)</f>
        <v>0</v>
      </c>
      <c r="E17" s="10">
        <f>('01'!D25+'01'!Q25+'01'!D72+'01'!Q72)+('02'!D25+'02'!Q25+'02'!D72+'02'!Q72)+('03'!D25+'03'!Q25+'03'!D72+'03'!Q72)+('04'!D25+'04'!Q25+'04'!D72+'04'!Q72)+('05'!D25+'05'!Q25+'05'!D72+'05'!Q72)+('06'!D25+'06'!Q25+'06'!D72+'06'!Q72)+('07'!D25+'07'!Q25+'07'!D72+'07'!Q72)+('08'!D25+'08'!Q25+'08'!D72+'08'!Q72)+('09'!D25+'09'!Q25+'09'!D72+'09'!Q72)</f>
        <v>4</v>
      </c>
      <c r="F17" s="10">
        <f>('01'!E25+'01'!R25+'01'!E72+'01'!R72)+('02'!E25+'02'!R25+'02'!E72+'02'!R72)+('03'!E25+'03'!R25+'03'!E72+'03'!R72)+('04'!E25+'04'!R25+'04'!E72+'04'!R72)+('05'!E25+'05'!R25+'05'!E72+'05'!R72)+('06'!E25+'06'!R25+'06'!E72+'06'!R72)+('07'!E25+'07'!R25+'07'!E72+'07'!R72)+('08'!E25+'08'!R25+'08'!E72+'08'!R72)+('09'!E25+'09'!R25+'09'!E72+'09'!R72)</f>
        <v>2</v>
      </c>
      <c r="G17" s="10">
        <f>('01'!F25+'01'!S25+'01'!F72+'01'!S72)+('02'!F25+'02'!S25+'02'!F72+'02'!S72)+('03'!F25+'03'!S25+'03'!F72+'03'!S72)+('04'!F25+'04'!S25+'04'!F72+'04'!S72)+('05'!F25+'05'!S25+'05'!F72+'05'!S72)+('06'!F25+'06'!S25+'06'!F72+'06'!S72)+('07'!F25+'07'!S25+'07'!F72+'07'!S72)+('08'!F25+'08'!S25+'08'!F72+'08'!S72)+('09'!F25+'09'!S25+'09'!F72+'09'!S72)</f>
        <v>18</v>
      </c>
      <c r="H17" s="10">
        <f>('01'!G25+'01'!T25+'01'!G72+'01'!T72)+('02'!G25+'02'!T25+'02'!G72+'02'!T72)+('03'!G25+'03'!T25+'03'!G72+'03'!T72)+('04'!G25+'04'!T25+'04'!G72+'04'!T72)+('05'!G25+'05'!T25+'05'!G72+'05'!T72)+('06'!G25+'06'!T25+'06'!G72+'06'!T72)+('07'!G25+'07'!T25+'07'!G72+'07'!T72)+('08'!G25+'08'!T25+'08'!G72+'08'!T72)+('09'!G25+'09'!T25+'09'!G72+'09'!T72)</f>
        <v>0</v>
      </c>
      <c r="I17" s="10">
        <f>('01'!H25+'01'!U25+'01'!H72+'01'!U72)+('02'!H25+'02'!U25+'02'!H72+'02'!U72)+('03'!H25+'03'!U25+'03'!H72+'03'!U72)+('04'!H25+'04'!U25+'04'!H72+'04'!U72)+('05'!H25+'05'!U25+'05'!H72+'05'!U72)+('06'!H25+'06'!U25+'06'!H72+'06'!U72)+('07'!H25+'07'!U25+'07'!H72+'07'!U72)+('08'!H25+'08'!U25+'08'!H72+'08'!U72)+('09'!H25+'09'!U25+'09'!H72+'09'!U72)</f>
        <v>0</v>
      </c>
      <c r="J17" s="10">
        <f>('01'!I25+'01'!V25+'01'!I72+'01'!V72)+('02'!I25+'02'!V25+'02'!I72+'02'!V72)+('03'!I25+'03'!V25+'03'!I72+'03'!V72)+('04'!I25+'04'!V25+'04'!I72+'04'!V72)+('05'!I25+'05'!V25+'05'!I72+'05'!V72)+('06'!I25+'06'!V25+'06'!I72+'06'!V72)+('07'!I25+'07'!V25+'07'!I72+'07'!V72)+('08'!I25+'08'!V25+'08'!I72+'08'!V72)+('09'!I25+'09'!V25+'09'!I72+'09'!V72)</f>
        <v>0</v>
      </c>
      <c r="K17" s="10">
        <f>('01'!J25+'01'!W25+'01'!J72+'01'!W72)+('02'!J25+'02'!W25+'02'!J72+'02'!W72)+('03'!J25+'03'!W25+'03'!J72+'03'!W72)+('04'!J25+'04'!W25+'04'!J72+'04'!W72)+('05'!J25+'05'!W25+'05'!J72+'05'!W72)+('06'!J25+'06'!W25+'06'!J72+'06'!W72)+('07'!J25+'07'!W25+'07'!J72+'07'!W72)+('08'!J25+'08'!W25+'08'!J72+'08'!W72)+('09'!J25+'09'!W25+'09'!J72+'09'!W72)</f>
        <v>0</v>
      </c>
      <c r="L17" s="10">
        <f>('01'!K25+'01'!X25+'01'!K72+'01'!X72)+('02'!K25+'02'!X25+'02'!K72+'02'!X72)+('03'!K25+'03'!X25+'03'!K72+'03'!X72)+('04'!K25+'04'!X25+'04'!K72+'04'!X72)+('05'!K25+'05'!X25+'05'!K72+'05'!X72)+('06'!K25+'06'!X25+'06'!K72+'06'!X72)+('07'!K25+'07'!X25+'07'!K72+'07'!X72)+('08'!K25+'08'!X25+'08'!K72+'08'!X72)+('09'!K25+'09'!X25+'09'!K72+'09'!X72)</f>
        <v>0</v>
      </c>
      <c r="M17">
        <f t="shared" si="0"/>
        <v>24</v>
      </c>
      <c r="N17" s="42">
        <f t="shared" si="1"/>
        <v>600</v>
      </c>
    </row>
    <row r="18" spans="2:14" ht="19.5" customHeight="1" x14ac:dyDescent="0.25">
      <c r="B18" s="41" t="s">
        <v>31</v>
      </c>
      <c r="C18" s="10">
        <f>('01'!B26+'01'!O26+'01'!B73+'01'!O73)+('02'!B26+'02'!O26+'02'!B73+'02'!O73)+('03'!B26+'03'!O26+'03'!B73+'03'!O73)+('04'!B26+'04'!O26+'04'!B73+'04'!O73)+('05'!B26+'05'!O26+'05'!B73+'05'!O73)+('06'!B26+'06'!O26+'06'!B73+'06'!O73)+('07'!B26+'07'!O26+'07'!B73+'07'!O73)+('08'!B26+'08'!O26+'08'!B73+'08'!O73)+('09'!B26+'09'!O26+'09'!B73+'09'!O73)</f>
        <v>0</v>
      </c>
      <c r="D18" s="10">
        <f>('01'!C26+'01'!P26+'01'!C73+'01'!P73)+('02'!C26+'02'!P26+'02'!C73+'02'!P73)+('03'!C26+'03'!P26+'03'!C73+'03'!P73)+('04'!C26+'04'!P26+'04'!C73+'04'!P73)+('05'!C26+'05'!P26+'05'!C73+'05'!P73)+('06'!C26+'06'!P26+'06'!C73+'06'!P73)+('07'!C26+'07'!P26+'07'!C73+'07'!P73)+('08'!C26+'08'!P26+'08'!C73+'08'!P73)+('09'!C26+'09'!P26+'09'!C73+'09'!P73)</f>
        <v>0</v>
      </c>
      <c r="E18" s="10">
        <f>('01'!D26+'01'!Q26+'01'!D73+'01'!Q73)+('02'!D26+'02'!Q26+'02'!D73+'02'!Q73)+('03'!D26+'03'!Q26+'03'!D73+'03'!Q73)+('04'!D26+'04'!Q26+'04'!D73+'04'!Q73)+('05'!D26+'05'!Q26+'05'!D73+'05'!Q73)+('06'!D26+'06'!Q26+'06'!D73+'06'!Q73)+('07'!D26+'07'!Q26+'07'!D73+'07'!Q73)+('08'!D26+'08'!Q26+'08'!D73+'08'!Q73)+('09'!D26+'09'!Q26+'09'!D73+'09'!Q73)</f>
        <v>0</v>
      </c>
      <c r="F18" s="10">
        <f>('01'!E26+'01'!R26+'01'!E73+'01'!R73)+('02'!E26+'02'!R26+'02'!E73+'02'!R73)+('03'!E26+'03'!R26+'03'!E73+'03'!R73)+('04'!E26+'04'!R26+'04'!E73+'04'!R73)+('05'!E26+'05'!R26+'05'!E73+'05'!R73)+('06'!E26+'06'!R26+'06'!E73+'06'!R73)+('07'!E26+'07'!R26+'07'!E73+'07'!R73)+('08'!E26+'08'!R26+'08'!E73+'08'!R73)+('09'!E26+'09'!R26+'09'!E73+'09'!R73)</f>
        <v>0</v>
      </c>
      <c r="G18" s="10">
        <f>('01'!F26+'01'!S26+'01'!F73+'01'!S73)+('02'!F26+'02'!S26+'02'!F73+'02'!S73)+('03'!F26+'03'!S26+'03'!F73+'03'!S73)+('04'!F26+'04'!S26+'04'!F73+'04'!S73)+('05'!F26+'05'!S26+'05'!F73+'05'!S73)+('06'!F26+'06'!S26+'06'!F73+'06'!S73)+('07'!F26+'07'!S26+'07'!F73+'07'!S73)+('08'!F26+'08'!S26+'08'!F73+'08'!S73)+('09'!F26+'09'!S26+'09'!F73+'09'!S73)</f>
        <v>14</v>
      </c>
      <c r="H18" s="10">
        <f>('01'!G26+'01'!T26+'01'!G73+'01'!T73)+('02'!G26+'02'!T26+'02'!G73+'02'!T73)+('03'!G26+'03'!T26+'03'!G73+'03'!T73)+('04'!G26+'04'!T26+'04'!G73+'04'!T73)+('05'!G26+'05'!T26+'05'!G73+'05'!T73)+('06'!G26+'06'!T26+'06'!G73+'06'!T73)+('07'!G26+'07'!T26+'07'!G73+'07'!T73)+('08'!G26+'08'!T26+'08'!G73+'08'!T73)+('09'!G26+'09'!T26+'09'!G73+'09'!T73)</f>
        <v>18</v>
      </c>
      <c r="I18" s="10">
        <f>('01'!H26+'01'!U26+'01'!H73+'01'!U73)+('02'!H26+'02'!U26+'02'!H73+'02'!U73)+('03'!H26+'03'!U26+'03'!H73+'03'!U73)+('04'!H26+'04'!U26+'04'!H73+'04'!U73)+('05'!H26+'05'!U26+'05'!H73+'05'!U73)+('06'!H26+'06'!U26+'06'!H73+'06'!U73)+('07'!H26+'07'!U26+'07'!H73+'07'!U73)+('08'!H26+'08'!U26+'08'!H73+'08'!U73)+('09'!H26+'09'!U26+'09'!H73+'09'!U73)</f>
        <v>0</v>
      </c>
      <c r="J18" s="10">
        <f>('01'!I26+'01'!V26+'01'!I73+'01'!V73)+('02'!I26+'02'!V26+'02'!I73+'02'!V73)+('03'!I26+'03'!V26+'03'!I73+'03'!V73)+('04'!I26+'04'!V26+'04'!I73+'04'!V73)+('05'!I26+'05'!V26+'05'!I73+'05'!V73)+('06'!I26+'06'!V26+'06'!I73+'06'!V73)+('07'!I26+'07'!V26+'07'!I73+'07'!V73)+('08'!I26+'08'!V26+'08'!I73+'08'!V73)+('09'!I26+'09'!V26+'09'!I73+'09'!V73)</f>
        <v>0</v>
      </c>
      <c r="K18" s="10">
        <f>('01'!J26+'01'!W26+'01'!J73+'01'!W73)+('02'!J26+'02'!W26+'02'!J73+'02'!W73)+('03'!J26+'03'!W26+'03'!J73+'03'!W73)+('04'!J26+'04'!W26+'04'!J73+'04'!W73)+('05'!J26+'05'!W26+'05'!J73+'05'!W73)+('06'!J26+'06'!W26+'06'!J73+'06'!W73)+('07'!J26+'07'!W26+'07'!J73+'07'!W73)+('08'!J26+'08'!W26+'08'!J73+'08'!W73)+('09'!J26+'09'!W26+'09'!J73+'09'!W73)</f>
        <v>0</v>
      </c>
      <c r="L18" s="10">
        <f>('01'!K26+'01'!X26+'01'!K73+'01'!X73)+('02'!K26+'02'!X26+'02'!K73+'02'!X73)+('03'!K26+'03'!X26+'03'!K73+'03'!X73)+('04'!K26+'04'!X26+'04'!K73+'04'!X73)+('05'!K26+'05'!X26+'05'!K73+'05'!X73)+('06'!K26+'06'!X26+'06'!K73+'06'!X73)+('07'!K26+'07'!X26+'07'!K73+'07'!X73)+('08'!K26+'08'!X26+'08'!K73+'08'!X73)+('09'!K26+'09'!X26+'09'!K73+'09'!X73)</f>
        <v>0</v>
      </c>
      <c r="M18">
        <f t="shared" si="0"/>
        <v>32</v>
      </c>
      <c r="N18" s="42">
        <f t="shared" si="1"/>
        <v>800</v>
      </c>
    </row>
    <row r="19" spans="2:14" ht="19.5" customHeight="1" x14ac:dyDescent="0.25">
      <c r="B19" s="41" t="s">
        <v>33</v>
      </c>
      <c r="C19" s="10">
        <f>('01'!B27+'01'!O27+'01'!B74+'01'!O74)+('02'!B27+'02'!O27+'02'!B74+'02'!O74)+('03'!B27+'03'!O27+'03'!B74+'03'!O74)+('04'!B27+'04'!O27+'04'!B74+'04'!O74)+('05'!B27+'05'!O27+'05'!B74+'05'!O74)+('06'!B27+'06'!O27+'06'!B74+'06'!O74)+('07'!B27+'07'!O27+'07'!B74+'07'!O74)+('08'!B27+'08'!O27+'08'!B74+'08'!O74)+('09'!B27+'09'!O27+'09'!B74+'09'!O74)</f>
        <v>0</v>
      </c>
      <c r="D19" s="10">
        <f>('01'!C27+'01'!P27+'01'!C74+'01'!P74)+('02'!C27+'02'!P27+'02'!C74+'02'!P74)+('03'!C27+'03'!P27+'03'!C74+'03'!P74)+('04'!C27+'04'!P27+'04'!C74+'04'!P74)+('05'!C27+'05'!P27+'05'!C74+'05'!P74)+('06'!C27+'06'!P27+'06'!C74+'06'!P74)+('07'!C27+'07'!P27+'07'!C74+'07'!P74)+('08'!C27+'08'!P27+'08'!C74+'08'!P74)+('09'!C27+'09'!P27+'09'!C74+'09'!P74)</f>
        <v>0</v>
      </c>
      <c r="E19" s="10">
        <f>('01'!D27+'01'!Q27+'01'!D74+'01'!Q74)+('02'!D27+'02'!Q27+'02'!D74+'02'!Q74)+('03'!D27+'03'!Q27+'03'!D74+'03'!Q74)+('04'!D27+'04'!Q27+'04'!D74+'04'!Q74)+('05'!D27+'05'!Q27+'05'!D74+'05'!Q74)+('06'!D27+'06'!Q27+'06'!D74+'06'!Q74)+('07'!D27+'07'!Q27+'07'!D74+'07'!Q74)+('08'!D27+'08'!Q27+'08'!D74+'08'!Q74)+('09'!D27+'09'!Q27+'09'!D74+'09'!Q74)</f>
        <v>8</v>
      </c>
      <c r="F19" s="10">
        <f>('01'!E27+'01'!R27+'01'!E74+'01'!R74)+('02'!E27+'02'!R27+'02'!E74+'02'!R74)+('03'!E27+'03'!R27+'03'!E74+'03'!R74)+('04'!E27+'04'!R27+'04'!E74+'04'!R74)+('05'!E27+'05'!R27+'05'!E74+'05'!R74)+('06'!E27+'06'!R27+'06'!E74+'06'!R74)+('07'!E27+'07'!R27+'07'!E74+'07'!R74)+('08'!E27+'08'!R27+'08'!E74+'08'!R74)+('09'!E27+'09'!R27+'09'!E74+'09'!R74)</f>
        <v>3</v>
      </c>
      <c r="G19" s="10">
        <f>('01'!F27+'01'!S27+'01'!F74+'01'!S74)+('02'!F27+'02'!S27+'02'!F74+'02'!S74)+('03'!F27+'03'!S27+'03'!F74+'03'!S74)+('04'!F27+'04'!S27+'04'!F74+'04'!S74)+('05'!F27+'05'!S27+'05'!F74+'05'!S74)+('06'!F27+'06'!S27+'06'!F74+'06'!S74)+('07'!F27+'07'!S27+'07'!F74+'07'!S74)+('08'!F27+'08'!S27+'08'!F74+'08'!S74)+('09'!F27+'09'!S27+'09'!F74+'09'!S74)</f>
        <v>3</v>
      </c>
      <c r="H19" s="10">
        <f>('01'!G27+'01'!T27+'01'!G74+'01'!T74)+('02'!G27+'02'!T27+'02'!G74+'02'!T74)+('03'!G27+'03'!T27+'03'!G74+'03'!T74)+('04'!G27+'04'!T27+'04'!G74+'04'!T74)+('05'!G27+'05'!T27+'05'!G74+'05'!T74)+('06'!G27+'06'!T27+'06'!G74+'06'!T74)+('07'!G27+'07'!T27+'07'!G74+'07'!T74)+('08'!G27+'08'!T27+'08'!G74+'08'!T74)+('09'!G27+'09'!T27+'09'!G74+'09'!T74)</f>
        <v>0</v>
      </c>
      <c r="I19" s="10">
        <f>('01'!H27+'01'!U27+'01'!H74+'01'!U74)+('02'!H27+'02'!U27+'02'!H74+'02'!U74)+('03'!H27+'03'!U27+'03'!H74+'03'!U74)+('04'!H27+'04'!U27+'04'!H74+'04'!U74)+('05'!H27+'05'!U27+'05'!H74+'05'!U74)+('06'!H27+'06'!U27+'06'!H74+'06'!U74)+('07'!H27+'07'!U27+'07'!H74+'07'!U74)+('08'!H27+'08'!U27+'08'!H74+'08'!U74)+('09'!H27+'09'!U27+'09'!H74+'09'!U74)</f>
        <v>0</v>
      </c>
      <c r="J19" s="10">
        <f>('01'!I27+'01'!V27+'01'!I74+'01'!V74)+('02'!I27+'02'!V27+'02'!I74+'02'!V74)+('03'!I27+'03'!V27+'03'!I74+'03'!V74)+('04'!I27+'04'!V27+'04'!I74+'04'!V74)+('05'!I27+'05'!V27+'05'!I74+'05'!V74)+('06'!I27+'06'!V27+'06'!I74+'06'!V74)+('07'!I27+'07'!V27+'07'!I74+'07'!V74)+('08'!I27+'08'!V27+'08'!I74+'08'!V74)+('09'!I27+'09'!V27+'09'!I74+'09'!V74)</f>
        <v>0</v>
      </c>
      <c r="K19" s="10">
        <f>('01'!J27+'01'!W27+'01'!J74+'01'!W74)+('02'!J27+'02'!W27+'02'!J74+'02'!W74)+('03'!J27+'03'!W27+'03'!J74+'03'!W74)+('04'!J27+'04'!W27+'04'!J74+'04'!W74)+('05'!J27+'05'!W27+'05'!J74+'05'!W74)+('06'!J27+'06'!W27+'06'!J74+'06'!W74)+('07'!J27+'07'!W27+'07'!J74+'07'!W74)+('08'!J27+'08'!W27+'08'!J74+'08'!W74)+('09'!J27+'09'!W27+'09'!J74+'09'!W74)</f>
        <v>0</v>
      </c>
      <c r="L19" s="10">
        <f>('01'!K27+'01'!X27+'01'!K74+'01'!X74)+('02'!K27+'02'!X27+'02'!K74+'02'!X74)+('03'!K27+'03'!X27+'03'!K74+'03'!X74)+('04'!K27+'04'!X27+'04'!K74+'04'!X74)+('05'!K27+'05'!X27+'05'!K74+'05'!X74)+('06'!K27+'06'!X27+'06'!K74+'06'!X74)+('07'!K27+'07'!X27+'07'!K74+'07'!X74)+('08'!K27+'08'!X27+'08'!K74+'08'!X74)+('09'!K27+'09'!X27+'09'!K74+'09'!X74)</f>
        <v>0</v>
      </c>
      <c r="M19">
        <f t="shared" si="0"/>
        <v>14</v>
      </c>
      <c r="N19" s="42">
        <f t="shared" si="1"/>
        <v>350</v>
      </c>
    </row>
    <row r="20" spans="2:14" ht="19.5" customHeight="1" thickBot="1" x14ac:dyDescent="0.3">
      <c r="B20" s="43" t="s">
        <v>34</v>
      </c>
      <c r="C20" s="44">
        <f>('01'!B28+'01'!O28+'01'!B75+'01'!O75)+('02'!B28+'02'!O28+'02'!B75+'02'!O75)+('03'!B28+'03'!O28+'03'!B75+'03'!O75)+('04'!B28+'04'!O28+'04'!B75+'04'!O75)+('05'!B28+'05'!O28+'05'!B75+'05'!O75)+('06'!B28+'06'!O28+'06'!B75+'06'!O75)+('07'!B28+'07'!O28+'07'!B75+'07'!O75)+('08'!B28+'08'!O28+'08'!B75+'08'!O75)+('09'!B28+'09'!O28+'09'!B75+'09'!O75)</f>
        <v>0</v>
      </c>
      <c r="D20" s="44">
        <f>('01'!C28+'01'!P28+'01'!C75+'01'!P75)+('02'!C28+'02'!P28+'02'!C75+'02'!P75)+('03'!C28+'03'!P28+'03'!C75+'03'!P75)+('04'!C28+'04'!P28+'04'!C75+'04'!P75)+('05'!C28+'05'!P28+'05'!C75+'05'!P75)+('06'!C28+'06'!P28+'06'!C75+'06'!P75)+('07'!C28+'07'!P28+'07'!C75+'07'!P75)+('08'!C28+'08'!P28+'08'!C75+'08'!P75)+('09'!C28+'09'!P28+'09'!C75+'09'!P75)</f>
        <v>0</v>
      </c>
      <c r="E20" s="44">
        <f>('01'!D28+'01'!Q28+'01'!D75+'01'!Q75)+('02'!D28+'02'!Q28+'02'!D75+'02'!Q75)+('03'!D28+'03'!Q28+'03'!D75+'03'!Q75)+('04'!D28+'04'!Q28+'04'!D75+'04'!Q75)+('05'!D28+'05'!Q28+'05'!D75+'05'!Q75)+('06'!D28+'06'!Q28+'06'!D75+'06'!Q75)+('07'!D28+'07'!Q28+'07'!D75+'07'!Q75)+('08'!D28+'08'!Q28+'08'!D75+'08'!Q75)+('09'!D28+'09'!Q28+'09'!D75+'09'!Q75)</f>
        <v>0</v>
      </c>
      <c r="F20" s="44">
        <f>('01'!E28+'01'!R28+'01'!E75+'01'!R75)+('02'!E28+'02'!R28+'02'!E75+'02'!R75)+('03'!E28+'03'!R28+'03'!E75+'03'!R75)+('04'!E28+'04'!R28+'04'!E75+'04'!R75)+('05'!E28+'05'!R28+'05'!E75+'05'!R75)+('06'!E28+'06'!R28+'06'!E75+'06'!R75)+('07'!E28+'07'!R28+'07'!E75+'07'!R75)+('08'!E28+'08'!R28+'08'!E75+'08'!R75)+('09'!E28+'09'!R28+'09'!E75+'09'!R75)</f>
        <v>0</v>
      </c>
      <c r="G20" s="44">
        <f>('01'!F28+'01'!S28+'01'!F75+'01'!S75)+('02'!F28+'02'!S28+'02'!F75+'02'!S75)+('03'!F28+'03'!S28+'03'!F75+'03'!S75)+('04'!F28+'04'!S28+'04'!F75+'04'!S75)+('05'!F28+'05'!S28+'05'!F75+'05'!S75)+('06'!F28+'06'!S28+'06'!F75+'06'!S75)+('07'!F28+'07'!S28+'07'!F75+'07'!S75)+('08'!F28+'08'!S28+'08'!F75+'08'!S75)+('09'!F28+'09'!S28+'09'!F75+'09'!S75)</f>
        <v>18</v>
      </c>
      <c r="H20" s="44">
        <f>('01'!G28+'01'!T28+'01'!G75+'01'!T75)+('02'!G28+'02'!T28+'02'!G75+'02'!T75)+('03'!G28+'03'!T28+'03'!G75+'03'!T75)+('04'!G28+'04'!T28+'04'!G75+'04'!T75)+('05'!G28+'05'!T28+'05'!G75+'05'!T75)+('06'!G28+'06'!T28+'06'!G75+'06'!T75)+('07'!G28+'07'!T28+'07'!G75+'07'!T75)+('08'!G28+'08'!T28+'08'!G75+'08'!T75)+('09'!G28+'09'!T28+'09'!G75+'09'!T75)</f>
        <v>6</v>
      </c>
      <c r="I20" s="44">
        <f>('01'!H28+'01'!U28+'01'!H75+'01'!U75)+('02'!H28+'02'!U28+'02'!H75+'02'!U75)+('03'!H28+'03'!U28+'03'!H75+'03'!U75)+('04'!H28+'04'!U28+'04'!H75+'04'!U75)+('05'!H28+'05'!U28+'05'!H75+'05'!U75)+('06'!H28+'06'!U28+'06'!H75+'06'!U75)+('07'!H28+'07'!U28+'07'!H75+'07'!U75)+('08'!H28+'08'!U28+'08'!H75+'08'!U75)+('09'!H28+'09'!U28+'09'!H75+'09'!U75)</f>
        <v>0</v>
      </c>
      <c r="J20" s="44">
        <f>('01'!I28+'01'!V28+'01'!I75+'01'!V75)+('02'!I28+'02'!V28+'02'!I75+'02'!V75)+('03'!I28+'03'!V28+'03'!I75+'03'!V75)+('04'!I28+'04'!V28+'04'!I75+'04'!V75)+('05'!I28+'05'!V28+'05'!I75+'05'!V75)+('06'!I28+'06'!V28+'06'!I75+'06'!V75)+('07'!I28+'07'!V28+'07'!I75+'07'!V75)+('08'!I28+'08'!V28+'08'!I75+'08'!V75)+('09'!I28+'09'!V28+'09'!I75+'09'!V75)</f>
        <v>0</v>
      </c>
      <c r="K20" s="44">
        <f>('01'!J28+'01'!W28+'01'!J75+'01'!W75)+('02'!J28+'02'!W28+'02'!J75+'02'!W75)+('03'!J28+'03'!W28+'03'!J75+'03'!W75)+('04'!J28+'04'!W28+'04'!J75+'04'!W75)+('05'!J28+'05'!W28+'05'!J75+'05'!W75)+('06'!J28+'06'!W28+'06'!J75+'06'!W75)+('07'!J28+'07'!W28+'07'!J75+'07'!W75)+('08'!J28+'08'!W28+'08'!J75+'08'!W75)+('09'!J28+'09'!W28+'09'!J75+'09'!W75)</f>
        <v>0</v>
      </c>
      <c r="L20" s="44">
        <f>('01'!K28+'01'!X28+'01'!K75+'01'!X75)+('02'!K28+'02'!X28+'02'!K75+'02'!X75)+('03'!K28+'03'!X28+'03'!K75+'03'!X75)+('04'!K28+'04'!X28+'04'!K75+'04'!X75)+('05'!K28+'05'!X28+'05'!K75+'05'!X75)+('06'!K28+'06'!X28+'06'!K75+'06'!X75)+('07'!K28+'07'!X28+'07'!K75+'07'!X75)+('08'!K28+'08'!X28+'08'!K75+'08'!X75)+('09'!K28+'09'!X28+'09'!K75+'09'!X75)</f>
        <v>0</v>
      </c>
      <c r="M20" s="45">
        <f t="shared" si="0"/>
        <v>24</v>
      </c>
      <c r="N20" s="46">
        <f t="shared" si="1"/>
        <v>600</v>
      </c>
    </row>
    <row r="21" spans="2:14" ht="19.5" customHeight="1" x14ac:dyDescent="0.25">
      <c r="B21" s="37" t="s">
        <v>36</v>
      </c>
      <c r="C21" s="38">
        <f>('01'!B29+'01'!O29+'01'!B76+'01'!O76)+('02'!B29+'02'!O29+'02'!B76+'02'!O76)+('03'!B29+'03'!O29+'03'!B76+'03'!O76)+('04'!B29+'04'!O29+'04'!B76+'04'!O76)+('05'!B29+'05'!O29+'05'!B76+'05'!O76)+('06'!B29+'06'!O29+'06'!B76+'06'!O76)+('07'!B29+'07'!O29+'07'!B76+'07'!O76)+('08'!B29+'08'!O29+'08'!B76+'08'!O76)+('09'!B29+'09'!O29+'09'!B76+'09'!O76)</f>
        <v>0</v>
      </c>
      <c r="D21" s="38">
        <f>('01'!C29+'01'!P29+'01'!C76+'01'!P76)+('02'!C29+'02'!P29+'02'!C76+'02'!P76)+('03'!C29+'03'!P29+'03'!C76+'03'!P76)+('04'!C29+'04'!P29+'04'!C76+'04'!P76)+('05'!C29+'05'!P29+'05'!C76+'05'!P76)+('06'!C29+'06'!P29+'06'!C76+'06'!P76)+('07'!C29+'07'!P29+'07'!C76+'07'!P76)+('08'!C29+'08'!P29+'08'!C76+'08'!P76)+('09'!C29+'09'!P29+'09'!C76+'09'!P76)</f>
        <v>0</v>
      </c>
      <c r="E21" s="38">
        <f>('01'!D29+'01'!Q29+'01'!D76+'01'!Q76)+('02'!D29+'02'!Q29+'02'!D76+'02'!Q76)+('03'!D29+'03'!Q29+'03'!D76+'03'!Q76)+('04'!D29+'04'!Q29+'04'!D76+'04'!Q76)+('05'!D29+'05'!Q29+'05'!D76+'05'!Q76)+('06'!D29+'06'!Q29+'06'!D76+'06'!Q76)+('07'!D29+'07'!Q29+'07'!D76+'07'!Q76)+('08'!D29+'08'!Q29+'08'!D76+'08'!Q76)+('09'!D29+'09'!Q29+'09'!D76+'09'!Q76)</f>
        <v>0</v>
      </c>
      <c r="F21" s="38">
        <f>('01'!E29+'01'!R29+'01'!E76+'01'!R76)+('02'!E29+'02'!R29+'02'!E76+'02'!R76)+('03'!E29+'03'!R29+'03'!E76+'03'!R76)+('04'!E29+'04'!R29+'04'!E76+'04'!R76)+('05'!E29+'05'!R29+'05'!E76+'05'!R76)+('06'!E29+'06'!R29+'06'!E76+'06'!R76)+('07'!E29+'07'!R29+'07'!E76+'07'!R76)+('08'!E29+'08'!R29+'08'!E76+'08'!R76)+('09'!E29+'09'!R29+'09'!E76+'09'!R76)</f>
        <v>0</v>
      </c>
      <c r="G21" s="38">
        <f>('01'!F29+'01'!S29+'01'!F76+'01'!S76)+('02'!F29+'02'!S29+'02'!F76+'02'!S76)+('03'!F29+'03'!S29+'03'!F76+'03'!S76)+('04'!F29+'04'!S29+'04'!F76+'04'!S76)+('05'!F29+'05'!S29+'05'!F76+'05'!S76)+('06'!F29+'06'!S29+'06'!F76+'06'!S76)+('07'!F29+'07'!S29+'07'!F76+'07'!S76)+('08'!F29+'08'!S29+'08'!F76+'08'!S76)+('09'!F29+'09'!S29+'09'!F76+'09'!S76)</f>
        <v>22</v>
      </c>
      <c r="H21" s="38">
        <f>('01'!G29+'01'!T29+'01'!G76+'01'!T76)+('02'!G29+'02'!T29+'02'!G76+'02'!T76)+('03'!G29+'03'!T29+'03'!G76+'03'!T76)+('04'!G29+'04'!T29+'04'!G76+'04'!T76)+('05'!G29+'05'!T29+'05'!G76+'05'!T76)+('06'!G29+'06'!T29+'06'!G76+'06'!T76)+('07'!G29+'07'!T29+'07'!G76+'07'!T76)+('08'!G29+'08'!T29+'08'!G76+'08'!T76)+('09'!G29+'09'!T29+'09'!G76+'09'!T76)</f>
        <v>9</v>
      </c>
      <c r="I21" s="38">
        <f>('01'!H29+'01'!U29+'01'!H76+'01'!U76)+('02'!H29+'02'!U29+'02'!H76+'02'!U76)+('03'!H29+'03'!U29+'03'!H76+'03'!U76)+('04'!H29+'04'!U29+'04'!H76+'04'!U76)+('05'!H29+'05'!U29+'05'!H76+'05'!U76)+('06'!H29+'06'!U29+'06'!H76+'06'!U76)+('07'!H29+'07'!U29+'07'!H76+'07'!U76)+('08'!H29+'08'!U29+'08'!H76+'08'!U76)+('09'!H29+'09'!U29+'09'!H76+'09'!U76)</f>
        <v>0</v>
      </c>
      <c r="J21" s="38">
        <f>('01'!I29+'01'!V29+'01'!I76+'01'!V76)+('02'!I29+'02'!V29+'02'!I76+'02'!V76)+('03'!I29+'03'!V29+'03'!I76+'03'!V76)+('04'!I29+'04'!V29+'04'!I76+'04'!V76)+('05'!I29+'05'!V29+'05'!I76+'05'!V76)+('06'!I29+'06'!V29+'06'!I76+'06'!V76)+('07'!I29+'07'!V29+'07'!I76+'07'!V76)+('08'!I29+'08'!V29+'08'!I76+'08'!V76)+('09'!I29+'09'!V29+'09'!I76+'09'!V76)</f>
        <v>0</v>
      </c>
      <c r="K21" s="38">
        <f>('01'!J29+'01'!W29+'01'!J76+'01'!W76)+('02'!J29+'02'!W29+'02'!J76+'02'!W76)+('03'!J29+'03'!W29+'03'!J76+'03'!W76)+('04'!J29+'04'!W29+'04'!J76+'04'!W76)+('05'!J29+'05'!W29+'05'!J76+'05'!W76)+('06'!J29+'06'!W29+'06'!J76+'06'!W76)+('07'!J29+'07'!W29+'07'!J76+'07'!W76)+('08'!J29+'08'!W29+'08'!J76+'08'!W76)+('09'!J29+'09'!W29+'09'!J76+'09'!W76)</f>
        <v>0</v>
      </c>
      <c r="L21" s="38">
        <f>('01'!K29+'01'!X29+'01'!K76+'01'!X76)+('02'!K29+'02'!X29+'02'!K76+'02'!X76)+('03'!K29+'03'!X29+'03'!K76+'03'!X76)+('04'!K29+'04'!X29+'04'!K76+'04'!X76)+('05'!K29+'05'!X29+'05'!K76+'05'!X76)+('06'!K29+'06'!X29+'06'!K76+'06'!X76)+('07'!K29+'07'!X29+'07'!K76+'07'!X76)+('08'!K29+'08'!X29+'08'!K76+'08'!X76)+('09'!K29+'09'!X29+'09'!K76+'09'!X76)</f>
        <v>0</v>
      </c>
      <c r="M21" s="39">
        <f t="shared" si="0"/>
        <v>31</v>
      </c>
      <c r="N21" s="40">
        <f t="shared" si="1"/>
        <v>775</v>
      </c>
    </row>
    <row r="22" spans="2:14" ht="19.5" customHeight="1" x14ac:dyDescent="0.25">
      <c r="B22" s="41" t="s">
        <v>37</v>
      </c>
      <c r="C22" s="10">
        <f>('01'!B30+'01'!O30+'01'!B77+'01'!O77)+('02'!B30+'02'!O30+'02'!B77+'02'!O77)+('03'!B30+'03'!O30+'03'!B77+'03'!O77)+('04'!B30+'04'!O30+'04'!B77+'04'!O77)+('05'!B30+'05'!O30+'05'!B77+'05'!O77)+('06'!B30+'06'!O30+'06'!B77+'06'!O77)+('07'!B30+'07'!O30+'07'!B77+'07'!O77)+('08'!B30+'08'!O30+'08'!B77+'08'!O77)+('09'!B30+'09'!O30+'09'!B77+'09'!O77)</f>
        <v>0</v>
      </c>
      <c r="D22" s="10">
        <f>('01'!C30+'01'!P30+'01'!C77+'01'!P77)+('02'!C30+'02'!P30+'02'!C77+'02'!P77)+('03'!C30+'03'!P30+'03'!C77+'03'!P77)+('04'!C30+'04'!P30+'04'!C77+'04'!P77)+('05'!C30+'05'!P30+'05'!C77+'05'!P77)+('06'!C30+'06'!P30+'06'!C77+'06'!P77)+('07'!C30+'07'!P30+'07'!C77+'07'!P77)+('08'!C30+'08'!P30+'08'!C77+'08'!P77)+('09'!C30+'09'!P30+'09'!C77+'09'!P77)</f>
        <v>0</v>
      </c>
      <c r="E22" s="10">
        <f>('01'!D30+'01'!Q30+'01'!D77+'01'!Q77)+('02'!D30+'02'!Q30+'02'!D77+'02'!Q77)+('03'!D30+'03'!Q30+'03'!D77+'03'!Q77)+('04'!D30+'04'!Q30+'04'!D77+'04'!Q77)+('05'!D30+'05'!Q30+'05'!D77+'05'!Q77)+('06'!D30+'06'!Q30+'06'!D77+'06'!Q77)+('07'!D30+'07'!Q30+'07'!D77+'07'!Q77)+('08'!D30+'08'!Q30+'08'!D77+'08'!Q77)+('09'!D30+'09'!Q30+'09'!D77+'09'!Q77)</f>
        <v>0</v>
      </c>
      <c r="F22" s="10">
        <f>('01'!E30+'01'!R30+'01'!E77+'01'!R77)+('02'!E30+'02'!R30+'02'!E77+'02'!R77)+('03'!E30+'03'!R30+'03'!E77+'03'!R77)+('04'!E30+'04'!R30+'04'!E77+'04'!R77)+('05'!E30+'05'!R30+'05'!E77+'05'!R77)+('06'!E30+'06'!R30+'06'!E77+'06'!R77)+('07'!E30+'07'!R30+'07'!E77+'07'!R77)+('08'!E30+'08'!R30+'08'!E77+'08'!R77)+('09'!E30+'09'!R30+'09'!E77+'09'!R77)</f>
        <v>0</v>
      </c>
      <c r="G22" s="10">
        <f>('01'!F30+'01'!S30+'01'!F77+'01'!S77)+('02'!F30+'02'!S30+'02'!F77+'02'!S77)+('03'!F30+'03'!S30+'03'!F77+'03'!S77)+('04'!F30+'04'!S30+'04'!F77+'04'!S77)+('05'!F30+'05'!S30+'05'!F77+'05'!S77)+('06'!F30+'06'!S30+'06'!F77+'06'!S77)+('07'!F30+'07'!S30+'07'!F77+'07'!S77)+('08'!F30+'08'!S30+'08'!F77+'08'!S77)+('09'!F30+'09'!S30+'09'!F77+'09'!S77)</f>
        <v>20</v>
      </c>
      <c r="H22" s="10">
        <f>('01'!G30+'01'!T30+'01'!G77+'01'!T77)+('02'!G30+'02'!T30+'02'!G77+'02'!T77)+('03'!G30+'03'!T30+'03'!G77+'03'!T77)+('04'!G30+'04'!T30+'04'!G77+'04'!T77)+('05'!G30+'05'!T30+'05'!G77+'05'!T77)+('06'!G30+'06'!T30+'06'!G77+'06'!T77)+('07'!G30+'07'!T30+'07'!G77+'07'!T77)+('08'!G30+'08'!T30+'08'!G77+'08'!T77)+('09'!G30+'09'!T30+'09'!G77+'09'!T77)</f>
        <v>9</v>
      </c>
      <c r="I22" s="10">
        <f>('01'!H30+'01'!U30+'01'!H77+'01'!U77)+('02'!H30+'02'!U30+'02'!H77+'02'!U77)+('03'!H30+'03'!U30+'03'!H77+'03'!U77)+('04'!H30+'04'!U30+'04'!H77+'04'!U77)+('05'!H30+'05'!U30+'05'!H77+'05'!U77)+('06'!H30+'06'!U30+'06'!H77+'06'!U77)+('07'!H30+'07'!U30+'07'!H77+'07'!U77)+('08'!H30+'08'!U30+'08'!H77+'08'!U77)+('09'!H30+'09'!U30+'09'!H77+'09'!U77)</f>
        <v>0</v>
      </c>
      <c r="J22" s="10">
        <f>('01'!I30+'01'!V30+'01'!I77+'01'!V77)+('02'!I30+'02'!V30+'02'!I77+'02'!V77)+('03'!I30+'03'!V30+'03'!I77+'03'!V77)+('04'!I30+'04'!V30+'04'!I77+'04'!V77)+('05'!I30+'05'!V30+'05'!I77+'05'!V77)+('06'!I30+'06'!V30+'06'!I77+'06'!V77)+('07'!I30+'07'!V30+'07'!I77+'07'!V77)+('08'!I30+'08'!V30+'08'!I77+'08'!V77)+('09'!I30+'09'!V30+'09'!I77+'09'!V77)</f>
        <v>0</v>
      </c>
      <c r="K22" s="10">
        <f>('01'!J30+'01'!W30+'01'!J77+'01'!W77)+('02'!J30+'02'!W30+'02'!J77+'02'!W77)+('03'!J30+'03'!W30+'03'!J77+'03'!W77)+('04'!J30+'04'!W30+'04'!J77+'04'!W77)+('05'!J30+'05'!W30+'05'!J77+'05'!W77)+('06'!J30+'06'!W30+'06'!J77+'06'!W77)+('07'!J30+'07'!W30+'07'!J77+'07'!W77)+('08'!J30+'08'!W30+'08'!J77+'08'!W77)+('09'!J30+'09'!W30+'09'!J77+'09'!W77)</f>
        <v>0</v>
      </c>
      <c r="L22" s="10">
        <f>('01'!K30+'01'!X30+'01'!K77+'01'!X77)+('02'!K30+'02'!X30+'02'!K77+'02'!X77)+('03'!K30+'03'!X30+'03'!K77+'03'!X77)+('04'!K30+'04'!X30+'04'!K77+'04'!X77)+('05'!K30+'05'!X30+'05'!K77+'05'!X77)+('06'!K30+'06'!X30+'06'!K77+'06'!X77)+('07'!K30+'07'!X30+'07'!K77+'07'!X77)+('08'!K30+'08'!X30+'08'!K77+'08'!X77)+('09'!K30+'09'!X30+'09'!K77+'09'!X77)</f>
        <v>0</v>
      </c>
      <c r="M22">
        <f t="shared" si="0"/>
        <v>29</v>
      </c>
      <c r="N22" s="42">
        <f t="shared" si="1"/>
        <v>725</v>
      </c>
    </row>
    <row r="23" spans="2:14" ht="19.5" customHeight="1" x14ac:dyDescent="0.25">
      <c r="B23" s="41" t="s">
        <v>38</v>
      </c>
      <c r="C23" s="10">
        <f>('01'!B31+'01'!O31+'01'!B78+'01'!O78)+('02'!B31+'02'!O31+'02'!B78+'02'!O78)+('03'!B31+'03'!O31+'03'!B78+'03'!O78)+('04'!B31+'04'!O31+'04'!B78+'04'!O78)+('05'!B31+'05'!O31+'05'!B78+'05'!O78)+('06'!B31+'06'!O31+'06'!B78+'06'!O78)+('07'!B31+'07'!O31+'07'!B78+'07'!O78)+('08'!B31+'08'!O31+'08'!B78+'08'!O78)+('09'!B31+'09'!O31+'09'!B78+'09'!O78)</f>
        <v>0</v>
      </c>
      <c r="D23" s="10">
        <f>('01'!C31+'01'!P31+'01'!C78+'01'!P78)+('02'!C31+'02'!P31+'02'!C78+'02'!P78)+('03'!C31+'03'!P31+'03'!C78+'03'!P78)+('04'!C31+'04'!P31+'04'!C78+'04'!P78)+('05'!C31+'05'!P31+'05'!C78+'05'!P78)+('06'!C31+'06'!P31+'06'!C78+'06'!P78)+('07'!C31+'07'!P31+'07'!C78+'07'!P78)+('08'!C31+'08'!P31+'08'!C78+'08'!P78)+('09'!C31+'09'!P31+'09'!C78+'09'!P78)</f>
        <v>0</v>
      </c>
      <c r="E23" s="10">
        <f>('01'!D31+'01'!Q31+'01'!D78+'01'!Q78)+('02'!D31+'02'!Q31+'02'!D78+'02'!Q78)+('03'!D31+'03'!Q31+'03'!D78+'03'!Q78)+('04'!D31+'04'!Q31+'04'!D78+'04'!Q78)+('05'!D31+'05'!Q31+'05'!D78+'05'!Q78)+('06'!D31+'06'!Q31+'06'!D78+'06'!Q78)+('07'!D31+'07'!Q31+'07'!D78+'07'!Q78)+('08'!D31+'08'!Q31+'08'!D78+'08'!Q78)+('09'!D31+'09'!Q31+'09'!D78+'09'!Q78)</f>
        <v>0</v>
      </c>
      <c r="F23" s="10">
        <f>('01'!E31+'01'!R31+'01'!E78+'01'!R78)+('02'!E31+'02'!R31+'02'!E78+'02'!R78)+('03'!E31+'03'!R31+'03'!E78+'03'!R78)+('04'!E31+'04'!R31+'04'!E78+'04'!R78)+('05'!E31+'05'!R31+'05'!E78+'05'!R78)+('06'!E31+'06'!R31+'06'!E78+'06'!R78)+('07'!E31+'07'!R31+'07'!E78+'07'!R78)+('08'!E31+'08'!R31+'08'!E78+'08'!R78)+('09'!E31+'09'!R31+'09'!E78+'09'!R78)</f>
        <v>0</v>
      </c>
      <c r="G23" s="10">
        <f>('01'!F31+'01'!S31+'01'!F78+'01'!S78)+('02'!F31+'02'!S31+'02'!F78+'02'!S78)+('03'!F31+'03'!S31+'03'!F78+'03'!S78)+('04'!F31+'04'!S31+'04'!F78+'04'!S78)+('05'!F31+'05'!S31+'05'!F78+'05'!S78)+('06'!F31+'06'!S31+'06'!F78+'06'!S78)+('07'!F31+'07'!S31+'07'!F78+'07'!S78)+('08'!F31+'08'!S31+'08'!F78+'08'!S78)+('09'!F31+'09'!S31+'09'!F78+'09'!S78)</f>
        <v>20</v>
      </c>
      <c r="H23" s="10">
        <f>('01'!G31+'01'!T31+'01'!G78+'01'!T78)+('02'!G31+'02'!T31+'02'!G78+'02'!T78)+('03'!G31+'03'!T31+'03'!G78+'03'!T78)+('04'!G31+'04'!T31+'04'!G78+'04'!T78)+('05'!G31+'05'!T31+'05'!G78+'05'!T78)+('06'!G31+'06'!T31+'06'!G78+'06'!T78)+('07'!G31+'07'!T31+'07'!G78+'07'!T78)+('08'!G31+'08'!T31+'08'!G78+'08'!T78)+('09'!G31+'09'!T31+'09'!G78+'09'!T78)</f>
        <v>9</v>
      </c>
      <c r="I23" s="10">
        <f>('01'!H31+'01'!U31+'01'!H78+'01'!U78)+('02'!H31+'02'!U31+'02'!H78+'02'!U78)+('03'!H31+'03'!U31+'03'!H78+'03'!U78)+('04'!H31+'04'!U31+'04'!H78+'04'!U78)+('05'!H31+'05'!U31+'05'!H78+'05'!U78)+('06'!H31+'06'!U31+'06'!H78+'06'!U78)+('07'!H31+'07'!U31+'07'!H78+'07'!U78)+('08'!H31+'08'!U31+'08'!H78+'08'!U78)+('09'!H31+'09'!U31+'09'!H78+'09'!U78)</f>
        <v>0</v>
      </c>
      <c r="J23" s="10">
        <f>('01'!I31+'01'!V31+'01'!I78+'01'!V78)+('02'!I31+'02'!V31+'02'!I78+'02'!V78)+('03'!I31+'03'!V31+'03'!I78+'03'!V78)+('04'!I31+'04'!V31+'04'!I78+'04'!V78)+('05'!I31+'05'!V31+'05'!I78+'05'!V78)+('06'!I31+'06'!V31+'06'!I78+'06'!V78)+('07'!I31+'07'!V31+'07'!I78+'07'!V78)+('08'!I31+'08'!V31+'08'!I78+'08'!V78)+('09'!I31+'09'!V31+'09'!I78+'09'!V78)</f>
        <v>0</v>
      </c>
      <c r="K23" s="10">
        <f>('01'!J31+'01'!W31+'01'!J78+'01'!W78)+('02'!J31+'02'!W31+'02'!J78+'02'!W78)+('03'!J31+'03'!W31+'03'!J78+'03'!W78)+('04'!J31+'04'!W31+'04'!J78+'04'!W78)+('05'!J31+'05'!W31+'05'!J78+'05'!W78)+('06'!J31+'06'!W31+'06'!J78+'06'!W78)+('07'!J31+'07'!W31+'07'!J78+'07'!W78)+('08'!J31+'08'!W31+'08'!J78+'08'!W78)+('09'!J31+'09'!W31+'09'!J78+'09'!W78)</f>
        <v>0</v>
      </c>
      <c r="L23" s="10">
        <f>('01'!K31+'01'!X31+'01'!K78+'01'!X78)+('02'!K31+'02'!X31+'02'!K78+'02'!X78)+('03'!K31+'03'!X31+'03'!K78+'03'!X78)+('04'!K31+'04'!X31+'04'!K78+'04'!X78)+('05'!K31+'05'!X31+'05'!K78+'05'!X78)+('06'!K31+'06'!X31+'06'!K78+'06'!X78)+('07'!K31+'07'!X31+'07'!K78+'07'!X78)+('08'!K31+'08'!X31+'08'!K78+'08'!X78)+('09'!K31+'09'!X31+'09'!K78+'09'!X78)</f>
        <v>0</v>
      </c>
      <c r="M23">
        <f t="shared" si="0"/>
        <v>29</v>
      </c>
      <c r="N23" s="42">
        <f t="shared" si="1"/>
        <v>725</v>
      </c>
    </row>
    <row r="24" spans="2:14" ht="19.5" customHeight="1" x14ac:dyDescent="0.25">
      <c r="B24" s="41" t="s">
        <v>39</v>
      </c>
      <c r="C24" s="10">
        <f>('01'!B32+'01'!O32+'01'!B79+'01'!O79)+('02'!B32+'02'!O32+'02'!B79+'02'!O79)+('03'!B32+'03'!O32+'03'!B79+'03'!O79)+('04'!B32+'04'!O32+'04'!B79+'04'!O79)+('05'!B32+'05'!O32+'05'!B79+'05'!O79)+('06'!B32+'06'!O32+'06'!B79+'06'!O79)+('07'!B32+'07'!O32+'07'!B79+'07'!O79)+('08'!B32+'08'!O32+'08'!B79+'08'!O79)+('09'!B32+'09'!O32+'09'!B79+'09'!O79)</f>
        <v>0</v>
      </c>
      <c r="D24" s="10">
        <f>('01'!C32+'01'!P32+'01'!C79+'01'!P79)+('02'!C32+'02'!P32+'02'!C79+'02'!P79)+('03'!C32+'03'!P32+'03'!C79+'03'!P79)+('04'!C32+'04'!P32+'04'!C79+'04'!P79)+('05'!C32+'05'!P32+'05'!C79+'05'!P79)+('06'!C32+'06'!P32+'06'!C79+'06'!P79)+('07'!C32+'07'!P32+'07'!C79+'07'!P79)+('08'!C32+'08'!P32+'08'!C79+'08'!P79)+('09'!C32+'09'!P32+'09'!C79+'09'!P79)</f>
        <v>0</v>
      </c>
      <c r="E24" s="10">
        <f>('01'!D32+'01'!Q32+'01'!D79+'01'!Q79)+('02'!D32+'02'!Q32+'02'!D79+'02'!Q79)+('03'!D32+'03'!Q32+'03'!D79+'03'!Q79)+('04'!D32+'04'!Q32+'04'!D79+'04'!Q79)+('05'!D32+'05'!Q32+'05'!D79+'05'!Q79)+('06'!D32+'06'!Q32+'06'!D79+'06'!Q79)+('07'!D32+'07'!Q32+'07'!D79+'07'!Q79)+('08'!D32+'08'!Q32+'08'!D79+'08'!Q79)+('09'!D32+'09'!Q32+'09'!D79+'09'!Q79)</f>
        <v>0</v>
      </c>
      <c r="F24" s="10">
        <f>('01'!E32+'01'!R32+'01'!E79+'01'!R79)+('02'!E32+'02'!R32+'02'!E79+'02'!R79)+('03'!E32+'03'!R32+'03'!E79+'03'!R79)+('04'!E32+'04'!R32+'04'!E79+'04'!R79)+('05'!E32+'05'!R32+'05'!E79+'05'!R79)+('06'!E32+'06'!R32+'06'!E79+'06'!R79)+('07'!E32+'07'!R32+'07'!E79+'07'!R79)+('08'!E32+'08'!R32+'08'!E79+'08'!R79)+('09'!E32+'09'!R32+'09'!E79+'09'!R79)</f>
        <v>0</v>
      </c>
      <c r="G24" s="10">
        <f>('01'!F32+'01'!S32+'01'!F79+'01'!S79)+('02'!F32+'02'!S32+'02'!F79+'02'!S79)+('03'!F32+'03'!S32+'03'!F79+'03'!S79)+('04'!F32+'04'!S32+'04'!F79+'04'!S79)+('05'!F32+'05'!S32+'05'!F79+'05'!S79)+('06'!F32+'06'!S32+'06'!F79+'06'!S79)+('07'!F32+'07'!S32+'07'!F79+'07'!S79)+('08'!F32+'08'!S32+'08'!F79+'08'!S79)+('09'!F32+'09'!S32+'09'!F79+'09'!S79)</f>
        <v>15</v>
      </c>
      <c r="H24" s="10">
        <f>('01'!G32+'01'!T32+'01'!G79+'01'!T79)+('02'!G32+'02'!T32+'02'!G79+'02'!T79)+('03'!G32+'03'!T32+'03'!G79+'03'!T79)+('04'!G32+'04'!T32+'04'!G79+'04'!T79)+('05'!G32+'05'!T32+'05'!G79+'05'!T79)+('06'!G32+'06'!T32+'06'!G79+'06'!T79)+('07'!G32+'07'!T32+'07'!G79+'07'!T79)+('08'!G32+'08'!T32+'08'!G79+'08'!T79)+('09'!G32+'09'!T32+'09'!G79+'09'!T79)</f>
        <v>11</v>
      </c>
      <c r="I24" s="10">
        <f>('01'!H32+'01'!U32+'01'!H79+'01'!U79)+('02'!H32+'02'!U32+'02'!H79+'02'!U79)+('03'!H32+'03'!U32+'03'!H79+'03'!U79)+('04'!H32+'04'!U32+'04'!H79+'04'!U79)+('05'!H32+'05'!U32+'05'!H79+'05'!U79)+('06'!H32+'06'!U32+'06'!H79+'06'!U79)+('07'!H32+'07'!U32+'07'!H79+'07'!U79)+('08'!H32+'08'!U32+'08'!H79+'08'!U79)+('09'!H32+'09'!U32+'09'!H79+'09'!U79)</f>
        <v>0</v>
      </c>
      <c r="J24" s="10">
        <f>('01'!I32+'01'!V32+'01'!I79+'01'!V79)+('02'!I32+'02'!V32+'02'!I79+'02'!V79)+('03'!I32+'03'!V32+'03'!I79+'03'!V79)+('04'!I32+'04'!V32+'04'!I79+'04'!V79)+('05'!I32+'05'!V32+'05'!I79+'05'!V79)+('06'!I32+'06'!V32+'06'!I79+'06'!V79)+('07'!I32+'07'!V32+'07'!I79+'07'!V79)+('08'!I32+'08'!V32+'08'!I79+'08'!V79)+('09'!I32+'09'!V32+'09'!I79+'09'!V79)</f>
        <v>0</v>
      </c>
      <c r="K24" s="10">
        <f>('01'!J32+'01'!W32+'01'!J79+'01'!W79)+('02'!J32+'02'!W32+'02'!J79+'02'!W79)+('03'!J32+'03'!W32+'03'!J79+'03'!W79)+('04'!J32+'04'!W32+'04'!J79+'04'!W79)+('05'!J32+'05'!W32+'05'!J79+'05'!W79)+('06'!J32+'06'!W32+'06'!J79+'06'!W79)+('07'!J32+'07'!W32+'07'!J79+'07'!W79)+('08'!J32+'08'!W32+'08'!J79+'08'!W79)+('09'!J32+'09'!W32+'09'!J79+'09'!W79)</f>
        <v>0</v>
      </c>
      <c r="L24" s="10">
        <f>('01'!K32+'01'!X32+'01'!K79+'01'!X79)+('02'!K32+'02'!X32+'02'!K79+'02'!X79)+('03'!K32+'03'!X32+'03'!K79+'03'!X79)+('04'!K32+'04'!X32+'04'!K79+'04'!X79)+('05'!K32+'05'!X32+'05'!K79+'05'!X79)+('06'!K32+'06'!X32+'06'!K79+'06'!X79)+('07'!K32+'07'!X32+'07'!K79+'07'!X79)+('08'!K32+'08'!X32+'08'!K79+'08'!X79)+('09'!K32+'09'!X32+'09'!K79+'09'!X79)</f>
        <v>0</v>
      </c>
      <c r="M24">
        <f t="shared" si="0"/>
        <v>26</v>
      </c>
      <c r="N24" s="42">
        <f t="shared" si="1"/>
        <v>650</v>
      </c>
    </row>
    <row r="25" spans="2:14" ht="19.5" customHeight="1" x14ac:dyDescent="0.25">
      <c r="B25" s="41" t="s">
        <v>40</v>
      </c>
      <c r="C25" s="10">
        <f>('01'!B33+'01'!O33+'01'!B80+'01'!O80)+('02'!B33+'02'!O33+'02'!B80+'02'!O80)+('03'!B33+'03'!O33+'03'!B80+'03'!O80)+('04'!B33+'04'!O33+'04'!B80+'04'!O80)+('05'!B33+'05'!O33+'05'!B80+'05'!O80)+('06'!B33+'06'!O33+'06'!B80+'06'!O80)+('07'!B33+'07'!O33+'07'!B80+'07'!O80)+('08'!B33+'08'!O33+'08'!B80+'08'!O80)+('09'!B33+'09'!O33+'09'!B80+'09'!O80)</f>
        <v>0</v>
      </c>
      <c r="D25" s="10">
        <f>('01'!C33+'01'!P33+'01'!C80+'01'!P80)+('02'!C33+'02'!P33+'02'!C80+'02'!P80)+('03'!C33+'03'!P33+'03'!C80+'03'!P80)+('04'!C33+'04'!P33+'04'!C80+'04'!P80)+('05'!C33+'05'!P33+'05'!C80+'05'!P80)+('06'!C33+'06'!P33+'06'!C80+'06'!P80)+('07'!C33+'07'!P33+'07'!C80+'07'!P80)+('08'!C33+'08'!P33+'08'!C80+'08'!P80)+('09'!C33+'09'!P33+'09'!C80+'09'!P80)</f>
        <v>0</v>
      </c>
      <c r="E25" s="10">
        <f>('01'!D33+'01'!Q33+'01'!D80+'01'!Q80)+('02'!D33+'02'!Q33+'02'!D80+'02'!Q80)+('03'!D33+'03'!Q33+'03'!D80+'03'!Q80)+('04'!D33+'04'!Q33+'04'!D80+'04'!Q80)+('05'!D33+'05'!Q33+'05'!D80+'05'!Q80)+('06'!D33+'06'!Q33+'06'!D80+'06'!Q80)+('07'!D33+'07'!Q33+'07'!D80+'07'!Q80)+('08'!D33+'08'!Q33+'08'!D80+'08'!Q80)+('09'!D33+'09'!Q33+'09'!D80+'09'!Q80)</f>
        <v>0</v>
      </c>
      <c r="F25" s="10">
        <f>('01'!E33+'01'!R33+'01'!E80+'01'!R80)+('02'!E33+'02'!R33+'02'!E80+'02'!R80)+('03'!E33+'03'!R33+'03'!E80+'03'!R80)+('04'!E33+'04'!R33+'04'!E80+'04'!R80)+('05'!E33+'05'!R33+'05'!E80+'05'!R80)+('06'!E33+'06'!R33+'06'!E80+'06'!R80)+('07'!E33+'07'!R33+'07'!E80+'07'!R80)+('08'!E33+'08'!R33+'08'!E80+'08'!R80)+('09'!E33+'09'!R33+'09'!E80+'09'!R80)</f>
        <v>0</v>
      </c>
      <c r="G25" s="10">
        <f>('01'!F33+'01'!S33+'01'!F80+'01'!S80)+('02'!F33+'02'!S33+'02'!F80+'02'!S80)+('03'!F33+'03'!S33+'03'!F80+'03'!S80)+('04'!F33+'04'!S33+'04'!F80+'04'!S80)+('05'!F33+'05'!S33+'05'!F80+'05'!S80)+('06'!F33+'06'!S33+'06'!F80+'06'!S80)+('07'!F33+'07'!S33+'07'!F80+'07'!S80)+('08'!F33+'08'!S33+'08'!F80+'08'!S80)+('09'!F33+'09'!S33+'09'!F80+'09'!S80)</f>
        <v>13</v>
      </c>
      <c r="H25" s="10">
        <f>('01'!G33+'01'!T33+'01'!G80+'01'!T80)+('02'!G33+'02'!T33+'02'!G80+'02'!T80)+('03'!G33+'03'!T33+'03'!G80+'03'!T80)+('04'!G33+'04'!T33+'04'!G80+'04'!T80)+('05'!G33+'05'!T33+'05'!G80+'05'!T80)+('06'!G33+'06'!T33+'06'!G80+'06'!T80)+('07'!G33+'07'!T33+'07'!G80+'07'!T80)+('08'!G33+'08'!T33+'08'!G80+'08'!T80)+('09'!G33+'09'!T33+'09'!G80+'09'!T80)</f>
        <v>6</v>
      </c>
      <c r="I25" s="10">
        <f>('01'!H33+'01'!U33+'01'!H80+'01'!U80)+('02'!H33+'02'!U33+'02'!H80+'02'!U80)+('03'!H33+'03'!U33+'03'!H80+'03'!U80)+('04'!H33+'04'!U33+'04'!H80+'04'!U80)+('05'!H33+'05'!U33+'05'!H80+'05'!U80)+('06'!H33+'06'!U33+'06'!H80+'06'!U80)+('07'!H33+'07'!U33+'07'!H80+'07'!U80)+('08'!H33+'08'!U33+'08'!H80+'08'!U80)+('09'!H33+'09'!U33+'09'!H80+'09'!U80)</f>
        <v>6</v>
      </c>
      <c r="J25" s="10">
        <f>('01'!I33+'01'!V33+'01'!I80+'01'!V80)+('02'!I33+'02'!V33+'02'!I80+'02'!V80)+('03'!I33+'03'!V33+'03'!I80+'03'!V80)+('04'!I33+'04'!V33+'04'!I80+'04'!V80)+('05'!I33+'05'!V33+'05'!I80+'05'!V80)+('06'!I33+'06'!V33+'06'!I80+'06'!V80)+('07'!I33+'07'!V33+'07'!I80+'07'!V80)+('08'!I33+'08'!V33+'08'!I80+'08'!V80)+('09'!I33+'09'!V33+'09'!I80+'09'!V80)</f>
        <v>0</v>
      </c>
      <c r="K25" s="10">
        <f>('01'!J33+'01'!W33+'01'!J80+'01'!W80)+('02'!J33+'02'!W33+'02'!J80+'02'!W80)+('03'!J33+'03'!W33+'03'!J80+'03'!W80)+('04'!J33+'04'!W33+'04'!J80+'04'!W80)+('05'!J33+'05'!W33+'05'!J80+'05'!W80)+('06'!J33+'06'!W33+'06'!J80+'06'!W80)+('07'!J33+'07'!W33+'07'!J80+'07'!W80)+('08'!J33+'08'!W33+'08'!J80+'08'!W80)+('09'!J33+'09'!W33+'09'!J80+'09'!W80)</f>
        <v>0</v>
      </c>
      <c r="L25" s="10">
        <f>('01'!K33+'01'!X33+'01'!K80+'01'!X80)+('02'!K33+'02'!X33+'02'!K80+'02'!X80)+('03'!K33+'03'!X33+'03'!K80+'03'!X80)+('04'!K33+'04'!X33+'04'!K80+'04'!X80)+('05'!K33+'05'!X33+'05'!K80+'05'!X80)+('06'!K33+'06'!X33+'06'!K80+'06'!X80)+('07'!K33+'07'!X33+'07'!K80+'07'!X80)+('08'!K33+'08'!X33+'08'!K80+'08'!X80)+('09'!K33+'09'!X33+'09'!K80+'09'!X80)</f>
        <v>0</v>
      </c>
      <c r="M25">
        <f t="shared" si="0"/>
        <v>25</v>
      </c>
      <c r="N25" s="42">
        <f t="shared" si="1"/>
        <v>625</v>
      </c>
    </row>
    <row r="26" spans="2:14" ht="19.5" customHeight="1" thickBot="1" x14ac:dyDescent="0.3">
      <c r="B26" s="43" t="s">
        <v>41</v>
      </c>
      <c r="C26" s="44">
        <f>('01'!B34+'01'!O34+'01'!B81+'01'!O81)+('02'!B34+'02'!O34+'02'!B81+'02'!O81)+('03'!B34+'03'!O34+'03'!B81+'03'!O81)+('04'!B34+'04'!O34+'04'!B81+'04'!O81)+('05'!B34+'05'!O34+'05'!B81+'05'!O81)+('06'!B34+'06'!O34+'06'!B81+'06'!O81)+('07'!B34+'07'!O34+'07'!B81+'07'!O81)+('08'!B34+'08'!O34+'08'!B81+'08'!O81)+('09'!B34+'09'!O34+'09'!B81+'09'!O81)</f>
        <v>0</v>
      </c>
      <c r="D26" s="44">
        <f>('01'!C34+'01'!P34+'01'!C81+'01'!P81)+('02'!C34+'02'!P34+'02'!C81+'02'!P81)+('03'!C34+'03'!P34+'03'!C81+'03'!P81)+('04'!C34+'04'!P34+'04'!C81+'04'!P81)+('05'!C34+'05'!P34+'05'!C81+'05'!P81)+('06'!C34+'06'!P34+'06'!C81+'06'!P81)+('07'!C34+'07'!P34+'07'!C81+'07'!P81)+('08'!C34+'08'!P34+'08'!C81+'08'!P81)+('09'!C34+'09'!P34+'09'!C81+'09'!P81)</f>
        <v>0</v>
      </c>
      <c r="E26" s="44">
        <f>('01'!D34+'01'!Q34+'01'!D81+'01'!Q81)+('02'!D34+'02'!Q34+'02'!D81+'02'!Q81)+('03'!D34+'03'!Q34+'03'!D81+'03'!Q81)+('04'!D34+'04'!Q34+'04'!D81+'04'!Q81)+('05'!D34+'05'!Q34+'05'!D81+'05'!Q81)+('06'!D34+'06'!Q34+'06'!D81+'06'!Q81)+('07'!D34+'07'!Q34+'07'!D81+'07'!Q81)+('08'!D34+'08'!Q34+'08'!D81+'08'!Q81)+('09'!D34+'09'!Q34+'09'!D81+'09'!Q81)</f>
        <v>0</v>
      </c>
      <c r="F26" s="44">
        <f>('01'!E34+'01'!R34+'01'!E81+'01'!R81)+('02'!E34+'02'!R34+'02'!E81+'02'!R81)+('03'!E34+'03'!R34+'03'!E81+'03'!R81)+('04'!E34+'04'!R34+'04'!E81+'04'!R81)+('05'!E34+'05'!R34+'05'!E81+'05'!R81)+('06'!E34+'06'!R34+'06'!E81+'06'!R81)+('07'!E34+'07'!R34+'07'!E81+'07'!R81)+('08'!E34+'08'!R34+'08'!E81+'08'!R81)+('09'!E34+'09'!R34+'09'!E81+'09'!R81)</f>
        <v>0</v>
      </c>
      <c r="G26" s="44">
        <f>('01'!F34+'01'!S34+'01'!F81+'01'!S81)+('02'!F34+'02'!S34+'02'!F81+'02'!S81)+('03'!F34+'03'!S34+'03'!F81+'03'!S81)+('04'!F34+'04'!S34+'04'!F81+'04'!S81)+('05'!F34+'05'!S34+'05'!F81+'05'!S81)+('06'!F34+'06'!S34+'06'!F81+'06'!S81)+('07'!F34+'07'!S34+'07'!F81+'07'!S81)+('08'!F34+'08'!S34+'08'!F81+'08'!S81)+('09'!F34+'09'!S34+'09'!F81+'09'!S81)</f>
        <v>13</v>
      </c>
      <c r="H26" s="44">
        <f>('01'!G34+'01'!T34+'01'!G81+'01'!T81)+('02'!G34+'02'!T34+'02'!G81+'02'!T81)+('03'!G34+'03'!T34+'03'!G81+'03'!T81)+('04'!G34+'04'!T34+'04'!G81+'04'!T81)+('05'!G34+'05'!T34+'05'!G81+'05'!T81)+('06'!G34+'06'!T34+'06'!G81+'06'!T81)+('07'!G34+'07'!T34+'07'!G81+'07'!T81)+('08'!G34+'08'!T34+'08'!G81+'08'!T81)+('09'!G34+'09'!T34+'09'!G81+'09'!T81)</f>
        <v>6</v>
      </c>
      <c r="I26" s="44">
        <f>('01'!H34+'01'!U34+'01'!H81+'01'!U81)+('02'!H34+'02'!U34+'02'!H81+'02'!U81)+('03'!H34+'03'!U34+'03'!H81+'03'!U81)+('04'!H34+'04'!U34+'04'!H81+'04'!U81)+('05'!H34+'05'!U34+'05'!H81+'05'!U81)+('06'!H34+'06'!U34+'06'!H81+'06'!U81)+('07'!H34+'07'!U34+'07'!H81+'07'!U81)+('08'!H34+'08'!U34+'08'!H81+'08'!U81)+('09'!H34+'09'!U34+'09'!H81+'09'!U81)</f>
        <v>6</v>
      </c>
      <c r="J26" s="44">
        <f>('01'!I34+'01'!V34+'01'!I81+'01'!V81)+('02'!I34+'02'!V34+'02'!I81+'02'!V81)+('03'!I34+'03'!V34+'03'!I81+'03'!V81)+('04'!I34+'04'!V34+'04'!I81+'04'!V81)+('05'!I34+'05'!V34+'05'!I81+'05'!V81)+('06'!I34+'06'!V34+'06'!I81+'06'!V81)+('07'!I34+'07'!V34+'07'!I81+'07'!V81)+('08'!I34+'08'!V34+'08'!I81+'08'!V81)+('09'!I34+'09'!V34+'09'!I81+'09'!V81)</f>
        <v>0</v>
      </c>
      <c r="K26" s="44">
        <f>('01'!J34+'01'!W34+'01'!J81+'01'!W81)+('02'!J34+'02'!W34+'02'!J81+'02'!W81)+('03'!J34+'03'!W34+'03'!J81+'03'!W81)+('04'!J34+'04'!W34+'04'!J81+'04'!W81)+('05'!J34+'05'!W34+'05'!J81+'05'!W81)+('06'!J34+'06'!W34+'06'!J81+'06'!W81)+('07'!J34+'07'!W34+'07'!J81+'07'!W81)+('08'!J34+'08'!W34+'08'!J81+'08'!W81)+('09'!J34+'09'!W34+'09'!J81+'09'!W81)</f>
        <v>0</v>
      </c>
      <c r="L26" s="44">
        <f>('01'!K34+'01'!X34+'01'!K81+'01'!X81)+('02'!K34+'02'!X34+'02'!K81+'02'!X81)+('03'!K34+'03'!X34+'03'!K81+'03'!X81)+('04'!K34+'04'!X34+'04'!K81+'04'!X81)+('05'!K34+'05'!X34+'05'!K81+'05'!X81)+('06'!K34+'06'!X34+'06'!K81+'06'!X81)+('07'!K34+'07'!X34+'07'!K81+'07'!X81)+('08'!K34+'08'!X34+'08'!K81+'08'!X81)+('09'!K34+'09'!X34+'09'!K81+'09'!X81)</f>
        <v>0</v>
      </c>
      <c r="M26" s="45">
        <f t="shared" si="0"/>
        <v>25</v>
      </c>
      <c r="N26" s="46">
        <f t="shared" si="1"/>
        <v>625</v>
      </c>
    </row>
    <row r="27" spans="2:14" ht="19.5" customHeight="1" x14ac:dyDescent="0.25">
      <c r="B27" s="37" t="s">
        <v>43</v>
      </c>
      <c r="C27" s="38">
        <f>('01'!B35+'01'!O35+'01'!B82+'01'!O82)+('02'!B35+'02'!O35+'02'!B82+'02'!O82)+('03'!B35+'03'!O35+'03'!B82+'03'!O82)+('04'!B35+'04'!O35+'04'!B82+'04'!O82)+('05'!B35+'05'!O35+'05'!B82+'05'!O82)+('06'!B35+'06'!O35+'06'!B82+'06'!O82)+('07'!B35+'07'!O35+'07'!B82+'07'!O82)+('08'!B35+'08'!O35+'08'!B82+'08'!O82)+('09'!B35+'09'!O35+'09'!B82+'09'!O82)</f>
        <v>0</v>
      </c>
      <c r="D27" s="38">
        <f>('01'!C35+'01'!P35+'01'!C82+'01'!P82)+('02'!C35+'02'!P35+'02'!C82+'02'!P82)+('03'!C35+'03'!P35+'03'!C82+'03'!P82)+('04'!C35+'04'!P35+'04'!C82+'04'!P82)+('05'!C35+'05'!P35+'05'!C82+'05'!P82)+('06'!C35+'06'!P35+'06'!C82+'06'!P82)+('07'!C35+'07'!P35+'07'!C82+'07'!P82)+('08'!C35+'08'!P35+'08'!C82+'08'!P82)+('09'!C35+'09'!P35+'09'!C82+'09'!P82)</f>
        <v>0</v>
      </c>
      <c r="E27" s="38">
        <f>('01'!D35+'01'!Q35+'01'!D82+'01'!Q82)+('02'!D35+'02'!Q35+'02'!D82+'02'!Q82)+('03'!D35+'03'!Q35+'03'!D82+'03'!Q82)+('04'!D35+'04'!Q35+'04'!D82+'04'!Q82)+('05'!D35+'05'!Q35+'05'!D82+'05'!Q82)+('06'!D35+'06'!Q35+'06'!D82+'06'!Q82)+('07'!D35+'07'!Q35+'07'!D82+'07'!Q82)+('08'!D35+'08'!Q35+'08'!D82+'08'!Q82)+('09'!D35+'09'!Q35+'09'!D82+'09'!Q82)</f>
        <v>0</v>
      </c>
      <c r="F27" s="38">
        <f>('01'!E35+'01'!R35+'01'!E82+'01'!R82)+('02'!E35+'02'!R35+'02'!E82+'02'!R82)+('03'!E35+'03'!R35+'03'!E82+'03'!R82)+('04'!E35+'04'!R35+'04'!E82+'04'!R82)+('05'!E35+'05'!R35+'05'!E82+'05'!R82)+('06'!E35+'06'!R35+'06'!E82+'06'!R82)+('07'!E35+'07'!R35+'07'!E82+'07'!R82)+('08'!E35+'08'!R35+'08'!E82+'08'!R82)+('09'!E35+'09'!R35+'09'!E82+'09'!R82)</f>
        <v>0</v>
      </c>
      <c r="G27" s="38">
        <f>('01'!F35+'01'!S35+'01'!F82+'01'!S82)+('02'!F35+'02'!S35+'02'!F82+'02'!S82)+('03'!F35+'03'!S35+'03'!F82+'03'!S82)+('04'!F35+'04'!S35+'04'!F82+'04'!S82)+('05'!F35+'05'!S35+'05'!F82+'05'!S82)+('06'!F35+'06'!S35+'06'!F82+'06'!S82)+('07'!F35+'07'!S35+'07'!F82+'07'!S82)+('08'!F35+'08'!S35+'08'!F82+'08'!S82)+('09'!F35+'09'!S35+'09'!F82+'09'!S82)</f>
        <v>10</v>
      </c>
      <c r="H27" s="38">
        <f>('01'!G35+'01'!T35+'01'!G82+'01'!T82)+('02'!G35+'02'!T35+'02'!G82+'02'!T82)+('03'!G35+'03'!T35+'03'!G82+'03'!T82)+('04'!G35+'04'!T35+'04'!G82+'04'!T82)+('05'!G35+'05'!T35+'05'!G82+'05'!T82)+('06'!G35+'06'!T35+'06'!G82+'06'!T82)+('07'!G35+'07'!T35+'07'!G82+'07'!T82)+('08'!G35+'08'!T35+'08'!G82+'08'!T82)+('09'!G35+'09'!T35+'09'!G82+'09'!T82)</f>
        <v>6</v>
      </c>
      <c r="I27" s="38">
        <f>('01'!H35+'01'!U35+'01'!H82+'01'!U82)+('02'!H35+'02'!U35+'02'!H82+'02'!U82)+('03'!H35+'03'!U35+'03'!H82+'03'!U82)+('04'!H35+'04'!U35+'04'!H82+'04'!U82)+('05'!H35+'05'!U35+'05'!H82+'05'!U82)+('06'!H35+'06'!U35+'06'!H82+'06'!U82)+('07'!H35+'07'!U35+'07'!H82+'07'!U82)+('08'!H35+'08'!U35+'08'!H82+'08'!U82)+('09'!H35+'09'!U35+'09'!H82+'09'!U82)</f>
        <v>6</v>
      </c>
      <c r="J27" s="38">
        <f>('01'!I35+'01'!V35+'01'!I82+'01'!V82)+('02'!I35+'02'!V35+'02'!I82+'02'!V82)+('03'!I35+'03'!V35+'03'!I82+'03'!V82)+('04'!I35+'04'!V35+'04'!I82+'04'!V82)+('05'!I35+'05'!V35+'05'!I82+'05'!V82)+('06'!I35+'06'!V35+'06'!I82+'06'!V82)+('07'!I35+'07'!V35+'07'!I82+'07'!V82)+('08'!I35+'08'!V35+'08'!I82+'08'!V82)+('09'!I35+'09'!V35+'09'!I82+'09'!V82)</f>
        <v>0</v>
      </c>
      <c r="K27" s="38">
        <f>('01'!J35+'01'!W35+'01'!J82+'01'!W82)+('02'!J35+'02'!W35+'02'!J82+'02'!W82)+('03'!J35+'03'!W35+'03'!J82+'03'!W82)+('04'!J35+'04'!W35+'04'!J82+'04'!W82)+('05'!J35+'05'!W35+'05'!J82+'05'!W82)+('06'!J35+'06'!W35+'06'!J82+'06'!W82)+('07'!J35+'07'!W35+'07'!J82+'07'!W82)+('08'!J35+'08'!W35+'08'!J82+'08'!W82)+('09'!J35+'09'!W35+'09'!J82+'09'!W82)</f>
        <v>0</v>
      </c>
      <c r="L27" s="38">
        <f>('01'!K35+'01'!X35+'01'!K82+'01'!X82)+('02'!K35+'02'!X35+'02'!K82+'02'!X82)+('03'!K35+'03'!X35+'03'!K82+'03'!X82)+('04'!K35+'04'!X35+'04'!K82+'04'!X82)+('05'!K35+'05'!X35+'05'!K82+'05'!X82)+('06'!K35+'06'!X35+'06'!K82+'06'!X82)+('07'!K35+'07'!X35+'07'!K82+'07'!X82)+('08'!K35+'08'!X35+'08'!K82+'08'!X82)+('09'!K35+'09'!X35+'09'!K82+'09'!X82)</f>
        <v>0</v>
      </c>
      <c r="M27" s="39">
        <f t="shared" si="0"/>
        <v>22</v>
      </c>
      <c r="N27" s="40">
        <f t="shared" si="1"/>
        <v>550</v>
      </c>
    </row>
    <row r="28" spans="2:14" ht="19.5" customHeight="1" x14ac:dyDescent="0.25">
      <c r="B28" s="41" t="s">
        <v>44</v>
      </c>
      <c r="C28" s="10">
        <f>('01'!B36+'01'!O36+'01'!B83+'01'!O83)+('02'!B36+'02'!O36+'02'!B83+'02'!O83)+('03'!B36+'03'!O36+'03'!B83+'03'!O83)+('04'!B36+'04'!O36+'04'!B83+'04'!O83)+('05'!B36+'05'!O36+'05'!B83+'05'!O83)+('06'!B36+'06'!O36+'06'!B83+'06'!O83)+('07'!B36+'07'!O36+'07'!B83+'07'!O83)+('08'!B36+'08'!O36+'08'!B83+'08'!O83)+('09'!B36+'09'!O36+'09'!B83+'09'!O83)</f>
        <v>0</v>
      </c>
      <c r="D28" s="10">
        <f>('01'!C36+'01'!P36+'01'!C83+'01'!P83)+('02'!C36+'02'!P36+'02'!C83+'02'!P83)+('03'!C36+'03'!P36+'03'!C83+'03'!P83)+('04'!C36+'04'!P36+'04'!C83+'04'!P83)+('05'!C36+'05'!P36+'05'!C83+'05'!P83)+('06'!C36+'06'!P36+'06'!C83+'06'!P83)+('07'!C36+'07'!P36+'07'!C83+'07'!P83)+('08'!C36+'08'!P36+'08'!C83+'08'!P83)+('09'!C36+'09'!P36+'09'!C83+'09'!P83)</f>
        <v>0</v>
      </c>
      <c r="E28" s="10">
        <f>('01'!D36+'01'!Q36+'01'!D83+'01'!Q83)+('02'!D36+'02'!Q36+'02'!D83+'02'!Q83)+('03'!D36+'03'!Q36+'03'!D83+'03'!Q83)+('04'!D36+'04'!Q36+'04'!D83+'04'!Q83)+('05'!D36+'05'!Q36+'05'!D83+'05'!Q83)+('06'!D36+'06'!Q36+'06'!D83+'06'!Q83)+('07'!D36+'07'!Q36+'07'!D83+'07'!Q83)+('08'!D36+'08'!Q36+'08'!D83+'08'!Q83)+('09'!D36+'09'!Q36+'09'!D83+'09'!Q83)</f>
        <v>0</v>
      </c>
      <c r="F28" s="10">
        <f>('01'!E36+'01'!R36+'01'!E83+'01'!R83)+('02'!E36+'02'!R36+'02'!E83+'02'!R83)+('03'!E36+'03'!R36+'03'!E83+'03'!R83)+('04'!E36+'04'!R36+'04'!E83+'04'!R83)+('05'!E36+'05'!R36+'05'!E83+'05'!R83)+('06'!E36+'06'!R36+'06'!E83+'06'!R83)+('07'!E36+'07'!R36+'07'!E83+'07'!R83)+('08'!E36+'08'!R36+'08'!E83+'08'!R83)+('09'!E36+'09'!R36+'09'!E83+'09'!R83)</f>
        <v>0</v>
      </c>
      <c r="G28" s="10">
        <f>('01'!F36+'01'!S36+'01'!F83+'01'!S83)+('02'!F36+'02'!S36+'02'!F83+'02'!S83)+('03'!F36+'03'!S36+'03'!F83+'03'!S83)+('04'!F36+'04'!S36+'04'!F83+'04'!S83)+('05'!F36+'05'!S36+'05'!F83+'05'!S83)+('06'!F36+'06'!S36+'06'!F83+'06'!S83)+('07'!F36+'07'!S36+'07'!F83+'07'!S83)+('08'!F36+'08'!S36+'08'!F83+'08'!S83)+('09'!F36+'09'!S36+'09'!F83+'09'!S83)</f>
        <v>4</v>
      </c>
      <c r="H28" s="10">
        <f>('01'!G36+'01'!T36+'01'!G83+'01'!T83)+('02'!G36+'02'!T36+'02'!G83+'02'!T83)+('03'!G36+'03'!T36+'03'!G83+'03'!T83)+('04'!G36+'04'!T36+'04'!G83+'04'!T83)+('05'!G36+'05'!T36+'05'!G83+'05'!T83)+('06'!G36+'06'!T36+'06'!G83+'06'!T83)+('07'!G36+'07'!T36+'07'!G83+'07'!T83)+('08'!G36+'08'!T36+'08'!G83+'08'!T83)+('09'!G36+'09'!T36+'09'!G83+'09'!T83)</f>
        <v>6</v>
      </c>
      <c r="I28" s="10">
        <f>('01'!H36+'01'!U36+'01'!H83+'01'!U83)+('02'!H36+'02'!U36+'02'!H83+'02'!U83)+('03'!H36+'03'!U36+'03'!H83+'03'!U83)+('04'!H36+'04'!U36+'04'!H83+'04'!U83)+('05'!H36+'05'!U36+'05'!H83+'05'!U83)+('06'!H36+'06'!U36+'06'!H83+'06'!U83)+('07'!H36+'07'!U36+'07'!H83+'07'!U83)+('08'!H36+'08'!U36+'08'!H83+'08'!U83)+('09'!H36+'09'!U36+'09'!H83+'09'!U83)</f>
        <v>6</v>
      </c>
      <c r="J28" s="10">
        <f>('01'!I36+'01'!V36+'01'!I83+'01'!V83)+('02'!I36+'02'!V36+'02'!I83+'02'!V83)+('03'!I36+'03'!V36+'03'!I83+'03'!V83)+('04'!I36+'04'!V36+'04'!I83+'04'!V83)+('05'!I36+'05'!V36+'05'!I83+'05'!V83)+('06'!I36+'06'!V36+'06'!I83+'06'!V83)+('07'!I36+'07'!V36+'07'!I83+'07'!V83)+('08'!I36+'08'!V36+'08'!I83+'08'!V83)+('09'!I36+'09'!V36+'09'!I83+'09'!V83)</f>
        <v>0</v>
      </c>
      <c r="K28" s="10">
        <f>('01'!J36+'01'!W36+'01'!J83+'01'!W83)+('02'!J36+'02'!W36+'02'!J83+'02'!W83)+('03'!J36+'03'!W36+'03'!J83+'03'!W83)+('04'!J36+'04'!W36+'04'!J83+'04'!W83)+('05'!J36+'05'!W36+'05'!J83+'05'!W83)+('06'!J36+'06'!W36+'06'!J83+'06'!W83)+('07'!J36+'07'!W36+'07'!J83+'07'!W83)+('08'!J36+'08'!W36+'08'!J83+'08'!W83)+('09'!J36+'09'!W36+'09'!J83+'09'!W83)</f>
        <v>0</v>
      </c>
      <c r="L28" s="10">
        <f>('01'!K36+'01'!X36+'01'!K83+'01'!X83)+('02'!K36+'02'!X36+'02'!K83+'02'!X83)+('03'!K36+'03'!X36+'03'!K83+'03'!X83)+('04'!K36+'04'!X36+'04'!K83+'04'!X83)+('05'!K36+'05'!X36+'05'!K83+'05'!X83)+('06'!K36+'06'!X36+'06'!K83+'06'!X83)+('07'!K36+'07'!X36+'07'!K83+'07'!X83)+('08'!K36+'08'!X36+'08'!K83+'08'!X83)+('09'!K36+'09'!X36+'09'!K83+'09'!X83)</f>
        <v>0</v>
      </c>
      <c r="M28">
        <f t="shared" si="0"/>
        <v>16</v>
      </c>
      <c r="N28" s="42">
        <f t="shared" si="1"/>
        <v>400</v>
      </c>
    </row>
    <row r="29" spans="2:14" ht="19.5" customHeight="1" x14ac:dyDescent="0.25">
      <c r="B29" s="41" t="s">
        <v>45</v>
      </c>
      <c r="C29" s="10">
        <f>('01'!B37+'01'!O37+'01'!B84+'01'!O84)+('02'!B37+'02'!O37+'02'!B84+'02'!O84)+('03'!B37+'03'!O37+'03'!B84+'03'!O84)+('04'!B37+'04'!O37+'04'!B84+'04'!O84)+('05'!B37+'05'!O37+'05'!B84+'05'!O84)+('06'!B37+'06'!O37+'06'!B84+'06'!O84)+('07'!B37+'07'!O37+'07'!B84+'07'!O84)+('08'!B37+'08'!O37+'08'!B84+'08'!O84)+('09'!B37+'09'!O37+'09'!B84+'09'!O84)</f>
        <v>0</v>
      </c>
      <c r="D29" s="10">
        <f>('01'!C37+'01'!P37+'01'!C84+'01'!P84)+('02'!C37+'02'!P37+'02'!C84+'02'!P84)+('03'!C37+'03'!P37+'03'!C84+'03'!P84)+('04'!C37+'04'!P37+'04'!C84+'04'!P84)+('05'!C37+'05'!P37+'05'!C84+'05'!P84)+('06'!C37+'06'!P37+'06'!C84+'06'!P84)+('07'!C37+'07'!P37+'07'!C84+'07'!P84)+('08'!C37+'08'!P37+'08'!C84+'08'!P84)+('09'!C37+'09'!P37+'09'!C84+'09'!P84)</f>
        <v>0</v>
      </c>
      <c r="E29" s="10">
        <f>('01'!D37+'01'!Q37+'01'!D84+'01'!Q84)+('02'!D37+'02'!Q37+'02'!D84+'02'!Q84)+('03'!D37+'03'!Q37+'03'!D84+'03'!Q84)+('04'!D37+'04'!Q37+'04'!D84+'04'!Q84)+('05'!D37+'05'!Q37+'05'!D84+'05'!Q84)+('06'!D37+'06'!Q37+'06'!D84+'06'!Q84)+('07'!D37+'07'!Q37+'07'!D84+'07'!Q84)+('08'!D37+'08'!Q37+'08'!D84+'08'!Q84)+('09'!D37+'09'!Q37+'09'!D84+'09'!Q84)</f>
        <v>0</v>
      </c>
      <c r="F29" s="10">
        <f>('01'!E37+'01'!R37+'01'!E84+'01'!R84)+('02'!E37+'02'!R37+'02'!E84+'02'!R84)+('03'!E37+'03'!R37+'03'!E84+'03'!R84)+('04'!E37+'04'!R37+'04'!E84+'04'!R84)+('05'!E37+'05'!R37+'05'!E84+'05'!R84)+('06'!E37+'06'!R37+'06'!E84+'06'!R84)+('07'!E37+'07'!R37+'07'!E84+'07'!R84)+('08'!E37+'08'!R37+'08'!E84+'08'!R84)+('09'!E37+'09'!R37+'09'!E84+'09'!R84)</f>
        <v>0</v>
      </c>
      <c r="G29" s="10">
        <f>('01'!F37+'01'!S37+'01'!F84+'01'!S84)+('02'!F37+'02'!S37+'02'!F84+'02'!S84)+('03'!F37+'03'!S37+'03'!F84+'03'!S84)+('04'!F37+'04'!S37+'04'!F84+'04'!S84)+('05'!F37+'05'!S37+'05'!F84+'05'!S84)+('06'!F37+'06'!S37+'06'!F84+'06'!S84)+('07'!F37+'07'!S37+'07'!F84+'07'!S84)+('08'!F37+'08'!S37+'08'!F84+'08'!S84)+('09'!F37+'09'!S37+'09'!F84+'09'!S84)</f>
        <v>17</v>
      </c>
      <c r="H29" s="10">
        <f>('01'!G37+'01'!T37+'01'!G84+'01'!T84)+('02'!G37+'02'!T37+'02'!G84+'02'!T84)+('03'!G37+'03'!T37+'03'!G84+'03'!T84)+('04'!G37+'04'!T37+'04'!G84+'04'!T84)+('05'!G37+'05'!T37+'05'!G84+'05'!T84)+('06'!G37+'06'!T37+'06'!G84+'06'!T84)+('07'!G37+'07'!T37+'07'!G84+'07'!T84)+('08'!G37+'08'!T37+'08'!G84+'08'!T84)+('09'!G37+'09'!T37+'09'!G84+'09'!T84)</f>
        <v>9</v>
      </c>
      <c r="I29" s="10">
        <f>('01'!H37+'01'!U37+'01'!H84+'01'!U84)+('02'!H37+'02'!U37+'02'!H84+'02'!U84)+('03'!H37+'03'!U37+'03'!H84+'03'!U84)+('04'!H37+'04'!U37+'04'!H84+'04'!U84)+('05'!H37+'05'!U37+'05'!H84+'05'!U84)+('06'!H37+'06'!U37+'06'!H84+'06'!U84)+('07'!H37+'07'!U37+'07'!H84+'07'!U84)+('08'!H37+'08'!U37+'08'!H84+'08'!U84)+('09'!H37+'09'!U37+'09'!H84+'09'!U84)</f>
        <v>0</v>
      </c>
      <c r="J29" s="10">
        <f>('01'!I37+'01'!V37+'01'!I84+'01'!V84)+('02'!I37+'02'!V37+'02'!I84+'02'!V84)+('03'!I37+'03'!V37+'03'!I84+'03'!V84)+('04'!I37+'04'!V37+'04'!I84+'04'!V84)+('05'!I37+'05'!V37+'05'!I84+'05'!V84)+('06'!I37+'06'!V37+'06'!I84+'06'!V84)+('07'!I37+'07'!V37+'07'!I84+'07'!V84)+('08'!I37+'08'!V37+'08'!I84+'08'!V84)+('09'!I37+'09'!V37+'09'!I84+'09'!V84)</f>
        <v>0</v>
      </c>
      <c r="K29" s="10">
        <f>('01'!J37+'01'!W37+'01'!J84+'01'!W84)+('02'!J37+'02'!W37+'02'!J84+'02'!W84)+('03'!J37+'03'!W37+'03'!J84+'03'!W84)+('04'!J37+'04'!W37+'04'!J84+'04'!W84)+('05'!J37+'05'!W37+'05'!J84+'05'!W84)+('06'!J37+'06'!W37+'06'!J84+'06'!W84)+('07'!J37+'07'!W37+'07'!J84+'07'!W84)+('08'!J37+'08'!W37+'08'!J84+'08'!W84)+('09'!J37+'09'!W37+'09'!J84+'09'!W84)</f>
        <v>0</v>
      </c>
      <c r="L29" s="10">
        <f>('01'!K37+'01'!X37+'01'!K84+'01'!X84)+('02'!K37+'02'!X37+'02'!K84+'02'!X84)+('03'!K37+'03'!X37+'03'!K84+'03'!X84)+('04'!K37+'04'!X37+'04'!K84+'04'!X84)+('05'!K37+'05'!X37+'05'!K84+'05'!X84)+('06'!K37+'06'!X37+'06'!K84+'06'!X84)+('07'!K37+'07'!X37+'07'!K84+'07'!X84)+('08'!K37+'08'!X37+'08'!K84+'08'!X84)+('09'!K37+'09'!X37+'09'!K84+'09'!X84)</f>
        <v>0</v>
      </c>
      <c r="M29">
        <f t="shared" si="0"/>
        <v>26</v>
      </c>
      <c r="N29" s="42">
        <f t="shared" si="1"/>
        <v>650</v>
      </c>
    </row>
    <row r="30" spans="2:14" ht="19.5" customHeight="1" x14ac:dyDescent="0.25">
      <c r="B30" s="41" t="s">
        <v>46</v>
      </c>
      <c r="C30" s="10">
        <f>('01'!B38+'01'!O38+'01'!B85+'01'!O85)+('02'!B38+'02'!O38+'02'!B85+'02'!O85)+('03'!B38+'03'!O38+'03'!B85+'03'!O85)+('04'!B38+'04'!O38+'04'!B85+'04'!O85)+('05'!B38+'05'!O38+'05'!B85+'05'!O85)+('06'!B38+'06'!O38+'06'!B85+'06'!O85)+('07'!B38+'07'!O38+'07'!B85+'07'!O85)+('08'!B38+'08'!O38+'08'!B85+'08'!O85)+('09'!B38+'09'!O38+'09'!B85+'09'!O85)</f>
        <v>0</v>
      </c>
      <c r="D30" s="10">
        <f>('01'!C38+'01'!P38+'01'!C85+'01'!P85)+('02'!C38+'02'!P38+'02'!C85+'02'!P85)+('03'!C38+'03'!P38+'03'!C85+'03'!P85)+('04'!C38+'04'!P38+'04'!C85+'04'!P85)+('05'!C38+'05'!P38+'05'!C85+'05'!P85)+('06'!C38+'06'!P38+'06'!C85+'06'!P85)+('07'!C38+'07'!P38+'07'!C85+'07'!P85)+('08'!C38+'08'!P38+'08'!C85+'08'!P85)+('09'!C38+'09'!P38+'09'!C85+'09'!P85)</f>
        <v>0</v>
      </c>
      <c r="E30" s="10">
        <f>('01'!D38+'01'!Q38+'01'!D85+'01'!Q85)+('02'!D38+'02'!Q38+'02'!D85+'02'!Q85)+('03'!D38+'03'!Q38+'03'!D85+'03'!Q85)+('04'!D38+'04'!Q38+'04'!D85+'04'!Q85)+('05'!D38+'05'!Q38+'05'!D85+'05'!Q85)+('06'!D38+'06'!Q38+'06'!D85+'06'!Q85)+('07'!D38+'07'!Q38+'07'!D85+'07'!Q85)+('08'!D38+'08'!Q38+'08'!D85+'08'!Q85)+('09'!D38+'09'!Q38+'09'!D85+'09'!Q85)</f>
        <v>0</v>
      </c>
      <c r="F30" s="10">
        <f>('01'!E38+'01'!R38+'01'!E85+'01'!R85)+('02'!E38+'02'!R38+'02'!E85+'02'!R85)+('03'!E38+'03'!R38+'03'!E85+'03'!R85)+('04'!E38+'04'!R38+'04'!E85+'04'!R85)+('05'!E38+'05'!R38+'05'!E85+'05'!R85)+('06'!E38+'06'!R38+'06'!E85+'06'!R85)+('07'!E38+'07'!R38+'07'!E85+'07'!R85)+('08'!E38+'08'!R38+'08'!E85+'08'!R85)+('09'!E38+'09'!R38+'09'!E85+'09'!R85)</f>
        <v>0</v>
      </c>
      <c r="G30" s="10">
        <f>('01'!F38+'01'!S38+'01'!F85+'01'!S85)+('02'!F38+'02'!S38+'02'!F85+'02'!S85)+('03'!F38+'03'!S38+'03'!F85+'03'!S85)+('04'!F38+'04'!S38+'04'!F85+'04'!S85)+('05'!F38+'05'!S38+'05'!F85+'05'!S85)+('06'!F38+'06'!S38+'06'!F85+'06'!S85)+('07'!F38+'07'!S38+'07'!F85+'07'!S85)+('08'!F38+'08'!S38+'08'!F85+'08'!S85)+('09'!F38+'09'!S38+'09'!F85+'09'!S85)</f>
        <v>17</v>
      </c>
      <c r="H30" s="10">
        <f>('01'!G38+'01'!T38+'01'!G85+'01'!T85)+('02'!G38+'02'!T38+'02'!G85+'02'!T85)+('03'!G38+'03'!T38+'03'!G85+'03'!T85)+('04'!G38+'04'!T38+'04'!G85+'04'!T85)+('05'!G38+'05'!T38+'05'!G85+'05'!T85)+('06'!G38+'06'!T38+'06'!G85+'06'!T85)+('07'!G38+'07'!T38+'07'!G85+'07'!T85)+('08'!G38+'08'!T38+'08'!G85+'08'!T85)+('09'!G38+'09'!T38+'09'!G85+'09'!T85)</f>
        <v>9</v>
      </c>
      <c r="I30" s="10">
        <f>('01'!H38+'01'!U38+'01'!H85+'01'!U85)+('02'!H38+'02'!U38+'02'!H85+'02'!U85)+('03'!H38+'03'!U38+'03'!H85+'03'!U85)+('04'!H38+'04'!U38+'04'!H85+'04'!U85)+('05'!H38+'05'!U38+'05'!H85+'05'!U85)+('06'!H38+'06'!U38+'06'!H85+'06'!U85)+('07'!H38+'07'!U38+'07'!H85+'07'!U85)+('08'!H38+'08'!U38+'08'!H85+'08'!U85)+('09'!H38+'09'!U38+'09'!H85+'09'!U85)</f>
        <v>0</v>
      </c>
      <c r="J30" s="10">
        <f>('01'!I38+'01'!V38+'01'!I85+'01'!V85)+('02'!I38+'02'!V38+'02'!I85+'02'!V85)+('03'!I38+'03'!V38+'03'!I85+'03'!V85)+('04'!I38+'04'!V38+'04'!I85+'04'!V85)+('05'!I38+'05'!V38+'05'!I85+'05'!V85)+('06'!I38+'06'!V38+'06'!I85+'06'!V85)+('07'!I38+'07'!V38+'07'!I85+'07'!V85)+('08'!I38+'08'!V38+'08'!I85+'08'!V85)+('09'!I38+'09'!V38+'09'!I85+'09'!V85)</f>
        <v>0</v>
      </c>
      <c r="K30" s="10">
        <f>('01'!J38+'01'!W38+'01'!J85+'01'!W85)+('02'!J38+'02'!W38+'02'!J85+'02'!W85)+('03'!J38+'03'!W38+'03'!J85+'03'!W85)+('04'!J38+'04'!W38+'04'!J85+'04'!W85)+('05'!J38+'05'!W38+'05'!J85+'05'!W85)+('06'!J38+'06'!W38+'06'!J85+'06'!W85)+('07'!J38+'07'!W38+'07'!J85+'07'!W85)+('08'!J38+'08'!W38+'08'!J85+'08'!W85)+('09'!J38+'09'!W38+'09'!J85+'09'!W85)</f>
        <v>0</v>
      </c>
      <c r="L30" s="10">
        <f>('01'!K38+'01'!X38+'01'!K85+'01'!X85)+('02'!K38+'02'!X38+'02'!K85+'02'!X85)+('03'!K38+'03'!X38+'03'!K85+'03'!X85)+('04'!K38+'04'!X38+'04'!K85+'04'!X85)+('05'!K38+'05'!X38+'05'!K85+'05'!X85)+('06'!K38+'06'!X38+'06'!K85+'06'!X85)+('07'!K38+'07'!X38+'07'!K85+'07'!X85)+('08'!K38+'08'!X38+'08'!K85+'08'!X85)+('09'!K38+'09'!X38+'09'!K85+'09'!X85)</f>
        <v>0</v>
      </c>
      <c r="M30">
        <f t="shared" si="0"/>
        <v>26</v>
      </c>
      <c r="N30" s="42">
        <f t="shared" si="1"/>
        <v>650</v>
      </c>
    </row>
    <row r="31" spans="2:14" ht="19.5" customHeight="1" x14ac:dyDescent="0.25">
      <c r="B31" s="41" t="s">
        <v>47</v>
      </c>
      <c r="C31" s="10">
        <f>('01'!B39+'01'!O39+'01'!B86+'01'!O86)+('02'!B39+'02'!O39+'02'!B86+'02'!O86)+('03'!B39+'03'!O39+'03'!B86+'03'!O86)+('04'!B39+'04'!O39+'04'!B86+'04'!O86)+('05'!B39+'05'!O39+'05'!B86+'05'!O86)+('06'!B39+'06'!O39+'06'!B86+'06'!O86)+('07'!B39+'07'!O39+'07'!B86+'07'!O86)+('08'!B39+'08'!O39+'08'!B86+'08'!O86)+('09'!B39+'09'!O39+'09'!B86+'09'!O86)</f>
        <v>0</v>
      </c>
      <c r="D31" s="10">
        <f>('01'!C39+'01'!P39+'01'!C86+'01'!P86)+('02'!C39+'02'!P39+'02'!C86+'02'!P86)+('03'!C39+'03'!P39+'03'!C86+'03'!P86)+('04'!C39+'04'!P39+'04'!C86+'04'!P86)+('05'!C39+'05'!P39+'05'!C86+'05'!P86)+('06'!C39+'06'!P39+'06'!C86+'06'!P86)+('07'!C39+'07'!P39+'07'!C86+'07'!P86)+('08'!C39+'08'!P39+'08'!C86+'08'!P86)+('09'!C39+'09'!P39+'09'!C86+'09'!P86)</f>
        <v>0</v>
      </c>
      <c r="E31" s="10">
        <f>('01'!D39+'01'!Q39+'01'!D86+'01'!Q86)+('02'!D39+'02'!Q39+'02'!D86+'02'!Q86)+('03'!D39+'03'!Q39+'03'!D86+'03'!Q86)+('04'!D39+'04'!Q39+'04'!D86+'04'!Q86)+('05'!D39+'05'!Q39+'05'!D86+'05'!Q86)+('06'!D39+'06'!Q39+'06'!D86+'06'!Q86)+('07'!D39+'07'!Q39+'07'!D86+'07'!Q86)+('08'!D39+'08'!Q39+'08'!D86+'08'!Q86)+('09'!D39+'09'!Q39+'09'!D86+'09'!Q86)</f>
        <v>0</v>
      </c>
      <c r="F31" s="10">
        <f>('01'!E39+'01'!R39+'01'!E86+'01'!R86)+('02'!E39+'02'!R39+'02'!E86+'02'!R86)+('03'!E39+'03'!R39+'03'!E86+'03'!R86)+('04'!E39+'04'!R39+'04'!E86+'04'!R86)+('05'!E39+'05'!R39+'05'!E86+'05'!R86)+('06'!E39+'06'!R39+'06'!E86+'06'!R86)+('07'!E39+'07'!R39+'07'!E86+'07'!R86)+('08'!E39+'08'!R39+'08'!E86+'08'!R86)+('09'!E39+'09'!R39+'09'!E86+'09'!R86)</f>
        <v>0</v>
      </c>
      <c r="G31" s="10">
        <f>('01'!F39+'01'!S39+'01'!F86+'01'!S86)+('02'!F39+'02'!S39+'02'!F86+'02'!S86)+('03'!F39+'03'!S39+'03'!F86+'03'!S86)+('04'!F39+'04'!S39+'04'!F86+'04'!S86)+('05'!F39+'05'!S39+'05'!F86+'05'!S86)+('06'!F39+'06'!S39+'06'!F86+'06'!S86)+('07'!F39+'07'!S39+'07'!F86+'07'!S86)+('08'!F39+'08'!S39+'08'!F86+'08'!S86)+('09'!F39+'09'!S39+'09'!F86+'09'!S86)</f>
        <v>4</v>
      </c>
      <c r="H31" s="10">
        <f>('01'!G39+'01'!T39+'01'!G86+'01'!T86)+('02'!G39+'02'!T39+'02'!G86+'02'!T86)+('03'!G39+'03'!T39+'03'!G86+'03'!T86)+('04'!G39+'04'!T39+'04'!G86+'04'!T86)+('05'!G39+'05'!T39+'05'!G86+'05'!T86)+('06'!G39+'06'!T39+'06'!G86+'06'!T86)+('07'!G39+'07'!T39+'07'!G86+'07'!T86)+('08'!G39+'08'!T39+'08'!G86+'08'!T86)+('09'!G39+'09'!T39+'09'!G86+'09'!T86)</f>
        <v>6</v>
      </c>
      <c r="I31" s="10">
        <f>('01'!H39+'01'!U39+'01'!H86+'01'!U86)+('02'!H39+'02'!U39+'02'!H86+'02'!U86)+('03'!H39+'03'!U39+'03'!H86+'03'!U86)+('04'!H39+'04'!U39+'04'!H86+'04'!U86)+('05'!H39+'05'!U39+'05'!H86+'05'!U86)+('06'!H39+'06'!U39+'06'!H86+'06'!U86)+('07'!H39+'07'!U39+'07'!H86+'07'!U86)+('08'!H39+'08'!U39+'08'!H86+'08'!U86)+('09'!H39+'09'!U39+'09'!H86+'09'!U86)</f>
        <v>6</v>
      </c>
      <c r="J31" s="10">
        <f>('01'!I39+'01'!V39+'01'!I86+'01'!V86)+('02'!I39+'02'!V39+'02'!I86+'02'!V86)+('03'!I39+'03'!V39+'03'!I86+'03'!V86)+('04'!I39+'04'!V39+'04'!I86+'04'!V86)+('05'!I39+'05'!V39+'05'!I86+'05'!V86)+('06'!I39+'06'!V39+'06'!I86+'06'!V86)+('07'!I39+'07'!V39+'07'!I86+'07'!V86)+('08'!I39+'08'!V39+'08'!I86+'08'!V86)+('09'!I39+'09'!V39+'09'!I86+'09'!V86)</f>
        <v>0</v>
      </c>
      <c r="K31" s="10">
        <f>('01'!J39+'01'!W39+'01'!J86+'01'!W86)+('02'!J39+'02'!W39+'02'!J86+'02'!W86)+('03'!J39+'03'!W39+'03'!J86+'03'!W86)+('04'!J39+'04'!W39+'04'!J86+'04'!W86)+('05'!J39+'05'!W39+'05'!J86+'05'!W86)+('06'!J39+'06'!W39+'06'!J86+'06'!W86)+('07'!J39+'07'!W39+'07'!J86+'07'!W86)+('08'!J39+'08'!W39+'08'!J86+'08'!W86)+('09'!J39+'09'!W39+'09'!J86+'09'!W86)</f>
        <v>0</v>
      </c>
      <c r="L31" s="10">
        <f>('01'!K39+'01'!X39+'01'!K86+'01'!X86)+('02'!K39+'02'!X39+'02'!K86+'02'!X86)+('03'!K39+'03'!X39+'03'!K86+'03'!X86)+('04'!K39+'04'!X39+'04'!K86+'04'!X86)+('05'!K39+'05'!X39+'05'!K86+'05'!X86)+('06'!K39+'06'!X39+'06'!K86+'06'!X86)+('07'!K39+'07'!X39+'07'!K86+'07'!X86)+('08'!K39+'08'!X39+'08'!K86+'08'!X86)+('09'!K39+'09'!X39+'09'!K86+'09'!X86)</f>
        <v>0</v>
      </c>
      <c r="M31">
        <f t="shared" si="0"/>
        <v>16</v>
      </c>
      <c r="N31" s="42">
        <f t="shared" si="1"/>
        <v>400</v>
      </c>
    </row>
    <row r="32" spans="2:14" ht="19.5" customHeight="1" thickBot="1" x14ac:dyDescent="0.3">
      <c r="B32" s="43" t="s">
        <v>48</v>
      </c>
      <c r="C32" s="44">
        <f>('01'!B40+'01'!O40+'01'!B87+'01'!O87)+('02'!B40+'02'!O40+'02'!B87+'02'!O87)+('03'!B40+'03'!O40+'03'!B87+'03'!O87)+('04'!B40+'04'!O40+'04'!B87+'04'!O87)+('05'!B40+'05'!O40+'05'!B87+'05'!O87)+('06'!B40+'06'!O40+'06'!B87+'06'!O87)+('07'!B40+'07'!O40+'07'!B87+'07'!O87)+('08'!B40+'08'!O40+'08'!B87+'08'!O87)+('09'!B40+'09'!O40+'09'!B87+'09'!O87)</f>
        <v>0</v>
      </c>
      <c r="D32" s="44">
        <f>('01'!C40+'01'!P40+'01'!C87+'01'!P87)+('02'!C40+'02'!P40+'02'!C87+'02'!P87)+('03'!C40+'03'!P40+'03'!C87+'03'!P87)+('04'!C40+'04'!P40+'04'!C87+'04'!P87)+('05'!C40+'05'!P40+'05'!C87+'05'!P87)+('06'!C40+'06'!P40+'06'!C87+'06'!P87)+('07'!C40+'07'!P40+'07'!C87+'07'!P87)+('08'!C40+'08'!P40+'08'!C87+'08'!P87)+('09'!C40+'09'!P40+'09'!C87+'09'!P87)</f>
        <v>0</v>
      </c>
      <c r="E32" s="44">
        <f>('01'!D40+'01'!Q40+'01'!D87+'01'!Q87)+('02'!D40+'02'!Q40+'02'!D87+'02'!Q87)+('03'!D40+'03'!Q40+'03'!D87+'03'!Q87)+('04'!D40+'04'!Q40+'04'!D87+'04'!Q87)+('05'!D40+'05'!Q40+'05'!D87+'05'!Q87)+('06'!D40+'06'!Q40+'06'!D87+'06'!Q87)+('07'!D40+'07'!Q40+'07'!D87+'07'!Q87)+('08'!D40+'08'!Q40+'08'!D87+'08'!Q87)+('09'!D40+'09'!Q40+'09'!D87+'09'!Q87)</f>
        <v>0</v>
      </c>
      <c r="F32" s="44">
        <f>('01'!E40+'01'!R40+'01'!E87+'01'!R87)+('02'!E40+'02'!R40+'02'!E87+'02'!R87)+('03'!E40+'03'!R40+'03'!E87+'03'!R87)+('04'!E40+'04'!R40+'04'!E87+'04'!R87)+('05'!E40+'05'!R40+'05'!E87+'05'!R87)+('06'!E40+'06'!R40+'06'!E87+'06'!R87)+('07'!E40+'07'!R40+'07'!E87+'07'!R87)+('08'!E40+'08'!R40+'08'!E87+'08'!R87)+('09'!E40+'09'!R40+'09'!E87+'09'!R87)</f>
        <v>0</v>
      </c>
      <c r="G32" s="44">
        <f>('01'!F40+'01'!S40+'01'!F87+'01'!S87)+('02'!F40+'02'!S40+'02'!F87+'02'!S87)+('03'!F40+'03'!S40+'03'!F87+'03'!S87)+('04'!F40+'04'!S40+'04'!F87+'04'!S87)+('05'!F40+'05'!S40+'05'!F87+'05'!S87)+('06'!F40+'06'!S40+'06'!F87+'06'!S87)+('07'!F40+'07'!S40+'07'!F87+'07'!S87)+('08'!F40+'08'!S40+'08'!F87+'08'!S87)+('09'!F40+'09'!S40+'09'!F87+'09'!S87)</f>
        <v>4</v>
      </c>
      <c r="H32" s="44">
        <f>('01'!G40+'01'!T40+'01'!G87+'01'!T87)+('02'!G40+'02'!T40+'02'!G87+'02'!T87)+('03'!G40+'03'!T40+'03'!G87+'03'!T87)+('04'!G40+'04'!T40+'04'!G87+'04'!T87)+('05'!G40+'05'!T40+'05'!G87+'05'!T87)+('06'!G40+'06'!T40+'06'!G87+'06'!T87)+('07'!G40+'07'!T40+'07'!G87+'07'!T87)+('08'!G40+'08'!T40+'08'!G87+'08'!T87)+('09'!G40+'09'!T40+'09'!G87+'09'!T87)</f>
        <v>6</v>
      </c>
      <c r="I32" s="44">
        <f>('01'!H40+'01'!U40+'01'!H87+'01'!U87)+('02'!H40+'02'!U40+'02'!H87+'02'!U87)+('03'!H40+'03'!U40+'03'!H87+'03'!U87)+('04'!H40+'04'!U40+'04'!H87+'04'!U87)+('05'!H40+'05'!U40+'05'!H87+'05'!U87)+('06'!H40+'06'!U40+'06'!H87+'06'!U87)+('07'!H40+'07'!U40+'07'!H87+'07'!U87)+('08'!H40+'08'!U40+'08'!H87+'08'!U87)+('09'!H40+'09'!U40+'09'!H87+'09'!U87)</f>
        <v>6</v>
      </c>
      <c r="J32" s="44">
        <f>('01'!I40+'01'!V40+'01'!I87+'01'!V87)+('02'!I40+'02'!V40+'02'!I87+'02'!V87)+('03'!I40+'03'!V40+'03'!I87+'03'!V87)+('04'!I40+'04'!V40+'04'!I87+'04'!V87)+('05'!I40+'05'!V40+'05'!I87+'05'!V87)+('06'!I40+'06'!V40+'06'!I87+'06'!V87)+('07'!I40+'07'!V40+'07'!I87+'07'!V87)+('08'!I40+'08'!V40+'08'!I87+'08'!V87)+('09'!I40+'09'!V40+'09'!I87+'09'!V87)</f>
        <v>0</v>
      </c>
      <c r="K32" s="44">
        <f>('01'!J40+'01'!W40+'01'!J87+'01'!W87)+('02'!J40+'02'!W40+'02'!J87+'02'!W87)+('03'!J40+'03'!W40+'03'!J87+'03'!W87)+('04'!J40+'04'!W40+'04'!J87+'04'!W87)+('05'!J40+'05'!W40+'05'!J87+'05'!W87)+('06'!J40+'06'!W40+'06'!J87+'06'!W87)+('07'!J40+'07'!W40+'07'!J87+'07'!W87)+('08'!J40+'08'!W40+'08'!J87+'08'!W87)+('09'!J40+'09'!W40+'09'!J87+'09'!W87)</f>
        <v>0</v>
      </c>
      <c r="L32" s="44">
        <f>('01'!K40+'01'!X40+'01'!K87+'01'!X87)+('02'!K40+'02'!X40+'02'!K87+'02'!X87)+('03'!K40+'03'!X40+'03'!K87+'03'!X87)+('04'!K40+'04'!X40+'04'!K87+'04'!X87)+('05'!K40+'05'!X40+'05'!K87+'05'!X87)+('06'!K40+'06'!X40+'06'!K87+'06'!X87)+('07'!K40+'07'!X40+'07'!K87+'07'!X87)+('08'!K40+'08'!X40+'08'!K87+'08'!X87)+('09'!K40+'09'!X40+'09'!K87+'09'!X87)</f>
        <v>0</v>
      </c>
      <c r="M32" s="45">
        <f t="shared" si="0"/>
        <v>16</v>
      </c>
      <c r="N32" s="46">
        <f t="shared" si="1"/>
        <v>400</v>
      </c>
    </row>
    <row r="33" spans="2:14" ht="19.5" customHeight="1" x14ac:dyDescent="0.25">
      <c r="B33" s="37" t="s">
        <v>50</v>
      </c>
      <c r="C33" s="38">
        <f>('01'!B41+'01'!O41+'01'!B88+'01'!O88)+('02'!B41+'02'!O41+'02'!B88+'02'!O88)+('03'!B41+'03'!O41+'03'!B88+'03'!O88)+('04'!B41+'04'!O41+'04'!B88+'04'!O88)+('05'!B41+'05'!O41+'05'!B88+'05'!O88)+('06'!B41+'06'!O41+'06'!B88+'06'!O88)+('07'!B41+'07'!O41+'07'!B88+'07'!O88)+('08'!B41+'08'!O41+'08'!B88+'08'!O88)+('09'!B41+'09'!O41+'09'!B88+'09'!O88)</f>
        <v>0</v>
      </c>
      <c r="D33" s="38">
        <f>('01'!C41+'01'!P41+'01'!C88+'01'!P88)+('02'!C41+'02'!P41+'02'!C88+'02'!P88)+('03'!C41+'03'!P41+'03'!C88+'03'!P88)+('04'!C41+'04'!P41+'04'!C88+'04'!P88)+('05'!C41+'05'!P41+'05'!C88+'05'!P88)+('06'!C41+'06'!P41+'06'!C88+'06'!P88)+('07'!C41+'07'!P41+'07'!C88+'07'!P88)+('08'!C41+'08'!P41+'08'!C88+'08'!P88)+('09'!C41+'09'!P41+'09'!C88+'09'!P88)</f>
        <v>0</v>
      </c>
      <c r="E33" s="38">
        <f>('01'!D41+'01'!Q41+'01'!D88+'01'!Q88)+('02'!D41+'02'!Q41+'02'!D88+'02'!Q88)+('03'!D41+'03'!Q41+'03'!D88+'03'!Q88)+('04'!D41+'04'!Q41+'04'!D88+'04'!Q88)+('05'!D41+'05'!Q41+'05'!D88+'05'!Q88)+('06'!D41+'06'!Q41+'06'!D88+'06'!Q88)+('07'!D41+'07'!Q41+'07'!D88+'07'!Q88)+('08'!D41+'08'!Q41+'08'!D88+'08'!Q88)+('09'!D41+'09'!Q41+'09'!D88+'09'!Q88)</f>
        <v>0</v>
      </c>
      <c r="F33" s="38">
        <f>('01'!E41+'01'!R41+'01'!E88+'01'!R88)+('02'!E41+'02'!R41+'02'!E88+'02'!R88)+('03'!E41+'03'!R41+'03'!E88+'03'!R88)+('04'!E41+'04'!R41+'04'!E88+'04'!R88)+('05'!E41+'05'!R41+'05'!E88+'05'!R88)+('06'!E41+'06'!R41+'06'!E88+'06'!R88)+('07'!E41+'07'!R41+'07'!E88+'07'!R88)+('08'!E41+'08'!R41+'08'!E88+'08'!R88)+('09'!E41+'09'!R41+'09'!E88+'09'!R88)</f>
        <v>0</v>
      </c>
      <c r="G33" s="38">
        <f>('01'!F41+'01'!S41+'01'!F88+'01'!S88)+('02'!F41+'02'!S41+'02'!F88+'02'!S88)+('03'!F41+'03'!S41+'03'!F88+'03'!S88)+('04'!F41+'04'!S41+'04'!F88+'04'!S88)+('05'!F41+'05'!S41+'05'!F88+'05'!S88)+('06'!F41+'06'!S41+'06'!F88+'06'!S88)+('07'!F41+'07'!S41+'07'!F88+'07'!S88)+('08'!F41+'08'!S41+'08'!F88+'08'!S88)+('09'!F41+'09'!S41+'09'!F88+'09'!S88)</f>
        <v>4</v>
      </c>
      <c r="H33" s="38">
        <f>('01'!G41+'01'!T41+'01'!G88+'01'!T88)+('02'!G41+'02'!T41+'02'!G88+'02'!T88)+('03'!G41+'03'!T41+'03'!G88+'03'!T88)+('04'!G41+'04'!T41+'04'!G88+'04'!T88)+('05'!G41+'05'!T41+'05'!G88+'05'!T88)+('06'!G41+'06'!T41+'06'!G88+'06'!T88)+('07'!G41+'07'!T41+'07'!G88+'07'!T88)+('08'!G41+'08'!T41+'08'!G88+'08'!T88)+('09'!G41+'09'!T41+'09'!G88+'09'!T88)</f>
        <v>6</v>
      </c>
      <c r="I33" s="38">
        <f>('01'!H41+'01'!U41+'01'!H88+'01'!U88)+('02'!H41+'02'!U41+'02'!H88+'02'!U88)+('03'!H41+'03'!U41+'03'!H88+'03'!U88)+('04'!H41+'04'!U41+'04'!H88+'04'!U88)+('05'!H41+'05'!U41+'05'!H88+'05'!U88)+('06'!H41+'06'!U41+'06'!H88+'06'!U88)+('07'!H41+'07'!U41+'07'!H88+'07'!U88)+('08'!H41+'08'!U41+'08'!H88+'08'!U88)+('09'!H41+'09'!U41+'09'!H88+'09'!U88)</f>
        <v>0</v>
      </c>
      <c r="J33" s="38">
        <f>('01'!I41+'01'!V41+'01'!I88+'01'!V88)+('02'!I41+'02'!V41+'02'!I88+'02'!V88)+('03'!I41+'03'!V41+'03'!I88+'03'!V88)+('04'!I41+'04'!V41+'04'!I88+'04'!V88)+('05'!I41+'05'!V41+'05'!I88+'05'!V88)+('06'!I41+'06'!V41+'06'!I88+'06'!V88)+('07'!I41+'07'!V41+'07'!I88+'07'!V88)+('08'!I41+'08'!V41+'08'!I88+'08'!V88)+('09'!I41+'09'!V41+'09'!I88+'09'!V88)</f>
        <v>0</v>
      </c>
      <c r="K33" s="38">
        <f>('01'!J41+'01'!W41+'01'!J88+'01'!W88)+('02'!J41+'02'!W41+'02'!J88+'02'!W88)+('03'!J41+'03'!W41+'03'!J88+'03'!W88)+('04'!J41+'04'!W41+'04'!J88+'04'!W88)+('05'!J41+'05'!W41+'05'!J88+'05'!W88)+('06'!J41+'06'!W41+'06'!J88+'06'!W88)+('07'!J41+'07'!W41+'07'!J88+'07'!W88)+('08'!J41+'08'!W41+'08'!J88+'08'!W88)+('09'!J41+'09'!W41+'09'!J88+'09'!W88)</f>
        <v>0</v>
      </c>
      <c r="L33" s="38">
        <f>('01'!K41+'01'!X41+'01'!K88+'01'!X88)+('02'!K41+'02'!X41+'02'!K88+'02'!X88)+('03'!K41+'03'!X41+'03'!K88+'03'!X88)+('04'!K41+'04'!X41+'04'!K88+'04'!X88)+('05'!K41+'05'!X41+'05'!K88+'05'!X88)+('06'!K41+'06'!X41+'06'!K88+'06'!X88)+('07'!K41+'07'!X41+'07'!K88+'07'!X88)+('08'!K41+'08'!X41+'08'!K88+'08'!X88)+('09'!K41+'09'!X41+'09'!K88+'09'!X88)</f>
        <v>0</v>
      </c>
      <c r="M33" s="39">
        <f t="shared" si="0"/>
        <v>10</v>
      </c>
      <c r="N33" s="40">
        <f t="shared" si="1"/>
        <v>250</v>
      </c>
    </row>
    <row r="34" spans="2:14" ht="19.5" customHeight="1" x14ac:dyDescent="0.25">
      <c r="B34" s="41" t="s">
        <v>74</v>
      </c>
      <c r="C34" s="10">
        <f>('01'!B42+'01'!O42+'01'!B89+'01'!O89)+('02'!B42+'02'!O42+'02'!B89+'02'!O89)+('03'!B42+'03'!O42+'03'!B89+'03'!O89)+('04'!B42+'04'!O42+'04'!B89+'04'!O89)+('05'!B42+'05'!O42+'05'!B89+'05'!O89)+('06'!B42+'06'!O42+'06'!B89+'06'!O89)+('07'!B42+'07'!O42+'07'!B89+'07'!O89)+('08'!B42+'08'!O42+'08'!B89+'08'!O89)+('09'!B42+'09'!O42+'09'!B89+'09'!O89)</f>
        <v>0</v>
      </c>
      <c r="D34" s="10">
        <f>('01'!C42+'01'!P42+'01'!C89+'01'!P89)+('02'!C42+'02'!P42+'02'!C89+'02'!P89)+('03'!C42+'03'!P42+'03'!C89+'03'!P89)+('04'!C42+'04'!P42+'04'!C89+'04'!P89)+('05'!C42+'05'!P42+'05'!C89+'05'!P89)+('06'!C42+'06'!P42+'06'!C89+'06'!P89)+('07'!C42+'07'!P42+'07'!C89+'07'!P89)+('08'!C42+'08'!P42+'08'!C89+'08'!P89)+('09'!C42+'09'!P42+'09'!C89+'09'!P89)</f>
        <v>8</v>
      </c>
      <c r="E34" s="10">
        <f>('01'!D42+'01'!Q42+'01'!D89+'01'!Q89)+('02'!D42+'02'!Q42+'02'!D89+'02'!Q89)+('03'!D42+'03'!Q42+'03'!D89+'03'!Q89)+('04'!D42+'04'!Q42+'04'!D89+'04'!Q89)+('05'!D42+'05'!Q42+'05'!D89+'05'!Q89)+('06'!D42+'06'!Q42+'06'!D89+'06'!Q89)+('07'!D42+'07'!Q42+'07'!D89+'07'!Q89)+('08'!D42+'08'!Q42+'08'!D89+'08'!Q89)+('09'!D42+'09'!Q42+'09'!D89+'09'!Q89)</f>
        <v>9</v>
      </c>
      <c r="F34" s="10">
        <f>('01'!E42+'01'!R42+'01'!E89+'01'!R89)+('02'!E42+'02'!R42+'02'!E89+'02'!R89)+('03'!E42+'03'!R42+'03'!E89+'03'!R89)+('04'!E42+'04'!R42+'04'!E89+'04'!R89)+('05'!E42+'05'!R42+'05'!E89+'05'!R89)+('06'!E42+'06'!R42+'06'!E89+'06'!R89)+('07'!E42+'07'!R42+'07'!E89+'07'!R89)+('08'!E42+'08'!R42+'08'!E89+'08'!R89)+('09'!E42+'09'!R42+'09'!E89+'09'!R89)</f>
        <v>0</v>
      </c>
      <c r="G34" s="10">
        <f>('01'!F42+'01'!S42+'01'!F89+'01'!S89)+('02'!F42+'02'!S42+'02'!F89+'02'!S89)+('03'!F42+'03'!S42+'03'!F89+'03'!S89)+('04'!F42+'04'!S42+'04'!F89+'04'!S89)+('05'!F42+'05'!S42+'05'!F89+'05'!S89)+('06'!F42+'06'!S42+'06'!F89+'06'!S89)+('07'!F42+'07'!S42+'07'!F89+'07'!S89)+('08'!F42+'08'!S42+'08'!F89+'08'!S89)+('09'!F42+'09'!S42+'09'!F89+'09'!S89)</f>
        <v>0</v>
      </c>
      <c r="H34" s="10">
        <f>('01'!G42+'01'!T42+'01'!G89+'01'!T89)+('02'!G42+'02'!T42+'02'!G89+'02'!T89)+('03'!G42+'03'!T42+'03'!G89+'03'!T89)+('04'!G42+'04'!T42+'04'!G89+'04'!T89)+('05'!G42+'05'!T42+'05'!G89+'05'!T89)+('06'!G42+'06'!T42+'06'!G89+'06'!T89)+('07'!G42+'07'!T42+'07'!G89+'07'!T89)+('08'!G42+'08'!T42+'08'!G89+'08'!T89)+('09'!G42+'09'!T42+'09'!G89+'09'!T89)</f>
        <v>0</v>
      </c>
      <c r="I34" s="10">
        <f>('01'!H42+'01'!U42+'01'!H89+'01'!U89)+('02'!H42+'02'!U42+'02'!H89+'02'!U89)+('03'!H42+'03'!U42+'03'!H89+'03'!U89)+('04'!H42+'04'!U42+'04'!H89+'04'!U89)+('05'!H42+'05'!U42+'05'!H89+'05'!U89)+('06'!H42+'06'!U42+'06'!H89+'06'!U89)+('07'!H42+'07'!U42+'07'!H89+'07'!U89)+('08'!H42+'08'!U42+'08'!H89+'08'!U89)+('09'!H42+'09'!U42+'09'!H89+'09'!U89)</f>
        <v>0</v>
      </c>
      <c r="J34" s="10">
        <f>('01'!I42+'01'!V42+'01'!I89+'01'!V89)+('02'!I42+'02'!V42+'02'!I89+'02'!V89)+('03'!I42+'03'!V42+'03'!I89+'03'!V89)+('04'!I42+'04'!V42+'04'!I89+'04'!V89)+('05'!I42+'05'!V42+'05'!I89+'05'!V89)+('06'!I42+'06'!V42+'06'!I89+'06'!V89)+('07'!I42+'07'!V42+'07'!I89+'07'!V89)+('08'!I42+'08'!V42+'08'!I89+'08'!V89)+('09'!I42+'09'!V42+'09'!I89+'09'!V89)</f>
        <v>0</v>
      </c>
      <c r="K34" s="10">
        <f>('01'!J42+'01'!W42+'01'!J89+'01'!W89)+('02'!J42+'02'!W42+'02'!J89+'02'!W89)+('03'!J42+'03'!W42+'03'!J89+'03'!W89)+('04'!J42+'04'!W42+'04'!J89+'04'!W89)+('05'!J42+'05'!W42+'05'!J89+'05'!W89)+('06'!J42+'06'!W42+'06'!J89+'06'!W89)+('07'!J42+'07'!W42+'07'!J89+'07'!W89)+('08'!J42+'08'!W42+'08'!J89+'08'!W89)+('09'!J42+'09'!W42+'09'!J89+'09'!W89)</f>
        <v>0</v>
      </c>
      <c r="L34" s="10">
        <f>('01'!K42+'01'!X42+'01'!K89+'01'!X89)+('02'!K42+'02'!X42+'02'!K89+'02'!X89)+('03'!K42+'03'!X42+'03'!K89+'03'!X89)+('04'!K42+'04'!X42+'04'!K89+'04'!X89)+('05'!K42+'05'!X42+'05'!K89+'05'!X89)+('06'!K42+'06'!X42+'06'!K89+'06'!X89)+('07'!K42+'07'!X42+'07'!K89+'07'!X89)+('08'!K42+'08'!X42+'08'!K89+'08'!X89)+('09'!K42+'09'!X42+'09'!K89+'09'!X89)</f>
        <v>0</v>
      </c>
      <c r="M34">
        <f t="shared" si="0"/>
        <v>17</v>
      </c>
      <c r="N34" s="42">
        <f t="shared" si="1"/>
        <v>425</v>
      </c>
    </row>
    <row r="35" spans="2:14" ht="19.5" customHeight="1" x14ac:dyDescent="0.25">
      <c r="B35" s="41" t="s">
        <v>52</v>
      </c>
      <c r="C35" s="10">
        <f>('01'!B43+'01'!O43+'01'!B90+'01'!O90)+('02'!B43+'02'!O43+'02'!B90+'02'!O90)+('03'!B43+'03'!O43+'03'!B90+'03'!O90)+('04'!B43+'04'!O43+'04'!B90+'04'!O90)+('05'!B43+'05'!O43+'05'!B90+'05'!O90)+('06'!B43+'06'!O43+'06'!B90+'06'!O90)+('07'!B43+'07'!O43+'07'!B90+'07'!O90)+('08'!B43+'08'!O43+'08'!B90+'08'!O90)+('09'!B43+'09'!O43+'09'!B90+'09'!O90)</f>
        <v>0</v>
      </c>
      <c r="D35" s="10">
        <f>('01'!C43+'01'!P43+'01'!C90+'01'!P90)+('02'!C43+'02'!P43+'02'!C90+'02'!P90)+('03'!C43+'03'!P43+'03'!C90+'03'!P90)+('04'!C43+'04'!P43+'04'!C90+'04'!P90)+('05'!C43+'05'!P43+'05'!C90+'05'!P90)+('06'!C43+'06'!P43+'06'!C90+'06'!P90)+('07'!C43+'07'!P43+'07'!C90+'07'!P90)+('08'!C43+'08'!P43+'08'!C90+'08'!P90)+('09'!C43+'09'!P43+'09'!C90+'09'!P90)</f>
        <v>0</v>
      </c>
      <c r="E35" s="10">
        <f>('01'!D43+'01'!Q43+'01'!D90+'01'!Q90)+('02'!D43+'02'!Q43+'02'!D90+'02'!Q90)+('03'!D43+'03'!Q43+'03'!D90+'03'!Q90)+('04'!D43+'04'!Q43+'04'!D90+'04'!Q90)+('05'!D43+'05'!Q43+'05'!D90+'05'!Q90)+('06'!D43+'06'!Q43+'06'!D90+'06'!Q90)+('07'!D43+'07'!Q43+'07'!D90+'07'!Q90)+('08'!D43+'08'!Q43+'08'!D90+'08'!Q90)+('09'!D43+'09'!Q43+'09'!D90+'09'!Q90)</f>
        <v>0</v>
      </c>
      <c r="F35" s="10">
        <f>('01'!E43+'01'!R43+'01'!E90+'01'!R90)+('02'!E43+'02'!R43+'02'!E90+'02'!R90)+('03'!E43+'03'!R43+'03'!E90+'03'!R90)+('04'!E43+'04'!R43+'04'!E90+'04'!R90)+('05'!E43+'05'!R43+'05'!E90+'05'!R90)+('06'!E43+'06'!R43+'06'!E90+'06'!R90)+('07'!E43+'07'!R43+'07'!E90+'07'!R90)+('08'!E43+'08'!R43+'08'!E90+'08'!R90)+('09'!E43+'09'!R43+'09'!E90+'09'!R90)</f>
        <v>0</v>
      </c>
      <c r="G35" s="10">
        <f>('01'!F43+'01'!S43+'01'!F90+'01'!S90)+('02'!F43+'02'!S43+'02'!F90+'02'!S90)+('03'!F43+'03'!S43+'03'!F90+'03'!S90)+('04'!F43+'04'!S43+'04'!F90+'04'!S90)+('05'!F43+'05'!S43+'05'!F90+'05'!S90)+('06'!F43+'06'!S43+'06'!F90+'06'!S90)+('07'!F43+'07'!S43+'07'!F90+'07'!S90)+('08'!F43+'08'!S43+'08'!F90+'08'!S90)+('09'!F43+'09'!S43+'09'!F90+'09'!S90)</f>
        <v>4</v>
      </c>
      <c r="H35" s="10">
        <f>('01'!G43+'01'!T43+'01'!G90+'01'!T90)+('02'!G43+'02'!T43+'02'!G90+'02'!T90)+('03'!G43+'03'!T43+'03'!G90+'03'!T90)+('04'!G43+'04'!T43+'04'!G90+'04'!T90)+('05'!G43+'05'!T43+'05'!G90+'05'!T90)+('06'!G43+'06'!T43+'06'!G90+'06'!T90)+('07'!G43+'07'!T43+'07'!G90+'07'!T90)+('08'!G43+'08'!T43+'08'!G90+'08'!T90)+('09'!G43+'09'!T43+'09'!G90+'09'!T90)</f>
        <v>6</v>
      </c>
      <c r="I35" s="10">
        <f>('01'!H43+'01'!U43+'01'!H90+'01'!U90)+('02'!H43+'02'!U43+'02'!H90+'02'!U90)+('03'!H43+'03'!U43+'03'!H90+'03'!U90)+('04'!H43+'04'!U43+'04'!H90+'04'!U90)+('05'!H43+'05'!U43+'05'!H90+'05'!U90)+('06'!H43+'06'!U43+'06'!H90+'06'!U90)+('07'!H43+'07'!U43+'07'!H90+'07'!U90)+('08'!H43+'08'!U43+'08'!H90+'08'!U90)+('09'!H43+'09'!U43+'09'!H90+'09'!U90)</f>
        <v>0</v>
      </c>
      <c r="J35" s="10">
        <f>('01'!I43+'01'!V43+'01'!I90+'01'!V90)+('02'!I43+'02'!V43+'02'!I90+'02'!V90)+('03'!I43+'03'!V43+'03'!I90+'03'!V90)+('04'!I43+'04'!V43+'04'!I90+'04'!V90)+('05'!I43+'05'!V43+'05'!I90+'05'!V90)+('06'!I43+'06'!V43+'06'!I90+'06'!V90)+('07'!I43+'07'!V43+'07'!I90+'07'!V90)+('08'!I43+'08'!V43+'08'!I90+'08'!V90)+('09'!I43+'09'!V43+'09'!I90+'09'!V90)</f>
        <v>0</v>
      </c>
      <c r="K35" s="10">
        <f>('01'!J43+'01'!W43+'01'!J90+'01'!W90)+('02'!J43+'02'!W43+'02'!J90+'02'!W90)+('03'!J43+'03'!W43+'03'!J90+'03'!W90)+('04'!J43+'04'!W43+'04'!J90+'04'!W90)+('05'!J43+'05'!W43+'05'!J90+'05'!W90)+('06'!J43+'06'!W43+'06'!J90+'06'!W90)+('07'!J43+'07'!W43+'07'!J90+'07'!W90)+('08'!J43+'08'!W43+'08'!J90+'08'!W90)+('09'!J43+'09'!W43+'09'!J90+'09'!W90)</f>
        <v>0</v>
      </c>
      <c r="L35" s="10">
        <f>('01'!K43+'01'!X43+'01'!K90+'01'!X90)+('02'!K43+'02'!X43+'02'!K90+'02'!X90)+('03'!K43+'03'!X43+'03'!K90+'03'!X90)+('04'!K43+'04'!X43+'04'!K90+'04'!X90)+('05'!K43+'05'!X43+'05'!K90+'05'!X90)+('06'!K43+'06'!X43+'06'!K90+'06'!X90)+('07'!K43+'07'!X43+'07'!K90+'07'!X90)+('08'!K43+'08'!X43+'08'!K90+'08'!X90)+('09'!K43+'09'!X43+'09'!K90+'09'!X90)</f>
        <v>0</v>
      </c>
      <c r="M35">
        <f t="shared" si="0"/>
        <v>10</v>
      </c>
      <c r="N35" s="42">
        <f t="shared" si="1"/>
        <v>250</v>
      </c>
    </row>
    <row r="36" spans="2:14" ht="19.5" customHeight="1" x14ac:dyDescent="0.25">
      <c r="B36" s="41" t="s">
        <v>53</v>
      </c>
      <c r="C36" s="10">
        <f>('01'!B44+'01'!O44+'01'!B91+'01'!O91)+('02'!B44+'02'!O44+'02'!B91+'02'!O91)+('03'!B44+'03'!O44+'03'!B91+'03'!O91)+('04'!B44+'04'!O44+'04'!B91+'04'!O91)+('05'!B44+'05'!O44+'05'!B91+'05'!O91)+('06'!B44+'06'!O44+'06'!B91+'06'!O91)+('07'!B44+'07'!O44+'07'!B91+'07'!O91)+('08'!B44+'08'!O44+'08'!B91+'08'!O91)+('09'!B44+'09'!O44+'09'!B91+'09'!O91)</f>
        <v>0</v>
      </c>
      <c r="D36" s="10">
        <f>('01'!C44+'01'!P44+'01'!C91+'01'!P91)+('02'!C44+'02'!P44+'02'!C91+'02'!P91)+('03'!C44+'03'!P44+'03'!C91+'03'!P91)+('04'!C44+'04'!P44+'04'!C91+'04'!P91)+('05'!C44+'05'!P44+'05'!C91+'05'!P91)+('06'!C44+'06'!P44+'06'!C91+'06'!P91)+('07'!C44+'07'!P44+'07'!C91+'07'!P91)+('08'!C44+'08'!P44+'08'!C91+'08'!P91)+('09'!C44+'09'!P44+'09'!C91+'09'!P91)</f>
        <v>0</v>
      </c>
      <c r="E36" s="10">
        <f>('01'!D44+'01'!Q44+'01'!D91+'01'!Q91)+('02'!D44+'02'!Q44+'02'!D91+'02'!Q91)+('03'!D44+'03'!Q44+'03'!D91+'03'!Q91)+('04'!D44+'04'!Q44+'04'!D91+'04'!Q91)+('05'!D44+'05'!Q44+'05'!D91+'05'!Q91)+('06'!D44+'06'!Q44+'06'!D91+'06'!Q91)+('07'!D44+'07'!Q44+'07'!D91+'07'!Q91)+('08'!D44+'08'!Q44+'08'!D91+'08'!Q91)+('09'!D44+'09'!Q44+'09'!D91+'09'!Q91)</f>
        <v>0</v>
      </c>
      <c r="F36" s="10">
        <f>('01'!E44+'01'!R44+'01'!E91+'01'!R91)+('02'!E44+'02'!R44+'02'!E91+'02'!R91)+('03'!E44+'03'!R44+'03'!E91+'03'!R91)+('04'!E44+'04'!R44+'04'!E91+'04'!R91)+('05'!E44+'05'!R44+'05'!E91+'05'!R91)+('06'!E44+'06'!R44+'06'!E91+'06'!R91)+('07'!E44+'07'!R44+'07'!E91+'07'!R91)+('08'!E44+'08'!R44+'08'!E91+'08'!R91)+('09'!E44+'09'!R44+'09'!E91+'09'!R91)</f>
        <v>0</v>
      </c>
      <c r="G36" s="10">
        <f>('01'!F44+'01'!S44+'01'!F91+'01'!S91)+('02'!F44+'02'!S44+'02'!F91+'02'!S91)+('03'!F44+'03'!S44+'03'!F91+'03'!S91)+('04'!F44+'04'!S44+'04'!F91+'04'!S91)+('05'!F44+'05'!S44+'05'!F91+'05'!S91)+('06'!F44+'06'!S44+'06'!F91+'06'!S91)+('07'!F44+'07'!S44+'07'!F91+'07'!S91)+('08'!F44+'08'!S44+'08'!F91+'08'!S91)+('09'!F44+'09'!S44+'09'!F91+'09'!S91)</f>
        <v>3</v>
      </c>
      <c r="H36" s="10">
        <f>('01'!G44+'01'!T44+'01'!G91+'01'!T91)+('02'!G44+'02'!T44+'02'!G91+'02'!T91)+('03'!G44+'03'!T44+'03'!G91+'03'!T91)+('04'!G44+'04'!T44+'04'!G91+'04'!T91)+('05'!G44+'05'!T44+'05'!G91+'05'!T91)+('06'!G44+'06'!T44+'06'!G91+'06'!T91)+('07'!G44+'07'!T44+'07'!G91+'07'!T91)+('08'!G44+'08'!T44+'08'!G91+'08'!T91)+('09'!G44+'09'!T44+'09'!G91+'09'!T91)</f>
        <v>0</v>
      </c>
      <c r="I36" s="10">
        <f>('01'!H44+'01'!U44+'01'!H91+'01'!U91)+('02'!H44+'02'!U44+'02'!H91+'02'!U91)+('03'!H44+'03'!U44+'03'!H91+'03'!U91)+('04'!H44+'04'!U44+'04'!H91+'04'!U91)+('05'!H44+'05'!U44+'05'!H91+'05'!U91)+('06'!H44+'06'!U44+'06'!H91+'06'!U91)+('07'!H44+'07'!U44+'07'!H91+'07'!U91)+('08'!H44+'08'!U44+'08'!H91+'08'!U91)+('09'!H44+'09'!U44+'09'!H91+'09'!U91)</f>
        <v>3</v>
      </c>
      <c r="J36" s="10">
        <f>('01'!I44+'01'!V44+'01'!I91+'01'!V91)+('02'!I44+'02'!V44+'02'!I91+'02'!V91)+('03'!I44+'03'!V44+'03'!I91+'03'!V91)+('04'!I44+'04'!V44+'04'!I91+'04'!V91)+('05'!I44+'05'!V44+'05'!I91+'05'!V91)+('06'!I44+'06'!V44+'06'!I91+'06'!V91)+('07'!I44+'07'!V44+'07'!I91+'07'!V91)+('08'!I44+'08'!V44+'08'!I91+'08'!V91)+('09'!I44+'09'!V44+'09'!I91+'09'!V91)</f>
        <v>0</v>
      </c>
      <c r="K36" s="10">
        <f>('01'!J44+'01'!W44+'01'!J91+'01'!W91)+('02'!J44+'02'!W44+'02'!J91+'02'!W91)+('03'!J44+'03'!W44+'03'!J91+'03'!W91)+('04'!J44+'04'!W44+'04'!J91+'04'!W91)+('05'!J44+'05'!W44+'05'!J91+'05'!W91)+('06'!J44+'06'!W44+'06'!J91+'06'!W91)+('07'!J44+'07'!W44+'07'!J91+'07'!W91)+('08'!J44+'08'!W44+'08'!J91+'08'!W91)+('09'!J44+'09'!W44+'09'!J91+'09'!W91)</f>
        <v>0</v>
      </c>
      <c r="L36" s="10">
        <f>('01'!K44+'01'!X44+'01'!K91+'01'!X91)+('02'!K44+'02'!X44+'02'!K91+'02'!X91)+('03'!K44+'03'!X44+'03'!K91+'03'!X91)+('04'!K44+'04'!X44+'04'!K91+'04'!X91)+('05'!K44+'05'!X44+'05'!K91+'05'!X91)+('06'!K44+'06'!X44+'06'!K91+'06'!X91)+('07'!K44+'07'!X44+'07'!K91+'07'!X91)+('08'!K44+'08'!X44+'08'!K91+'08'!X91)+('09'!K44+'09'!X44+'09'!K91+'09'!X91)</f>
        <v>0</v>
      </c>
      <c r="M36">
        <f t="shared" si="0"/>
        <v>6</v>
      </c>
      <c r="N36" s="42">
        <f t="shared" si="1"/>
        <v>150</v>
      </c>
    </row>
    <row r="37" spans="2:14" ht="19.5" customHeight="1" x14ac:dyDescent="0.25">
      <c r="B37" s="41" t="s">
        <v>54</v>
      </c>
      <c r="C37" s="10">
        <f>('01'!B45+'01'!O45+'01'!B92+'01'!O92)+('02'!B45+'02'!O45+'02'!B92+'02'!O92)+('03'!B45+'03'!O45+'03'!B92+'03'!O92)+('04'!B45+'04'!O45+'04'!B92+'04'!O92)+('05'!B45+'05'!O45+'05'!B92+'05'!O92)+('06'!B45+'06'!O45+'06'!B92+'06'!O92)+('07'!B45+'07'!O45+'07'!B92+'07'!O92)+('08'!B45+'08'!O45+'08'!B92+'08'!O92)+('09'!B45+'09'!O45+'09'!B92+'09'!O92)</f>
        <v>0</v>
      </c>
      <c r="D37" s="10">
        <f>('01'!C45+'01'!P45+'01'!C92+'01'!P92)+('02'!C45+'02'!P45+'02'!C92+'02'!P92)+('03'!C45+'03'!P45+'03'!C92+'03'!P92)+('04'!C45+'04'!P45+'04'!C92+'04'!P92)+('05'!C45+'05'!P45+'05'!C92+'05'!P92)+('06'!C45+'06'!P45+'06'!C92+'06'!P92)+('07'!C45+'07'!P45+'07'!C92+'07'!P92)+('08'!C45+'08'!P45+'08'!C92+'08'!P92)+('09'!C45+'09'!P45+'09'!C92+'09'!P92)</f>
        <v>0</v>
      </c>
      <c r="E37" s="10">
        <f>('01'!D45+'01'!Q45+'01'!D92+'01'!Q92)+('02'!D45+'02'!Q45+'02'!D92+'02'!Q92)+('03'!D45+'03'!Q45+'03'!D92+'03'!Q92)+('04'!D45+'04'!Q45+'04'!D92+'04'!Q92)+('05'!D45+'05'!Q45+'05'!D92+'05'!Q92)+('06'!D45+'06'!Q45+'06'!D92+'06'!Q92)+('07'!D45+'07'!Q45+'07'!D92+'07'!Q92)+('08'!D45+'08'!Q45+'08'!D92+'08'!Q92)+('09'!D45+'09'!Q45+'09'!D92+'09'!Q92)</f>
        <v>0</v>
      </c>
      <c r="F37" s="10">
        <f>('01'!E45+'01'!R45+'01'!E92+'01'!R92)+('02'!E45+'02'!R45+'02'!E92+'02'!R92)+('03'!E45+'03'!R45+'03'!E92+'03'!R92)+('04'!E45+'04'!R45+'04'!E92+'04'!R92)+('05'!E45+'05'!R45+'05'!E92+'05'!R92)+('06'!E45+'06'!R45+'06'!E92+'06'!R92)+('07'!E45+'07'!R45+'07'!E92+'07'!R92)+('08'!E45+'08'!R45+'08'!E92+'08'!R92)+('09'!E45+'09'!R45+'09'!E92+'09'!R92)</f>
        <v>0</v>
      </c>
      <c r="G37" s="10">
        <f>('01'!F45+'01'!S45+'01'!F92+'01'!S92)+('02'!F45+'02'!S45+'02'!F92+'02'!S92)+('03'!F45+'03'!S45+'03'!F92+'03'!S92)+('04'!F45+'04'!S45+'04'!F92+'04'!S92)+('05'!F45+'05'!S45+'05'!F92+'05'!S92)+('06'!F45+'06'!S45+'06'!F92+'06'!S92)+('07'!F45+'07'!S45+'07'!F92+'07'!S92)+('08'!F45+'08'!S45+'08'!F92+'08'!S92)+('09'!F45+'09'!S45+'09'!F92+'09'!S92)</f>
        <v>3</v>
      </c>
      <c r="H37" s="10">
        <f>('01'!G45+'01'!T45+'01'!G92+'01'!T92)+('02'!G45+'02'!T45+'02'!G92+'02'!T92)+('03'!G45+'03'!T45+'03'!G92+'03'!T92)+('04'!G45+'04'!T45+'04'!G92+'04'!T92)+('05'!G45+'05'!T45+'05'!G92+'05'!T92)+('06'!G45+'06'!T45+'06'!G92+'06'!T92)+('07'!G45+'07'!T45+'07'!G92+'07'!T92)+('08'!G45+'08'!T45+'08'!G92+'08'!T92)+('09'!G45+'09'!T45+'09'!G92+'09'!T92)</f>
        <v>0</v>
      </c>
      <c r="I37" s="10">
        <f>('01'!H45+'01'!U45+'01'!H92+'01'!U92)+('02'!H45+'02'!U45+'02'!H92+'02'!U92)+('03'!H45+'03'!U45+'03'!H92+'03'!U92)+('04'!H45+'04'!U45+'04'!H92+'04'!U92)+('05'!H45+'05'!U45+'05'!H92+'05'!U92)+('06'!H45+'06'!U45+'06'!H92+'06'!U92)+('07'!H45+'07'!U45+'07'!H92+'07'!U92)+('08'!H45+'08'!U45+'08'!H92+'08'!U92)+('09'!H45+'09'!U45+'09'!H92+'09'!U92)</f>
        <v>0</v>
      </c>
      <c r="J37" s="10">
        <f>('01'!I45+'01'!V45+'01'!I92+'01'!V92)+('02'!I45+'02'!V45+'02'!I92+'02'!V92)+('03'!I45+'03'!V45+'03'!I92+'03'!V92)+('04'!I45+'04'!V45+'04'!I92+'04'!V92)+('05'!I45+'05'!V45+'05'!I92+'05'!V92)+('06'!I45+'06'!V45+'06'!I92+'06'!V92)+('07'!I45+'07'!V45+'07'!I92+'07'!V92)+('08'!I45+'08'!V45+'08'!I92+'08'!V92)+('09'!I45+'09'!V45+'09'!I92+'09'!V92)</f>
        <v>0</v>
      </c>
      <c r="K37" s="10">
        <f>('01'!J45+'01'!W45+'01'!J92+'01'!W92)+('02'!J45+'02'!W45+'02'!J92+'02'!W92)+('03'!J45+'03'!W45+'03'!J92+'03'!W92)+('04'!J45+'04'!W45+'04'!J92+'04'!W92)+('05'!J45+'05'!W45+'05'!J92+'05'!W92)+('06'!J45+'06'!W45+'06'!J92+'06'!W92)+('07'!J45+'07'!W45+'07'!J92+'07'!W92)+('08'!J45+'08'!W45+'08'!J92+'08'!W92)+('09'!J45+'09'!W45+'09'!J92+'09'!W92)</f>
        <v>0</v>
      </c>
      <c r="L37" s="10">
        <f>('01'!K45+'01'!X45+'01'!K92+'01'!X92)+('02'!K45+'02'!X45+'02'!K92+'02'!X92)+('03'!K45+'03'!X45+'03'!K92+'03'!X92)+('04'!K45+'04'!X45+'04'!K92+'04'!X92)+('05'!K45+'05'!X45+'05'!K92+'05'!X92)+('06'!K45+'06'!X45+'06'!K92+'06'!X92)+('07'!K45+'07'!X45+'07'!K92+'07'!X92)+('08'!K45+'08'!X45+'08'!K92+'08'!X92)+('09'!K45+'09'!X45+'09'!K92+'09'!X92)</f>
        <v>0</v>
      </c>
      <c r="M37">
        <f t="shared" si="0"/>
        <v>3</v>
      </c>
      <c r="N37" s="42">
        <f t="shared" si="1"/>
        <v>75</v>
      </c>
    </row>
    <row r="38" spans="2:14" ht="19.5" customHeight="1" x14ac:dyDescent="0.25">
      <c r="B38" s="41" t="s">
        <v>75</v>
      </c>
      <c r="C38" s="10">
        <f>('01'!B46+'01'!O46+'01'!B93+'01'!O93)+('02'!B46+'02'!O46+'02'!B93+'02'!O93)+('03'!B46+'03'!O46+'03'!B93+'03'!O93)+('04'!B46+'04'!O46+'04'!B93+'04'!O93)+('05'!B46+'05'!O46+'05'!B93+'05'!O93)+('06'!B46+'06'!O46+'06'!B93+'06'!O93)+('07'!B46+'07'!O46+'07'!B93+'07'!O93)+('08'!B46+'08'!O46+'08'!B93+'08'!O93)+('09'!B46+'09'!O46+'09'!B93+'09'!O93)</f>
        <v>0</v>
      </c>
      <c r="D38" s="10">
        <f>('01'!C46+'01'!P46+'01'!C93+'01'!P93)+('02'!C46+'02'!P46+'02'!C93+'02'!P93)+('03'!C46+'03'!P46+'03'!C93+'03'!P93)+('04'!C46+'04'!P46+'04'!C93+'04'!P93)+('05'!C46+'05'!P46+'05'!C93+'05'!P93)+('06'!C46+'06'!P46+'06'!C93+'06'!P93)+('07'!C46+'07'!P46+'07'!C93+'07'!P93)+('08'!C46+'08'!P46+'08'!C93+'08'!P93)+('09'!C46+'09'!P46+'09'!C93+'09'!P93)</f>
        <v>0</v>
      </c>
      <c r="E38" s="10">
        <f>('01'!D46+'01'!Q46+'01'!D93+'01'!Q93)+('02'!D46+'02'!Q46+'02'!D93+'02'!Q93)+('03'!D46+'03'!Q46+'03'!D93+'03'!Q93)+('04'!D46+'04'!Q46+'04'!D93+'04'!Q93)+('05'!D46+'05'!Q46+'05'!D93+'05'!Q93)+('06'!D46+'06'!Q46+'06'!D93+'06'!Q93)+('07'!D46+'07'!Q46+'07'!D93+'07'!Q93)+('08'!D46+'08'!Q46+'08'!D93+'08'!Q93)+('09'!D46+'09'!Q46+'09'!D93+'09'!Q93)</f>
        <v>9</v>
      </c>
      <c r="F38" s="10">
        <f>('01'!E46+'01'!R46+'01'!E93+'01'!R93)+('02'!E46+'02'!R46+'02'!E93+'02'!R93)+('03'!E46+'03'!R46+'03'!E93+'03'!R93)+('04'!E46+'04'!R46+'04'!E93+'04'!R93)+('05'!E46+'05'!R46+'05'!E93+'05'!R93)+('06'!E46+'06'!R46+'06'!E93+'06'!R93)+('07'!E46+'07'!R46+'07'!E93+'07'!R93)+('08'!E46+'08'!R46+'08'!E93+'08'!R93)+('09'!E46+'09'!R46+'09'!E93+'09'!R93)</f>
        <v>0</v>
      </c>
      <c r="G38" s="10">
        <f>('01'!F46+'01'!S46+'01'!F93+'01'!S93)+('02'!F46+'02'!S46+'02'!F93+'02'!S93)+('03'!F46+'03'!S46+'03'!F93+'03'!S93)+('04'!F46+'04'!S46+'04'!F93+'04'!S93)+('05'!F46+'05'!S46+'05'!F93+'05'!S93)+('06'!F46+'06'!S46+'06'!F93+'06'!S93)+('07'!F46+'07'!S46+'07'!F93+'07'!S93)+('08'!F46+'08'!S46+'08'!F93+'08'!S93)+('09'!F46+'09'!S46+'09'!F93+'09'!S93)</f>
        <v>3</v>
      </c>
      <c r="H38" s="10">
        <f>('01'!G46+'01'!T46+'01'!G93+'01'!T93)+('02'!G46+'02'!T46+'02'!G93+'02'!T93)+('03'!G46+'03'!T46+'03'!G93+'03'!T93)+('04'!G46+'04'!T46+'04'!G93+'04'!T93)+('05'!G46+'05'!T46+'05'!G93+'05'!T93)+('06'!G46+'06'!T46+'06'!G93+'06'!T93)+('07'!G46+'07'!T46+'07'!G93+'07'!T93)+('08'!G46+'08'!T46+'08'!G93+'08'!T93)+('09'!G46+'09'!T46+'09'!G93+'09'!T93)</f>
        <v>0</v>
      </c>
      <c r="I38" s="10">
        <f>('01'!H46+'01'!U46+'01'!H93+'01'!U93)+('02'!H46+'02'!U46+'02'!H93+'02'!U93)+('03'!H46+'03'!U46+'03'!H93+'03'!U93)+('04'!H46+'04'!U46+'04'!H93+'04'!U93)+('05'!H46+'05'!U46+'05'!H93+'05'!U93)+('06'!H46+'06'!U46+'06'!H93+'06'!U93)+('07'!H46+'07'!U46+'07'!H93+'07'!U93)+('08'!H46+'08'!U46+'08'!H93+'08'!U93)+('09'!H46+'09'!U46+'09'!H93+'09'!U93)</f>
        <v>2</v>
      </c>
      <c r="J38" s="10">
        <f>('01'!I46+'01'!V46+'01'!I93+'01'!V93)+('02'!I46+'02'!V46+'02'!I93+'02'!V93)+('03'!I46+'03'!V46+'03'!I93+'03'!V93)+('04'!I46+'04'!V46+'04'!I93+'04'!V93)+('05'!I46+'05'!V46+'05'!I93+'05'!V93)+('06'!I46+'06'!V46+'06'!I93+'06'!V93)+('07'!I46+'07'!V46+'07'!I93+'07'!V93)+('08'!I46+'08'!V46+'08'!I93+'08'!V93)+('09'!I46+'09'!V46+'09'!I93+'09'!V93)</f>
        <v>0</v>
      </c>
      <c r="K38" s="10">
        <f>('01'!J46+'01'!W46+'01'!J93+'01'!W93)+('02'!J46+'02'!W46+'02'!J93+'02'!W93)+('03'!J46+'03'!W46+'03'!J93+'03'!W93)+('04'!J46+'04'!W46+'04'!J93+'04'!W93)+('05'!J46+'05'!W46+'05'!J93+'05'!W93)+('06'!J46+'06'!W46+'06'!J93+'06'!W93)+('07'!J46+'07'!W46+'07'!J93+'07'!W93)+('08'!J46+'08'!W46+'08'!J93+'08'!W93)+('09'!J46+'09'!W46+'09'!J93+'09'!W93)</f>
        <v>0</v>
      </c>
      <c r="L38" s="10">
        <f>('01'!K46+'01'!X46+'01'!K93+'01'!X93)+('02'!K46+'02'!X46+'02'!K93+'02'!X93)+('03'!K46+'03'!X46+'03'!K93+'03'!X93)+('04'!K46+'04'!X46+'04'!K93+'04'!X93)+('05'!K46+'05'!X46+'05'!K93+'05'!X93)+('06'!K46+'06'!X46+'06'!K93+'06'!X93)+('07'!K46+'07'!X46+'07'!K93+'07'!X93)+('08'!K46+'08'!X46+'08'!K93+'08'!X93)+('09'!K46+'09'!X46+'09'!K93+'09'!X93)</f>
        <v>0</v>
      </c>
      <c r="M38">
        <f t="shared" si="0"/>
        <v>14</v>
      </c>
      <c r="N38" s="42">
        <f t="shared" si="1"/>
        <v>350</v>
      </c>
    </row>
    <row r="39" spans="2:14" ht="19.5" customHeight="1" thickBot="1" x14ac:dyDescent="0.3">
      <c r="B39" s="43" t="s">
        <v>55</v>
      </c>
      <c r="C39" s="44">
        <f>('01'!B47+'01'!O47+'01'!B94+'01'!O94)+('02'!B47+'02'!O47+'02'!B94+'02'!O94)+('03'!B47+'03'!O47+'03'!B94+'03'!O94)+('04'!B47+'04'!O47+'04'!B94+'04'!O94)+('05'!B47+'05'!O47+'05'!B94+'05'!O94)+('06'!B47+'06'!O47+'06'!B94+'06'!O94)+('07'!B47+'07'!O47+'07'!B94+'07'!O94)+('08'!B47+'08'!O47+'08'!B94+'08'!O94)+('09'!B47+'09'!O47+'09'!B94+'09'!O94)</f>
        <v>0</v>
      </c>
      <c r="D39" s="44">
        <f>('01'!C47+'01'!P47+'01'!C94+'01'!P94)+('02'!C47+'02'!P47+'02'!C94+'02'!P94)+('03'!C47+'03'!P47+'03'!C94+'03'!P94)+('04'!C47+'04'!P47+'04'!C94+'04'!P94)+('05'!C47+'05'!P47+'05'!C94+'05'!P94)+('06'!C47+'06'!P47+'06'!C94+'06'!P94)+('07'!C47+'07'!P47+'07'!C94+'07'!P94)+('08'!C47+'08'!P47+'08'!C94+'08'!P94)+('09'!C47+'09'!P47+'09'!C94+'09'!P94)</f>
        <v>0</v>
      </c>
      <c r="E39" s="44">
        <f>('01'!D47+'01'!Q47+'01'!D94+'01'!Q94)+('02'!D47+'02'!Q47+'02'!D94+'02'!Q94)+('03'!D47+'03'!Q47+'03'!D94+'03'!Q94)+('04'!D47+'04'!Q47+'04'!D94+'04'!Q94)+('05'!D47+'05'!Q47+'05'!D94+'05'!Q94)+('06'!D47+'06'!Q47+'06'!D94+'06'!Q94)+('07'!D47+'07'!Q47+'07'!D94+'07'!Q94)+('08'!D47+'08'!Q47+'08'!D94+'08'!Q94)+('09'!D47+'09'!Q47+'09'!D94+'09'!Q94)</f>
        <v>0</v>
      </c>
      <c r="F39" s="44">
        <f>('01'!E47+'01'!R47+'01'!E94+'01'!R94)+('02'!E47+'02'!R47+'02'!E94+'02'!R94)+('03'!E47+'03'!R47+'03'!E94+'03'!R94)+('04'!E47+'04'!R47+'04'!E94+'04'!R94)+('05'!E47+'05'!R47+'05'!E94+'05'!R94)+('06'!E47+'06'!R47+'06'!E94+'06'!R94)+('07'!E47+'07'!R47+'07'!E94+'07'!R94)+('08'!E47+'08'!R47+'08'!E94+'08'!R94)+('09'!E47+'09'!R47+'09'!E94+'09'!R94)</f>
        <v>0</v>
      </c>
      <c r="G39" s="44">
        <f>('01'!F47+'01'!S47+'01'!F94+'01'!S94)+('02'!F47+'02'!S47+'02'!F94+'02'!S94)+('03'!F47+'03'!S47+'03'!F94+'03'!S94)+('04'!F47+'04'!S47+'04'!F94+'04'!S94)+('05'!F47+'05'!S47+'05'!F94+'05'!S94)+('06'!F47+'06'!S47+'06'!F94+'06'!S94)+('07'!F47+'07'!S47+'07'!F94+'07'!S94)+('08'!F47+'08'!S47+'08'!F94+'08'!S94)+('09'!F47+'09'!S47+'09'!F94+'09'!S94)</f>
        <v>8</v>
      </c>
      <c r="H39" s="44">
        <f>('01'!G47+'01'!T47+'01'!G94+'01'!T94)+('02'!G47+'02'!T47+'02'!G94+'02'!T94)+('03'!G47+'03'!T47+'03'!G94+'03'!T94)+('04'!G47+'04'!T47+'04'!G94+'04'!T94)+('05'!G47+'05'!T47+'05'!G94+'05'!T94)+('06'!G47+'06'!T47+'06'!G94+'06'!T94)+('07'!G47+'07'!T47+'07'!G94+'07'!T94)+('08'!G47+'08'!T47+'08'!G94+'08'!T94)+('09'!G47+'09'!T47+'09'!G94+'09'!T94)</f>
        <v>0</v>
      </c>
      <c r="I39" s="44">
        <f>('01'!H47+'01'!U47+'01'!H94+'01'!U94)+('02'!H47+'02'!U47+'02'!H94+'02'!U94)+('03'!H47+'03'!U47+'03'!H94+'03'!U94)+('04'!H47+'04'!U47+'04'!H94+'04'!U94)+('05'!H47+'05'!U47+'05'!H94+'05'!U94)+('06'!H47+'06'!U47+'06'!H94+'06'!U94)+('07'!H47+'07'!U47+'07'!H94+'07'!U94)+('08'!H47+'08'!U47+'08'!H94+'08'!U94)+('09'!H47+'09'!U47+'09'!H94+'09'!U94)</f>
        <v>0</v>
      </c>
      <c r="J39" s="44">
        <f>('01'!I47+'01'!V47+'01'!I94+'01'!V94)+('02'!I47+'02'!V47+'02'!I94+'02'!V94)+('03'!I47+'03'!V47+'03'!I94+'03'!V94)+('04'!I47+'04'!V47+'04'!I94+'04'!V94)+('05'!I47+'05'!V47+'05'!I94+'05'!V94)+('06'!I47+'06'!V47+'06'!I94+'06'!V94)+('07'!I47+'07'!V47+'07'!I94+'07'!V94)+('08'!I47+'08'!V47+'08'!I94+'08'!V94)+('09'!I47+'09'!V47+'09'!I94+'09'!V94)</f>
        <v>0</v>
      </c>
      <c r="K39" s="44">
        <f>('01'!J47+'01'!W47+'01'!J94+'01'!W94)+('02'!J47+'02'!W47+'02'!J94+'02'!W94)+('03'!J47+'03'!W47+'03'!J94+'03'!W94)+('04'!J47+'04'!W47+'04'!J94+'04'!W94)+('05'!J47+'05'!W47+'05'!J94+'05'!W94)+('06'!J47+'06'!W47+'06'!J94+'06'!W94)+('07'!J47+'07'!W47+'07'!J94+'07'!W94)+('08'!J47+'08'!W47+'08'!J94+'08'!W94)+('09'!J47+'09'!W47+'09'!J94+'09'!W94)</f>
        <v>0</v>
      </c>
      <c r="L39" s="44">
        <f>('01'!K47+'01'!X47+'01'!K94+'01'!X94)+('02'!K47+'02'!X47+'02'!K94+'02'!X94)+('03'!K47+'03'!X47+'03'!K94+'03'!X94)+('04'!K47+'04'!X47+'04'!K94+'04'!X94)+('05'!K47+'05'!X47+'05'!K94+'05'!X94)+('06'!K47+'06'!X47+'06'!K94+'06'!X94)+('07'!K47+'07'!X47+'07'!K94+'07'!X94)+('08'!K47+'08'!X47+'08'!K94+'08'!X94)+('09'!K47+'09'!X47+'09'!K94+'09'!X94)</f>
        <v>0</v>
      </c>
      <c r="M39" s="45">
        <f t="shared" si="0"/>
        <v>8</v>
      </c>
      <c r="N39" s="46">
        <f t="shared" si="1"/>
        <v>200</v>
      </c>
    </row>
    <row r="40" spans="2:14" ht="19.5" customHeight="1" x14ac:dyDescent="0.25">
      <c r="B40" s="47" t="s">
        <v>76</v>
      </c>
      <c r="C40" s="38">
        <f>('01'!B48+'01'!O48+'01'!B95+'01'!O95)+('02'!B48+'02'!O48+'02'!B95+'02'!O95)+('03'!B48+'03'!O48+'03'!B95+'03'!O95)+('04'!B48+'04'!O48+'04'!B95+'04'!O95)+('05'!B48+'05'!O48+'05'!B95+'05'!O95)+('06'!B48+'06'!O48+'06'!B95+'06'!O95)+('07'!B48+'07'!O48+'07'!B95+'07'!O95)+('08'!B48+'08'!O48+'08'!B95+'08'!O95)+('09'!B48+'09'!O48+'09'!B95+'09'!O95)</f>
        <v>0</v>
      </c>
      <c r="D40" s="38">
        <f>('01'!C48+'01'!P48+'01'!C95+'01'!P95)+('02'!C48+'02'!P48+'02'!C95+'02'!P95)+('03'!C48+'03'!P48+'03'!C95+'03'!P95)+('04'!C48+'04'!P48+'04'!C95+'04'!P95)+('05'!C48+'05'!P48+'05'!C95+'05'!P95)+('06'!C48+'06'!P48+'06'!C95+'06'!P95)+('07'!C48+'07'!P48+'07'!C95+'07'!P95)+('08'!C48+'08'!P48+'08'!C95+'08'!P95)+('09'!C48+'09'!P48+'09'!C95+'09'!P95)</f>
        <v>8</v>
      </c>
      <c r="E40" s="38">
        <f>('01'!D48+'01'!Q48+'01'!D95+'01'!Q95)+('02'!D48+'02'!Q48+'02'!D95+'02'!Q95)+('03'!D48+'03'!Q48+'03'!D95+'03'!Q95)+('04'!D48+'04'!Q48+'04'!D95+'04'!Q95)+('05'!D48+'05'!Q48+'05'!D95+'05'!Q95)+('06'!D48+'06'!Q48+'06'!D95+'06'!Q95)+('07'!D48+'07'!Q48+'07'!D95+'07'!Q95)+('08'!D48+'08'!Q48+'08'!D95+'08'!Q95)+('09'!D48+'09'!Q48+'09'!D95+'09'!Q95)</f>
        <v>8</v>
      </c>
      <c r="F40" s="38">
        <f>('01'!E48+'01'!R48+'01'!E95+'01'!R95)+('02'!E48+'02'!R48+'02'!E95+'02'!R95)+('03'!E48+'03'!R48+'03'!E95+'03'!R95)+('04'!E48+'04'!R48+'04'!E95+'04'!R95)+('05'!E48+'05'!R48+'05'!E95+'05'!R95)+('06'!E48+'06'!R48+'06'!E95+'06'!R95)+('07'!E48+'07'!R48+'07'!E95+'07'!R95)+('08'!E48+'08'!R48+'08'!E95+'08'!R95)+('09'!E48+'09'!R48+'09'!E95+'09'!R95)</f>
        <v>0</v>
      </c>
      <c r="G40" s="38">
        <f>('01'!F48+'01'!S48+'01'!F95+'01'!S95)+('02'!F48+'02'!S48+'02'!F95+'02'!S95)+('03'!F48+'03'!S48+'03'!F95+'03'!S95)+('04'!F48+'04'!S48+'04'!F95+'04'!S95)+('05'!F48+'05'!S48+'05'!F95+'05'!S95)+('06'!F48+'06'!S48+'06'!F95+'06'!S95)+('07'!F48+'07'!S48+'07'!F95+'07'!S95)+('08'!F48+'08'!S48+'08'!F95+'08'!S95)+('09'!F48+'09'!S48+'09'!F95+'09'!S95)</f>
        <v>0</v>
      </c>
      <c r="H40" s="38">
        <f>('01'!G48+'01'!T48+'01'!G95+'01'!T95)+('02'!G48+'02'!T48+'02'!G95+'02'!T95)+('03'!G48+'03'!T48+'03'!G95+'03'!T95)+('04'!G48+'04'!T48+'04'!G95+'04'!T95)+('05'!G48+'05'!T48+'05'!G95+'05'!T95)+('06'!G48+'06'!T48+'06'!G95+'06'!T95)+('07'!G48+'07'!T48+'07'!G95+'07'!T95)+('08'!G48+'08'!T48+'08'!G95+'08'!T95)+('09'!G48+'09'!T48+'09'!G95+'09'!T95)</f>
        <v>0</v>
      </c>
      <c r="I40" s="38">
        <f>('01'!H48+'01'!U48+'01'!H95+'01'!U95)+('02'!H48+'02'!U48+'02'!H95+'02'!U95)+('03'!H48+'03'!U48+'03'!H95+'03'!U95)+('04'!H48+'04'!U48+'04'!H95+'04'!U95)+('05'!H48+'05'!U48+'05'!H95+'05'!U95)+('06'!H48+'06'!U48+'06'!H95+'06'!U95)+('07'!H48+'07'!U48+'07'!H95+'07'!U95)+('08'!H48+'08'!U48+'08'!H95+'08'!U95)+('09'!H48+'09'!U48+'09'!H95+'09'!U95)</f>
        <v>0</v>
      </c>
      <c r="J40" s="38">
        <f>('01'!I48+'01'!V48+'01'!I95+'01'!V95)+('02'!I48+'02'!V48+'02'!I95+'02'!V95)+('03'!I48+'03'!V48+'03'!I95+'03'!V95)+('04'!I48+'04'!V48+'04'!I95+'04'!V95)+('05'!I48+'05'!V48+'05'!I95+'05'!V95)+('06'!I48+'06'!V48+'06'!I95+'06'!V95)+('07'!I48+'07'!V48+'07'!I95+'07'!V95)+('08'!I48+'08'!V48+'08'!I95+'08'!V95)+('09'!I48+'09'!V48+'09'!I95+'09'!V95)</f>
        <v>0</v>
      </c>
      <c r="K40" s="38">
        <f>('01'!J48+'01'!W48+'01'!J95+'01'!W95)+('02'!J48+'02'!W48+'02'!J95+'02'!W95)+('03'!J48+'03'!W48+'03'!J95+'03'!W95)+('04'!J48+'04'!W48+'04'!J95+'04'!W95)+('05'!J48+'05'!W48+'05'!J95+'05'!W95)+('06'!J48+'06'!W48+'06'!J95+'06'!W95)+('07'!J48+'07'!W48+'07'!J95+'07'!W95)+('08'!J48+'08'!W48+'08'!J95+'08'!W95)+('09'!J48+'09'!W48+'09'!J95+'09'!W95)</f>
        <v>0</v>
      </c>
      <c r="L40" s="38">
        <f>('01'!K48+'01'!X48+'01'!K95+'01'!X95)+('02'!K48+'02'!X48+'02'!K95+'02'!X95)+('03'!K48+'03'!X48+'03'!K95+'03'!X95)+('04'!K48+'04'!X48+'04'!K95+'04'!X95)+('05'!K48+'05'!X48+'05'!K95+'05'!X95)+('06'!K48+'06'!X48+'06'!K95+'06'!X95)+('07'!K48+'07'!X48+'07'!K95+'07'!X95)+('08'!K48+'08'!X48+'08'!K95+'08'!X95)+('09'!K48+'09'!X48+'09'!K95+'09'!X95)</f>
        <v>0</v>
      </c>
      <c r="M40" s="39">
        <f t="shared" si="0"/>
        <v>16</v>
      </c>
      <c r="N40" s="40">
        <f t="shared" si="1"/>
        <v>400</v>
      </c>
    </row>
    <row r="41" spans="2:14" ht="19.5" customHeight="1" thickBot="1" x14ac:dyDescent="0.3">
      <c r="B41" s="43" t="s">
        <v>77</v>
      </c>
      <c r="C41" s="44">
        <f>('01'!B49+'01'!O49+'01'!B96+'01'!O96)+('02'!B49+'02'!O49+'02'!B96+'02'!O96)+('03'!B49+'03'!O49+'03'!B96+'03'!O96)+('04'!B49+'04'!O49+'04'!B96+'04'!O96)+('05'!B49+'05'!O49+'05'!B96+'05'!O96)+('06'!B49+'06'!O49+'06'!B96+'06'!O96)+('07'!B49+'07'!O49+'07'!B96+'07'!O96)+('08'!B49+'08'!O49+'08'!B96+'08'!O96)+('09'!B49+'09'!O49+'09'!B96+'09'!O96)</f>
        <v>0</v>
      </c>
      <c r="D41" s="44">
        <f>('01'!C49+'01'!P49+'01'!C96+'01'!P96)+('02'!C49+'02'!P49+'02'!C96+'02'!P96)+('03'!C49+'03'!P49+'03'!C96+'03'!P96)+('04'!C49+'04'!P49+'04'!C96+'04'!P96)+('05'!C49+'05'!P49+'05'!C96+'05'!P96)+('06'!C49+'06'!P49+'06'!C96+'06'!P96)+('07'!C49+'07'!P49+'07'!C96+'07'!P96)+('08'!C49+'08'!P49+'08'!C96+'08'!P96)+('09'!C49+'09'!P49+'09'!C96+'09'!P96)</f>
        <v>0</v>
      </c>
      <c r="E41" s="44">
        <f>('01'!D49+'01'!Q49+'01'!D96+'01'!Q96)+('02'!D49+'02'!Q49+'02'!D96+'02'!Q96)+('03'!D49+'03'!Q49+'03'!D96+'03'!Q96)+('04'!D49+'04'!Q49+'04'!D96+'04'!Q96)+('05'!D49+'05'!Q49+'05'!D96+'05'!Q96)+('06'!D49+'06'!Q49+'06'!D96+'06'!Q96)+('07'!D49+'07'!Q49+'07'!D96+'07'!Q96)+('08'!D49+'08'!Q49+'08'!D96+'08'!Q96)+('09'!D49+'09'!Q49+'09'!D96+'09'!Q96)</f>
        <v>0</v>
      </c>
      <c r="F41" s="44">
        <f>('01'!E49+'01'!R49+'01'!E96+'01'!R96)+('02'!E49+'02'!R49+'02'!E96+'02'!R96)+('03'!E49+'03'!R49+'03'!E96+'03'!R96)+('04'!E49+'04'!R49+'04'!E96+'04'!R96)+('05'!E49+'05'!R49+'05'!E96+'05'!R96)+('06'!E49+'06'!R49+'06'!E96+'06'!R96)+('07'!E49+'07'!R49+'07'!E96+'07'!R96)+('08'!E49+'08'!R49+'08'!E96+'08'!R96)+('09'!E49+'09'!R49+'09'!E96+'09'!R96)</f>
        <v>0</v>
      </c>
      <c r="G41" s="44">
        <f>('01'!F49+'01'!S49+'01'!F96+'01'!S96)+('02'!F49+'02'!S49+'02'!F96+'02'!S96)+('03'!F49+'03'!S49+'03'!F96+'03'!S96)+('04'!F49+'04'!S49+'04'!F96+'04'!S96)+('05'!F49+'05'!S49+'05'!F96+'05'!S96)+('06'!F49+'06'!S49+'06'!F96+'06'!S96)+('07'!F49+'07'!S49+'07'!F96+'07'!S96)+('08'!F49+'08'!S49+'08'!F96+'08'!S96)+('09'!F49+'09'!S49+'09'!F96+'09'!S96)</f>
        <v>0</v>
      </c>
      <c r="H41" s="44">
        <f>('01'!G49+'01'!T49+'01'!G96+'01'!T96)+('02'!G49+'02'!T49+'02'!G96+'02'!T96)+('03'!G49+'03'!T49+'03'!G96+'03'!T96)+('04'!G49+'04'!T49+'04'!G96+'04'!T96)+('05'!G49+'05'!T49+'05'!G96+'05'!T96)+('06'!G49+'06'!T49+'06'!G96+'06'!T96)+('07'!G49+'07'!T49+'07'!G96+'07'!T96)+('08'!G49+'08'!T49+'08'!G96+'08'!T96)+('09'!G49+'09'!T49+'09'!G96+'09'!T96)</f>
        <v>0</v>
      </c>
      <c r="I41" s="44">
        <f>('01'!H49+'01'!U49+'01'!H96+'01'!U96)+('02'!H49+'02'!U49+'02'!H96+'02'!U96)+('03'!H49+'03'!U49+'03'!H96+'03'!U96)+('04'!H49+'04'!U49+'04'!H96+'04'!U96)+('05'!H49+'05'!U49+'05'!H96+'05'!U96)+('06'!H49+'06'!U49+'06'!H96+'06'!U96)+('07'!H49+'07'!U49+'07'!H96+'07'!U96)+('08'!H49+'08'!U49+'08'!H96+'08'!U96)+('09'!H49+'09'!U49+'09'!H96+'09'!U96)</f>
        <v>0</v>
      </c>
      <c r="J41" s="44">
        <f>('01'!I49+'01'!V49+'01'!I96+'01'!V96)+('02'!I49+'02'!V49+'02'!I96+'02'!V96)+('03'!I49+'03'!V49+'03'!I96+'03'!V96)+('04'!I49+'04'!V49+'04'!I96+'04'!V96)+('05'!I49+'05'!V49+'05'!I96+'05'!V96)+('06'!I49+'06'!V49+'06'!I96+'06'!V96)+('07'!I49+'07'!V49+'07'!I96+'07'!V96)+('08'!I49+'08'!V49+'08'!I96+'08'!V96)+('09'!I49+'09'!V49+'09'!I96+'09'!V96)</f>
        <v>0</v>
      </c>
      <c r="K41" s="44">
        <f>('01'!J49+'01'!W49+'01'!J96+'01'!W96)+('02'!J49+'02'!W49+'02'!J96+'02'!W96)+('03'!J49+'03'!W49+'03'!J96+'03'!W96)+('04'!J49+'04'!W49+'04'!J96+'04'!W96)+('05'!J49+'05'!W49+'05'!J96+'05'!W96)+('06'!J49+'06'!W49+'06'!J96+'06'!W96)+('07'!J49+'07'!W49+'07'!J96+'07'!W96)+('08'!J49+'08'!W49+'08'!J96+'08'!W96)+('09'!J49+'09'!W49+'09'!J96+'09'!W96)</f>
        <v>0</v>
      </c>
      <c r="L41" s="44">
        <f>('01'!K49+'01'!X49+'01'!K96+'01'!X96)+('02'!K49+'02'!X49+'02'!K96+'02'!X96)+('03'!K49+'03'!X49+'03'!K96+'03'!X96)+('04'!K49+'04'!X49+'04'!K96+'04'!X96)+('05'!K49+'05'!X49+'05'!K96+'05'!X96)+('06'!K49+'06'!X49+'06'!K96+'06'!X96)+('07'!K49+'07'!X49+'07'!K96+'07'!X96)+('08'!K49+'08'!X49+'08'!K96+'08'!X96)+('09'!K49+'09'!X49+'09'!K96+'09'!X96)</f>
        <v>0</v>
      </c>
      <c r="M41" s="45">
        <f t="shared" si="0"/>
        <v>0</v>
      </c>
      <c r="N41" s="46">
        <f t="shared" si="1"/>
        <v>0</v>
      </c>
    </row>
    <row r="42" spans="2:14" x14ac:dyDescent="0.25">
      <c r="N42">
        <f>SUM(N3:N41)</f>
        <v>13225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91EFB-100D-4D18-9ABC-5F118AD34EB4}">
  <dimension ref="A3:H14"/>
  <sheetViews>
    <sheetView workbookViewId="0">
      <selection activeCell="D9" sqref="D9"/>
    </sheetView>
  </sheetViews>
  <sheetFormatPr baseColWidth="10" defaultRowHeight="15" x14ac:dyDescent="0.25"/>
  <cols>
    <col min="1" max="1" width="17.5703125" bestFit="1" customWidth="1"/>
    <col min="2" max="2" width="23.42578125" bestFit="1" customWidth="1"/>
    <col min="3" max="3" width="23.85546875" bestFit="1" customWidth="1"/>
    <col min="4" max="4" width="24.7109375" bestFit="1" customWidth="1"/>
    <col min="5" max="5" width="23.7109375" bestFit="1" customWidth="1"/>
    <col min="6" max="7" width="22.140625" bestFit="1" customWidth="1"/>
    <col min="8" max="8" width="25.5703125" bestFit="1" customWidth="1"/>
  </cols>
  <sheetData>
    <row r="3" spans="1:8" x14ac:dyDescent="0.25">
      <c r="A3" s="33" t="s">
        <v>88</v>
      </c>
      <c r="B3" t="s">
        <v>90</v>
      </c>
      <c r="C3" t="s">
        <v>91</v>
      </c>
      <c r="D3" t="s">
        <v>92</v>
      </c>
      <c r="E3" t="s">
        <v>93</v>
      </c>
      <c r="F3" t="s">
        <v>94</v>
      </c>
      <c r="G3" t="s">
        <v>95</v>
      </c>
      <c r="H3" t="s">
        <v>96</v>
      </c>
    </row>
    <row r="4" spans="1:8" x14ac:dyDescent="0.25">
      <c r="A4" s="34" t="s">
        <v>21</v>
      </c>
      <c r="B4" s="138">
        <v>0</v>
      </c>
      <c r="C4" s="138">
        <v>0</v>
      </c>
      <c r="D4" s="138">
        <v>200</v>
      </c>
      <c r="E4" s="138">
        <v>75</v>
      </c>
      <c r="F4" s="138">
        <v>75</v>
      </c>
      <c r="G4" s="138">
        <v>0</v>
      </c>
      <c r="H4" s="138">
        <v>0</v>
      </c>
    </row>
    <row r="5" spans="1:8" x14ac:dyDescent="0.25">
      <c r="A5" s="34" t="s">
        <v>56</v>
      </c>
      <c r="B5" s="138">
        <v>0</v>
      </c>
      <c r="C5" s="138">
        <v>320</v>
      </c>
      <c r="D5" s="138">
        <v>425</v>
      </c>
      <c r="E5" s="138">
        <v>0</v>
      </c>
      <c r="F5" s="138">
        <v>0</v>
      </c>
      <c r="G5" s="138">
        <v>0</v>
      </c>
      <c r="H5" s="138">
        <v>0</v>
      </c>
    </row>
    <row r="6" spans="1:8" x14ac:dyDescent="0.25">
      <c r="A6" s="34" t="s">
        <v>26</v>
      </c>
      <c r="B6" s="138">
        <v>0</v>
      </c>
      <c r="C6" s="138">
        <v>0</v>
      </c>
      <c r="D6" s="138">
        <v>0</v>
      </c>
      <c r="E6" s="138">
        <v>0</v>
      </c>
      <c r="F6" s="138">
        <v>425</v>
      </c>
      <c r="G6" s="138">
        <v>450</v>
      </c>
      <c r="H6" s="138">
        <v>0</v>
      </c>
    </row>
    <row r="7" spans="1:8" x14ac:dyDescent="0.25">
      <c r="A7" s="34" t="s">
        <v>51</v>
      </c>
      <c r="B7" s="138">
        <v>0</v>
      </c>
      <c r="C7" s="138">
        <v>0</v>
      </c>
      <c r="D7" s="138">
        <v>0</v>
      </c>
      <c r="E7" s="138">
        <v>0</v>
      </c>
      <c r="F7" s="138">
        <v>200</v>
      </c>
      <c r="G7" s="138">
        <v>300</v>
      </c>
      <c r="H7" s="138">
        <v>0</v>
      </c>
    </row>
    <row r="8" spans="1:8" x14ac:dyDescent="0.25">
      <c r="A8" s="34" t="s">
        <v>86</v>
      </c>
      <c r="B8" s="138">
        <v>0</v>
      </c>
      <c r="C8" s="138">
        <v>0</v>
      </c>
      <c r="D8" s="138">
        <v>225</v>
      </c>
      <c r="E8" s="138">
        <v>0</v>
      </c>
      <c r="F8" s="138">
        <v>75</v>
      </c>
      <c r="G8" s="138">
        <v>0</v>
      </c>
      <c r="H8" s="138">
        <v>50</v>
      </c>
    </row>
    <row r="9" spans="1:8" x14ac:dyDescent="0.25">
      <c r="A9" s="34" t="s">
        <v>10</v>
      </c>
      <c r="B9" s="138">
        <v>0</v>
      </c>
      <c r="C9" s="138">
        <v>0</v>
      </c>
      <c r="D9" s="138">
        <v>0</v>
      </c>
      <c r="E9" s="138">
        <v>0</v>
      </c>
      <c r="F9" s="138">
        <v>4050</v>
      </c>
      <c r="G9" s="138">
        <v>2300</v>
      </c>
      <c r="H9" s="138">
        <v>975</v>
      </c>
    </row>
    <row r="10" spans="1:8" x14ac:dyDescent="0.25">
      <c r="A10" s="34" t="s">
        <v>97</v>
      </c>
      <c r="B10" s="138">
        <v>0</v>
      </c>
      <c r="C10" s="138">
        <v>0</v>
      </c>
      <c r="D10" s="138">
        <v>175</v>
      </c>
      <c r="E10" s="138">
        <v>100</v>
      </c>
      <c r="F10" s="138">
        <v>900</v>
      </c>
      <c r="G10" s="138">
        <v>0</v>
      </c>
      <c r="H10" s="138">
        <v>0</v>
      </c>
    </row>
    <row r="11" spans="1:8" x14ac:dyDescent="0.25">
      <c r="A11" s="34" t="s">
        <v>87</v>
      </c>
      <c r="B11" s="138">
        <v>0</v>
      </c>
      <c r="C11" s="138">
        <v>0</v>
      </c>
      <c r="D11" s="138">
        <v>0</v>
      </c>
      <c r="E11" s="138">
        <v>0</v>
      </c>
      <c r="F11" s="138">
        <v>200</v>
      </c>
      <c r="G11" s="138">
        <v>0</v>
      </c>
      <c r="H11" s="138">
        <v>0</v>
      </c>
    </row>
    <row r="12" spans="1:8" x14ac:dyDescent="0.25">
      <c r="A12" s="34" t="s">
        <v>18</v>
      </c>
      <c r="B12" s="138">
        <v>0</v>
      </c>
      <c r="C12" s="138">
        <v>0</v>
      </c>
      <c r="D12" s="138">
        <v>0</v>
      </c>
      <c r="E12" s="138">
        <v>0</v>
      </c>
      <c r="F12" s="138">
        <v>1000</v>
      </c>
      <c r="G12" s="138">
        <v>300</v>
      </c>
      <c r="H12" s="138">
        <v>0</v>
      </c>
    </row>
    <row r="13" spans="1:8" x14ac:dyDescent="0.25">
      <c r="A13" s="34" t="s">
        <v>23</v>
      </c>
      <c r="B13" s="138">
        <v>0</v>
      </c>
      <c r="C13" s="138">
        <v>0</v>
      </c>
      <c r="D13" s="138">
        <v>225</v>
      </c>
      <c r="E13" s="138">
        <v>100</v>
      </c>
      <c r="F13" s="138">
        <v>0</v>
      </c>
      <c r="G13" s="138">
        <v>0</v>
      </c>
      <c r="H13" s="138">
        <v>0</v>
      </c>
    </row>
    <row r="14" spans="1:8" x14ac:dyDescent="0.25">
      <c r="A14" s="34" t="s">
        <v>89</v>
      </c>
      <c r="B14" s="138">
        <v>0</v>
      </c>
      <c r="C14" s="138">
        <v>320</v>
      </c>
      <c r="D14" s="138">
        <v>1250</v>
      </c>
      <c r="E14" s="138">
        <v>275</v>
      </c>
      <c r="F14" s="138">
        <v>6925</v>
      </c>
      <c r="G14" s="138">
        <v>3350</v>
      </c>
      <c r="H14" s="138">
        <v>1025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00247-0A14-458B-8FDE-E3FCFD182CDB}">
  <sheetPr>
    <tabColor theme="8" tint="-0.499984740745262"/>
  </sheetPr>
  <dimension ref="A1:Z87"/>
  <sheetViews>
    <sheetView tabSelected="1" view="pageLayout" topLeftCell="A88" zoomScaleNormal="100" workbookViewId="0">
      <selection activeCell="K13" sqref="K13"/>
    </sheetView>
  </sheetViews>
  <sheetFormatPr baseColWidth="10" defaultColWidth="11" defaultRowHeight="15" x14ac:dyDescent="0.25"/>
  <cols>
    <col min="1" max="1" width="10.5703125" customWidth="1"/>
    <col min="2" max="2" width="5.7109375" customWidth="1"/>
    <col min="3" max="3" width="16.5703125" customWidth="1"/>
    <col min="4" max="13" width="7.5703125" customWidth="1"/>
    <col min="14" max="14" width="9.7109375" customWidth="1"/>
    <col min="15" max="21" width="6" customWidth="1"/>
  </cols>
  <sheetData>
    <row r="1" spans="1:14" ht="11.25" customHeight="1" x14ac:dyDescent="0.25">
      <c r="A1" s="66" t="s">
        <v>58</v>
      </c>
      <c r="B1" s="113" t="s">
        <v>59</v>
      </c>
      <c r="C1" s="114"/>
      <c r="D1" s="115" t="s">
        <v>60</v>
      </c>
      <c r="E1" s="115"/>
      <c r="F1" s="115"/>
      <c r="G1" s="115"/>
      <c r="H1" s="115"/>
      <c r="I1" s="115"/>
      <c r="J1" s="116"/>
      <c r="K1" s="116"/>
      <c r="L1" s="116"/>
      <c r="M1" s="116"/>
      <c r="N1" s="16"/>
    </row>
    <row r="2" spans="1:14" ht="11.25" customHeight="1" x14ac:dyDescent="0.25">
      <c r="A2" s="66" t="s">
        <v>61</v>
      </c>
      <c r="B2" s="117" t="s">
        <v>62</v>
      </c>
      <c r="C2" s="114"/>
      <c r="D2" s="115"/>
      <c r="E2" s="115"/>
      <c r="F2" s="115"/>
      <c r="G2" s="115"/>
      <c r="H2" s="115"/>
      <c r="I2" s="115"/>
      <c r="J2" s="116"/>
      <c r="K2" s="116"/>
      <c r="L2" s="116"/>
      <c r="M2" s="116"/>
      <c r="N2" s="16"/>
    </row>
    <row r="3" spans="1:14" ht="11.25" customHeight="1" x14ac:dyDescent="0.25">
      <c r="A3" s="66" t="s">
        <v>63</v>
      </c>
      <c r="B3" s="118">
        <v>44701</v>
      </c>
      <c r="C3" s="114"/>
      <c r="D3" s="119" t="s">
        <v>64</v>
      </c>
      <c r="E3" s="119"/>
      <c r="F3" s="119"/>
      <c r="G3" s="119"/>
      <c r="H3" s="119"/>
      <c r="I3" s="119"/>
      <c r="J3" s="116"/>
      <c r="K3" s="116"/>
      <c r="L3" s="116"/>
      <c r="M3" s="116"/>
      <c r="N3" s="16"/>
    </row>
    <row r="4" spans="1:14" ht="11.25" customHeight="1" x14ac:dyDescent="0.25">
      <c r="A4" s="66" t="s">
        <v>65</v>
      </c>
      <c r="B4" s="113" t="s">
        <v>66</v>
      </c>
      <c r="C4" s="114"/>
      <c r="D4" s="119"/>
      <c r="E4" s="119"/>
      <c r="F4" s="119"/>
      <c r="G4" s="119"/>
      <c r="H4" s="119"/>
      <c r="I4" s="119"/>
      <c r="J4" s="116"/>
      <c r="K4" s="116"/>
      <c r="L4" s="116"/>
      <c r="M4" s="116"/>
      <c r="N4" s="16"/>
    </row>
    <row r="5" spans="1:14" ht="11.25" customHeight="1" x14ac:dyDescent="0.25">
      <c r="A5" s="69" t="s">
        <v>67</v>
      </c>
      <c r="B5" s="113" t="s">
        <v>68</v>
      </c>
      <c r="C5" s="114"/>
      <c r="D5" s="119"/>
      <c r="E5" s="119"/>
      <c r="F5" s="119"/>
      <c r="G5" s="119"/>
      <c r="H5" s="119"/>
      <c r="I5" s="119"/>
      <c r="J5" s="120" t="s">
        <v>112</v>
      </c>
      <c r="K5" s="120"/>
      <c r="L5" s="120"/>
      <c r="M5" s="120"/>
      <c r="N5" s="16"/>
    </row>
    <row r="6" spans="1:14" ht="11.25" customHeight="1" x14ac:dyDescent="0.25">
      <c r="A6" s="66" t="s">
        <v>69</v>
      </c>
      <c r="B6" s="113" t="s">
        <v>66</v>
      </c>
      <c r="C6" s="114"/>
      <c r="D6" s="121" t="s">
        <v>70</v>
      </c>
      <c r="E6" s="121"/>
      <c r="F6" s="121"/>
      <c r="G6" s="121"/>
      <c r="H6" s="121"/>
      <c r="I6" s="121"/>
      <c r="J6" s="120"/>
      <c r="K6" s="120"/>
      <c r="L6" s="120"/>
      <c r="M6" s="120"/>
      <c r="N6" s="16"/>
    </row>
    <row r="7" spans="1:14" ht="11.25" customHeight="1" x14ac:dyDescent="0.25">
      <c r="A7" s="66" t="s">
        <v>71</v>
      </c>
      <c r="B7" s="113" t="s">
        <v>84</v>
      </c>
      <c r="C7" s="114"/>
      <c r="D7" s="121"/>
      <c r="E7" s="121"/>
      <c r="F7" s="121"/>
      <c r="G7" s="121"/>
      <c r="H7" s="121"/>
      <c r="I7" s="121"/>
      <c r="J7" s="120"/>
      <c r="K7" s="120"/>
      <c r="L7" s="120"/>
      <c r="M7" s="120"/>
      <c r="N7" s="16"/>
    </row>
    <row r="8" spans="1:14" ht="5.25" customHeight="1" x14ac:dyDescent="0.25">
      <c r="A8" s="4"/>
      <c r="B8" s="4"/>
      <c r="C8" s="16"/>
      <c r="D8" s="25"/>
      <c r="E8" s="25"/>
      <c r="F8" s="25"/>
      <c r="G8" s="25"/>
      <c r="H8" s="25"/>
      <c r="I8" s="25"/>
      <c r="J8" s="26"/>
      <c r="K8" s="26"/>
      <c r="L8" s="26"/>
      <c r="M8" s="26"/>
      <c r="N8" s="16"/>
    </row>
    <row r="9" spans="1:14" ht="17.25" customHeight="1" x14ac:dyDescent="0.25">
      <c r="A9" s="122" t="s">
        <v>100</v>
      </c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6"/>
    </row>
    <row r="10" spans="1:14" ht="2.25" customHeight="1" x14ac:dyDescent="0.25"/>
    <row r="11" spans="1:14" ht="75" customHeight="1" x14ac:dyDescent="0.25">
      <c r="A11" s="59" t="s">
        <v>6</v>
      </c>
      <c r="B11" s="2"/>
      <c r="C11" s="32" t="s">
        <v>7</v>
      </c>
      <c r="D11" s="9" t="str">
        <f>Total!C2</f>
        <v>Thalassa 0.9 -1.6</v>
      </c>
      <c r="E11" s="9" t="str">
        <f>Total!D2</f>
        <v>Thalassa 1.3 - 2.0</v>
      </c>
      <c r="F11" s="9" t="str">
        <f>Total!E2</f>
        <v>3 mm progress ex</v>
      </c>
      <c r="G11" s="9" t="str">
        <f>Total!F2</f>
        <v>4.5 mm Progress</v>
      </c>
      <c r="H11" s="9" t="str">
        <f>Total!G2</f>
        <v>6 mm Progress</v>
      </c>
      <c r="I11" s="9" t="str">
        <f>Total!H2</f>
        <v>8 mm Progress</v>
      </c>
      <c r="J11" s="9" t="str">
        <f>Total!I2</f>
        <v>8 mm Reproductor</v>
      </c>
      <c r="K11" s="9">
        <f>Total!J2</f>
        <v>0</v>
      </c>
      <c r="L11" s="9">
        <f>Total!K2</f>
        <v>0</v>
      </c>
      <c r="M11" s="9">
        <f>Total!L2</f>
        <v>0</v>
      </c>
    </row>
    <row r="12" spans="1:14" ht="19.5" customHeight="1" x14ac:dyDescent="0.25">
      <c r="A12" s="123" t="s">
        <v>8</v>
      </c>
      <c r="B12" s="62" t="str">
        <f>Total!B3</f>
        <v>SO1</v>
      </c>
      <c r="C12" s="60" t="s">
        <v>10</v>
      </c>
      <c r="D12" s="52">
        <f>Total!C3*20</f>
        <v>0</v>
      </c>
      <c r="E12" s="52">
        <f>Total!D3*20</f>
        <v>0</v>
      </c>
      <c r="F12" s="52">
        <f>Total!E3*25</f>
        <v>0</v>
      </c>
      <c r="G12" s="52">
        <f>Total!F3*25</f>
        <v>0</v>
      </c>
      <c r="H12" s="52">
        <f>Total!G3*25</f>
        <v>0</v>
      </c>
      <c r="I12" s="52">
        <f>Total!H3*25</f>
        <v>0</v>
      </c>
      <c r="J12" s="52">
        <f>Total!I3*25</f>
        <v>0</v>
      </c>
      <c r="K12" s="52">
        <f>Total!J3*25</f>
        <v>0</v>
      </c>
      <c r="L12" s="52">
        <f>Total!K3*25</f>
        <v>0</v>
      </c>
      <c r="M12" s="52">
        <f>Total!L3*25</f>
        <v>0</v>
      </c>
      <c r="N12" s="1" t="str">
        <f t="shared" ref="N12:N17" si="0">+B12</f>
        <v>SO1</v>
      </c>
    </row>
    <row r="13" spans="1:14" ht="19.5" customHeight="1" x14ac:dyDescent="0.25">
      <c r="A13" s="112"/>
      <c r="B13" s="62" t="str">
        <f>Total!B4</f>
        <v>SO2</v>
      </c>
      <c r="C13" s="60" t="s">
        <v>10</v>
      </c>
      <c r="D13" s="52">
        <f>Total!C4*20</f>
        <v>0</v>
      </c>
      <c r="E13" s="52">
        <f>Total!D4*20</f>
        <v>0</v>
      </c>
      <c r="F13" s="52">
        <f>Total!E4*25</f>
        <v>0</v>
      </c>
      <c r="G13" s="52">
        <f>Total!F4*25</f>
        <v>0</v>
      </c>
      <c r="H13" s="52">
        <f>Total!G4*25</f>
        <v>0</v>
      </c>
      <c r="I13" s="52">
        <f>Total!H4*25</f>
        <v>0</v>
      </c>
      <c r="J13" s="52">
        <f>Total!I4*25</f>
        <v>0</v>
      </c>
      <c r="K13" s="52">
        <f>Total!J4*25</f>
        <v>0</v>
      </c>
      <c r="L13" s="52">
        <f>Total!K4*25</f>
        <v>0</v>
      </c>
      <c r="M13" s="52">
        <f>Total!L4*25</f>
        <v>0</v>
      </c>
      <c r="N13" s="1" t="str">
        <f t="shared" si="0"/>
        <v>SO2</v>
      </c>
    </row>
    <row r="14" spans="1:14" ht="19.5" customHeight="1" x14ac:dyDescent="0.25">
      <c r="A14" s="112"/>
      <c r="B14" s="62" t="str">
        <f>Total!B5</f>
        <v>SO3</v>
      </c>
      <c r="C14" s="60" t="s">
        <v>10</v>
      </c>
      <c r="D14" s="52">
        <f>Total!C5*20</f>
        <v>0</v>
      </c>
      <c r="E14" s="52">
        <f>Total!D5*20</f>
        <v>0</v>
      </c>
      <c r="F14" s="52">
        <f>Total!E5*25</f>
        <v>0</v>
      </c>
      <c r="G14" s="52">
        <f>Total!F5*25</f>
        <v>0</v>
      </c>
      <c r="H14" s="52">
        <f>Total!G5*25</f>
        <v>0</v>
      </c>
      <c r="I14" s="52">
        <f>Total!H5*25</f>
        <v>0</v>
      </c>
      <c r="J14" s="52">
        <f>Total!I5*25</f>
        <v>0</v>
      </c>
      <c r="K14" s="52">
        <f>Total!J5*25</f>
        <v>0</v>
      </c>
      <c r="L14" s="52">
        <f>Total!K5*25</f>
        <v>0</v>
      </c>
      <c r="M14" s="52">
        <f>Total!L5*25</f>
        <v>0</v>
      </c>
      <c r="N14" s="1" t="str">
        <f t="shared" si="0"/>
        <v>SO3</v>
      </c>
    </row>
    <row r="15" spans="1:14" ht="19.5" customHeight="1" x14ac:dyDescent="0.25">
      <c r="A15" s="112"/>
      <c r="B15" s="62" t="str">
        <f>Total!B6</f>
        <v>SO4</v>
      </c>
      <c r="C15" s="60" t="s">
        <v>10</v>
      </c>
      <c r="D15" s="52">
        <f>Total!C6*20</f>
        <v>0</v>
      </c>
      <c r="E15" s="52">
        <f>Total!D6*20</f>
        <v>0</v>
      </c>
      <c r="F15" s="52">
        <f>Total!E6*25</f>
        <v>0</v>
      </c>
      <c r="G15" s="52">
        <f>Total!F6*25</f>
        <v>0</v>
      </c>
      <c r="H15" s="52">
        <f>Total!G6*25</f>
        <v>0</v>
      </c>
      <c r="I15" s="52">
        <f>Total!H6*25</f>
        <v>0</v>
      </c>
      <c r="J15" s="52">
        <f>Total!I6*25</f>
        <v>0</v>
      </c>
      <c r="K15" s="52">
        <f>Total!J6*25</f>
        <v>0</v>
      </c>
      <c r="L15" s="52">
        <f>Total!K6*25</f>
        <v>0</v>
      </c>
      <c r="M15" s="52">
        <f>Total!L6*25</f>
        <v>0</v>
      </c>
      <c r="N15" s="1" t="str">
        <f t="shared" si="0"/>
        <v>SO4</v>
      </c>
    </row>
    <row r="16" spans="1:14" ht="19.5" customHeight="1" x14ac:dyDescent="0.25">
      <c r="A16" s="112"/>
      <c r="B16" s="62" t="str">
        <f>Total!B7</f>
        <v>SO5</v>
      </c>
      <c r="C16" s="60" t="s">
        <v>10</v>
      </c>
      <c r="D16" s="52">
        <f>Total!C7*20</f>
        <v>0</v>
      </c>
      <c r="E16" s="52">
        <f>Total!D7*20</f>
        <v>0</v>
      </c>
      <c r="F16" s="52">
        <f>Total!E7*25</f>
        <v>0</v>
      </c>
      <c r="G16" s="52">
        <f>Total!F7*25</f>
        <v>0</v>
      </c>
      <c r="H16" s="52">
        <f>Total!G7*25</f>
        <v>0</v>
      </c>
      <c r="I16" s="52">
        <f>Total!H7*25</f>
        <v>0</v>
      </c>
      <c r="J16" s="52">
        <f>Total!I7*25</f>
        <v>0</v>
      </c>
      <c r="K16" s="52">
        <f>Total!J7*25</f>
        <v>0</v>
      </c>
      <c r="L16" s="52">
        <f>Total!K7*25</f>
        <v>0</v>
      </c>
      <c r="M16" s="52">
        <f>Total!L7*25</f>
        <v>0</v>
      </c>
      <c r="N16" s="1" t="str">
        <f t="shared" si="0"/>
        <v>SO5</v>
      </c>
    </row>
    <row r="17" spans="1:14" ht="19.5" customHeight="1" x14ac:dyDescent="0.25">
      <c r="A17" s="112"/>
      <c r="B17" s="62" t="str">
        <f>Total!B8</f>
        <v>SO6</v>
      </c>
      <c r="C17" s="60" t="s">
        <v>10</v>
      </c>
      <c r="D17" s="52">
        <f>Total!C8*20</f>
        <v>0</v>
      </c>
      <c r="E17" s="52">
        <f>Total!D8*20</f>
        <v>0</v>
      </c>
      <c r="F17" s="52">
        <f>Total!E8*25</f>
        <v>0</v>
      </c>
      <c r="G17" s="52">
        <f>Total!F8*25</f>
        <v>0</v>
      </c>
      <c r="H17" s="52">
        <f>Total!G8*25</f>
        <v>0</v>
      </c>
      <c r="I17" s="52">
        <f>Total!H8*25</f>
        <v>0</v>
      </c>
      <c r="J17" s="52">
        <f>Total!I8*25</f>
        <v>0</v>
      </c>
      <c r="K17" s="52">
        <f>Total!J8*25</f>
        <v>0</v>
      </c>
      <c r="L17" s="52">
        <f>Total!K8*25</f>
        <v>0</v>
      </c>
      <c r="M17" s="52">
        <f>Total!L8*25</f>
        <v>0</v>
      </c>
      <c r="N17" s="1" t="str">
        <f t="shared" si="0"/>
        <v>SO6</v>
      </c>
    </row>
    <row r="18" spans="1:14" ht="19.5" customHeight="1" x14ac:dyDescent="0.25">
      <c r="A18" s="112" t="s">
        <v>16</v>
      </c>
      <c r="B18" s="62" t="str">
        <f>Total!B9</f>
        <v>SP1</v>
      </c>
      <c r="C18" s="60" t="s">
        <v>10</v>
      </c>
      <c r="D18" s="52">
        <f>Total!C9*20</f>
        <v>0</v>
      </c>
      <c r="E18" s="52">
        <f>Total!D9*20</f>
        <v>0</v>
      </c>
      <c r="F18" s="52">
        <f>Total!E9*25</f>
        <v>0</v>
      </c>
      <c r="G18" s="52">
        <f>Total!F9*25</f>
        <v>0</v>
      </c>
      <c r="H18" s="52">
        <f>Total!G9*25</f>
        <v>0</v>
      </c>
      <c r="I18" s="52">
        <f>Total!H9*25</f>
        <v>0</v>
      </c>
      <c r="J18" s="52">
        <f>Total!I9*25</f>
        <v>0</v>
      </c>
      <c r="K18" s="52">
        <f>Total!J9*25</f>
        <v>0</v>
      </c>
      <c r="L18" s="52">
        <f>Total!K9*25</f>
        <v>0</v>
      </c>
      <c r="M18" s="52">
        <f>Total!L9*25</f>
        <v>0</v>
      </c>
      <c r="N18" s="1"/>
    </row>
    <row r="19" spans="1:14" ht="19.5" customHeight="1" x14ac:dyDescent="0.25">
      <c r="A19" s="112"/>
      <c r="B19" s="62" t="str">
        <f>Total!B10</f>
        <v>SP2</v>
      </c>
      <c r="C19" s="65" t="s">
        <v>10</v>
      </c>
      <c r="D19" s="52">
        <f>Total!C10*20</f>
        <v>0</v>
      </c>
      <c r="E19" s="52">
        <f>Total!D10*20</f>
        <v>0</v>
      </c>
      <c r="F19" s="52">
        <f>Total!E10*25</f>
        <v>0</v>
      </c>
      <c r="G19" s="52">
        <f>Total!F10*25</f>
        <v>0</v>
      </c>
      <c r="H19" s="52">
        <f>Total!G10*25</f>
        <v>0</v>
      </c>
      <c r="I19" s="52">
        <f>Total!H10*25</f>
        <v>0</v>
      </c>
      <c r="J19" s="52">
        <f>Total!I10*25</f>
        <v>0</v>
      </c>
      <c r="K19" s="52">
        <f>Total!J10*25</f>
        <v>0</v>
      </c>
      <c r="L19" s="52">
        <f>Total!K10*25</f>
        <v>0</v>
      </c>
      <c r="M19" s="52">
        <f>Total!L10*25</f>
        <v>0</v>
      </c>
      <c r="N19" s="1"/>
    </row>
    <row r="20" spans="1:14" ht="19.5" customHeight="1" x14ac:dyDescent="0.25">
      <c r="A20" s="112"/>
      <c r="B20" s="62" t="str">
        <f>Total!B11</f>
        <v>SP3</v>
      </c>
      <c r="C20" s="60" t="s">
        <v>10</v>
      </c>
      <c r="D20" s="52">
        <f>Total!C11*20</f>
        <v>0</v>
      </c>
      <c r="E20" s="52">
        <f>Total!D11*20</f>
        <v>0</v>
      </c>
      <c r="F20" s="52">
        <f>Total!E11*25</f>
        <v>0</v>
      </c>
      <c r="G20" s="52">
        <f>Total!F11*25</f>
        <v>0</v>
      </c>
      <c r="H20" s="52">
        <f>Total!G11*25</f>
        <v>0</v>
      </c>
      <c r="I20" s="52">
        <f>Total!H11*25</f>
        <v>0</v>
      </c>
      <c r="J20" s="52">
        <f>Total!I11*25</f>
        <v>0</v>
      </c>
      <c r="K20" s="52">
        <f>Total!J11*25</f>
        <v>0</v>
      </c>
      <c r="L20" s="52">
        <f>Total!K11*25</f>
        <v>0</v>
      </c>
      <c r="M20" s="52">
        <f>Total!L11*25</f>
        <v>0</v>
      </c>
      <c r="N20" s="1"/>
    </row>
    <row r="21" spans="1:14" ht="19.5" customHeight="1" x14ac:dyDescent="0.25">
      <c r="A21" s="112"/>
      <c r="B21" s="62" t="str">
        <f>Total!B12</f>
        <v>SP4</v>
      </c>
      <c r="C21" s="60" t="s">
        <v>23</v>
      </c>
      <c r="D21" s="52">
        <f>Total!C12*20</f>
        <v>0</v>
      </c>
      <c r="E21" s="52">
        <f>Total!D12*20</f>
        <v>0</v>
      </c>
      <c r="F21" s="52">
        <f>Total!E12*25</f>
        <v>225</v>
      </c>
      <c r="G21" s="52">
        <f>Total!F12*25</f>
        <v>100</v>
      </c>
      <c r="H21" s="52">
        <f>Total!G12*25</f>
        <v>0</v>
      </c>
      <c r="I21" s="52">
        <f>Total!H12*25</f>
        <v>0</v>
      </c>
      <c r="J21" s="52">
        <f>Total!I12*25</f>
        <v>0</v>
      </c>
      <c r="K21" s="52">
        <f>Total!J12*25</f>
        <v>0</v>
      </c>
      <c r="L21" s="52">
        <f>Total!K12*25</f>
        <v>0</v>
      </c>
      <c r="M21" s="52">
        <f>Total!L12*25</f>
        <v>0</v>
      </c>
      <c r="N21" s="1"/>
    </row>
    <row r="22" spans="1:14" ht="19.5" customHeight="1" x14ac:dyDescent="0.25">
      <c r="A22" s="112"/>
      <c r="B22" s="62" t="str">
        <f>Total!B13</f>
        <v>SP5</v>
      </c>
      <c r="C22" s="64" t="s">
        <v>10</v>
      </c>
      <c r="D22" s="52">
        <f>Total!C13*20</f>
        <v>0</v>
      </c>
      <c r="E22" s="52">
        <f>Total!D13*20</f>
        <v>0</v>
      </c>
      <c r="F22" s="52">
        <f>Total!E13*25</f>
        <v>0</v>
      </c>
      <c r="G22" s="52">
        <f>Total!F13*25</f>
        <v>0</v>
      </c>
      <c r="H22" s="52">
        <f>Total!G13*25</f>
        <v>0</v>
      </c>
      <c r="I22" s="52">
        <f>Total!H13*25</f>
        <v>0</v>
      </c>
      <c r="J22" s="52">
        <f>Total!I13*25</f>
        <v>0</v>
      </c>
      <c r="K22" s="52">
        <f>Total!J13*25</f>
        <v>0</v>
      </c>
      <c r="L22" s="52">
        <f>Total!K13*25</f>
        <v>0</v>
      </c>
      <c r="M22" s="52">
        <f>Total!L13*25</f>
        <v>0</v>
      </c>
      <c r="N22" s="1"/>
    </row>
    <row r="23" spans="1:14" ht="19.5" customHeight="1" x14ac:dyDescent="0.25">
      <c r="A23" s="112"/>
      <c r="B23" s="62" t="str">
        <f>Total!B14</f>
        <v>SP6</v>
      </c>
      <c r="C23" s="60" t="s">
        <v>26</v>
      </c>
      <c r="D23" s="52">
        <f>Total!C14*20</f>
        <v>0</v>
      </c>
      <c r="E23" s="52">
        <f>Total!D14*20</f>
        <v>0</v>
      </c>
      <c r="F23" s="52">
        <f>Total!E14*25</f>
        <v>0</v>
      </c>
      <c r="G23" s="52">
        <f>Total!F14*25</f>
        <v>0</v>
      </c>
      <c r="H23" s="52">
        <f>Total!G14*25</f>
        <v>0</v>
      </c>
      <c r="I23" s="52">
        <f>Total!H14*25</f>
        <v>0</v>
      </c>
      <c r="J23" s="52">
        <f>Total!I14*25</f>
        <v>0</v>
      </c>
      <c r="K23" s="52">
        <f>Total!J14*25</f>
        <v>0</v>
      </c>
      <c r="L23" s="52">
        <f>Total!K14*25</f>
        <v>0</v>
      </c>
      <c r="M23" s="52">
        <f>Total!L14*25</f>
        <v>0</v>
      </c>
      <c r="N23" s="1"/>
    </row>
    <row r="24" spans="1:14" ht="19.5" customHeight="1" x14ac:dyDescent="0.25">
      <c r="A24" s="112" t="s">
        <v>27</v>
      </c>
      <c r="B24" s="62" t="str">
        <f>Total!B15</f>
        <v>NO1</v>
      </c>
      <c r="C24" s="60" t="s">
        <v>18</v>
      </c>
      <c r="D24" s="52">
        <f>Total!C15*20</f>
        <v>0</v>
      </c>
      <c r="E24" s="52">
        <f>Total!D15*20</f>
        <v>0</v>
      </c>
      <c r="F24" s="52">
        <f>Total!E15*25</f>
        <v>0</v>
      </c>
      <c r="G24" s="52">
        <f>Total!F15*25</f>
        <v>0</v>
      </c>
      <c r="H24" s="52">
        <f>Total!G15*25</f>
        <v>550</v>
      </c>
      <c r="I24" s="52">
        <f>Total!H15*25</f>
        <v>150</v>
      </c>
      <c r="J24" s="52">
        <f>Total!I15*25</f>
        <v>0</v>
      </c>
      <c r="K24" s="52">
        <f>Total!J15*25</f>
        <v>0</v>
      </c>
      <c r="L24" s="52">
        <f>Total!K15*25</f>
        <v>0</v>
      </c>
      <c r="M24" s="52">
        <f>Total!L15*25</f>
        <v>0</v>
      </c>
      <c r="N24" s="1"/>
    </row>
    <row r="25" spans="1:14" ht="19.5" customHeight="1" x14ac:dyDescent="0.25">
      <c r="A25" s="112"/>
      <c r="B25" s="62" t="str">
        <f>Total!B16</f>
        <v>NO2</v>
      </c>
      <c r="C25" s="60" t="s">
        <v>97</v>
      </c>
      <c r="D25" s="52">
        <f>Total!C16*20</f>
        <v>0</v>
      </c>
      <c r="E25" s="52">
        <f>Total!D16*20</f>
        <v>0</v>
      </c>
      <c r="F25" s="52">
        <f>Total!E16*25</f>
        <v>75</v>
      </c>
      <c r="G25" s="52">
        <f>Total!F16*25</f>
        <v>50</v>
      </c>
      <c r="H25" s="52">
        <f>Total!G16*25</f>
        <v>450</v>
      </c>
      <c r="I25" s="52">
        <f>Total!H16*25</f>
        <v>0</v>
      </c>
      <c r="J25" s="52">
        <f>Total!I16*25</f>
        <v>0</v>
      </c>
      <c r="K25" s="52">
        <f>Total!J16*25</f>
        <v>0</v>
      </c>
      <c r="L25" s="52">
        <f>Total!K16*25</f>
        <v>0</v>
      </c>
      <c r="M25" s="52">
        <f>Total!L16*25</f>
        <v>0</v>
      </c>
      <c r="N25" s="1"/>
    </row>
    <row r="26" spans="1:14" ht="19.5" customHeight="1" x14ac:dyDescent="0.25">
      <c r="A26" s="112"/>
      <c r="B26" s="62" t="str">
        <f>Total!B17</f>
        <v>NO3</v>
      </c>
      <c r="C26" s="60" t="s">
        <v>97</v>
      </c>
      <c r="D26" s="52">
        <f>Total!C17*20</f>
        <v>0</v>
      </c>
      <c r="E26" s="52">
        <f>Total!D17*20</f>
        <v>0</v>
      </c>
      <c r="F26" s="52">
        <f>Total!E17*25</f>
        <v>100</v>
      </c>
      <c r="G26" s="52">
        <f>Total!F17*25</f>
        <v>50</v>
      </c>
      <c r="H26" s="52">
        <f>Total!G17*25</f>
        <v>450</v>
      </c>
      <c r="I26" s="52">
        <f>Total!H17*25</f>
        <v>0</v>
      </c>
      <c r="J26" s="52">
        <f>Total!I17*25</f>
        <v>0</v>
      </c>
      <c r="K26" s="52">
        <f>Total!J17*25</f>
        <v>0</v>
      </c>
      <c r="L26" s="52">
        <f>Total!K17*25</f>
        <v>0</v>
      </c>
      <c r="M26" s="52">
        <f>Total!L17*25</f>
        <v>0</v>
      </c>
      <c r="N26" s="1"/>
    </row>
    <row r="27" spans="1:14" ht="19.5" customHeight="1" x14ac:dyDescent="0.25">
      <c r="A27" s="112"/>
      <c r="B27" s="62" t="str">
        <f>Total!B18</f>
        <v>NO4</v>
      </c>
      <c r="C27" s="60" t="s">
        <v>32</v>
      </c>
      <c r="D27" s="52">
        <f>Total!C18*20</f>
        <v>0</v>
      </c>
      <c r="E27" s="52">
        <f>Total!D18*20</f>
        <v>0</v>
      </c>
      <c r="F27" s="52">
        <f>Total!E18*25</f>
        <v>0</v>
      </c>
      <c r="G27" s="52">
        <f>Total!F18*25</f>
        <v>0</v>
      </c>
      <c r="H27" s="52">
        <f>Total!G18*25</f>
        <v>350</v>
      </c>
      <c r="I27" s="52">
        <f>Total!H18*25</f>
        <v>450</v>
      </c>
      <c r="J27" s="52">
        <f>Total!I18*25</f>
        <v>0</v>
      </c>
      <c r="K27" s="52">
        <f>Total!J18*25</f>
        <v>0</v>
      </c>
      <c r="L27" s="52">
        <f>Total!K18*25</f>
        <v>0</v>
      </c>
      <c r="M27" s="52">
        <f>Total!L18*25</f>
        <v>0</v>
      </c>
      <c r="N27" s="1"/>
    </row>
    <row r="28" spans="1:14" ht="19.5" customHeight="1" x14ac:dyDescent="0.25">
      <c r="A28" s="112"/>
      <c r="B28" s="62" t="str">
        <f>Total!B19</f>
        <v>NO5</v>
      </c>
      <c r="C28" s="60" t="s">
        <v>21</v>
      </c>
      <c r="D28" s="52">
        <f>Total!C19*20</f>
        <v>0</v>
      </c>
      <c r="E28" s="52">
        <f>Total!D19*20</f>
        <v>0</v>
      </c>
      <c r="F28" s="52">
        <f>Total!E19*25</f>
        <v>200</v>
      </c>
      <c r="G28" s="52">
        <f>Total!F19*25</f>
        <v>75</v>
      </c>
      <c r="H28" s="52">
        <f>Total!G19*25</f>
        <v>75</v>
      </c>
      <c r="I28" s="52">
        <f>Total!H19*25</f>
        <v>0</v>
      </c>
      <c r="J28" s="52">
        <f>Total!I19*25</f>
        <v>0</v>
      </c>
      <c r="K28" s="52">
        <f>Total!J19*25</f>
        <v>0</v>
      </c>
      <c r="L28" s="52">
        <f>Total!K19*25</f>
        <v>0</v>
      </c>
      <c r="M28" s="52">
        <f>Total!L19*25</f>
        <v>0</v>
      </c>
      <c r="N28" s="1"/>
    </row>
    <row r="29" spans="1:14" ht="19.5" customHeight="1" x14ac:dyDescent="0.25">
      <c r="A29" s="112"/>
      <c r="B29" s="62" t="str">
        <f>Total!B20</f>
        <v>NO6</v>
      </c>
      <c r="C29" s="60" t="s">
        <v>18</v>
      </c>
      <c r="D29" s="52">
        <f>Total!C20*20</f>
        <v>0</v>
      </c>
      <c r="E29" s="52">
        <f>Total!D20*20</f>
        <v>0</v>
      </c>
      <c r="F29" s="52">
        <f>Total!E20*25</f>
        <v>0</v>
      </c>
      <c r="G29" s="52">
        <f>Total!F20*25</f>
        <v>0</v>
      </c>
      <c r="H29" s="52">
        <f>Total!G20*25</f>
        <v>450</v>
      </c>
      <c r="I29" s="52">
        <f>Total!H20*25</f>
        <v>150</v>
      </c>
      <c r="J29" s="52">
        <f>Total!I20*25</f>
        <v>0</v>
      </c>
      <c r="K29" s="52">
        <f>Total!J20*25</f>
        <v>0</v>
      </c>
      <c r="L29" s="52">
        <f>Total!K20*25</f>
        <v>0</v>
      </c>
      <c r="M29" s="52">
        <f>Total!L20*25</f>
        <v>0</v>
      </c>
      <c r="N29" s="1"/>
    </row>
    <row r="30" spans="1:14" ht="19.5" customHeight="1" x14ac:dyDescent="0.25">
      <c r="A30" s="112" t="s">
        <v>35</v>
      </c>
      <c r="B30" s="62" t="str">
        <f>Total!B21</f>
        <v>NC1</v>
      </c>
      <c r="C30" s="60" t="s">
        <v>10</v>
      </c>
      <c r="D30" s="52">
        <f>Total!C21*20</f>
        <v>0</v>
      </c>
      <c r="E30" s="52">
        <f>Total!D21*20</f>
        <v>0</v>
      </c>
      <c r="F30" s="52">
        <f>Total!E21*25</f>
        <v>0</v>
      </c>
      <c r="G30" s="52">
        <f>Total!F21*25</f>
        <v>0</v>
      </c>
      <c r="H30" s="52">
        <f>Total!G21*25</f>
        <v>550</v>
      </c>
      <c r="I30" s="52">
        <f>Total!H21*25</f>
        <v>225</v>
      </c>
      <c r="J30" s="52">
        <f>Total!I21*25</f>
        <v>0</v>
      </c>
      <c r="K30" s="52">
        <f>Total!J21*25</f>
        <v>0</v>
      </c>
      <c r="L30" s="52">
        <f>Total!K21*25</f>
        <v>0</v>
      </c>
      <c r="M30" s="52">
        <f>Total!L21*25</f>
        <v>0</v>
      </c>
      <c r="N30" s="1"/>
    </row>
    <row r="31" spans="1:14" ht="19.5" customHeight="1" x14ac:dyDescent="0.25">
      <c r="A31" s="112"/>
      <c r="B31" s="62" t="str">
        <f>Total!B22</f>
        <v>NC2</v>
      </c>
      <c r="C31" s="60" t="s">
        <v>10</v>
      </c>
      <c r="D31" s="52">
        <f>Total!C22*20</f>
        <v>0</v>
      </c>
      <c r="E31" s="52">
        <f>Total!D22*20</f>
        <v>0</v>
      </c>
      <c r="F31" s="52">
        <f>Total!E22*25</f>
        <v>0</v>
      </c>
      <c r="G31" s="52">
        <f>Total!F22*25</f>
        <v>0</v>
      </c>
      <c r="H31" s="52">
        <f>Total!G22*25</f>
        <v>500</v>
      </c>
      <c r="I31" s="52">
        <f>Total!H22*25</f>
        <v>225</v>
      </c>
      <c r="J31" s="52">
        <f>Total!I22*25</f>
        <v>0</v>
      </c>
      <c r="K31" s="52">
        <f>Total!J22*25</f>
        <v>0</v>
      </c>
      <c r="L31" s="52">
        <f>Total!K22*25</f>
        <v>0</v>
      </c>
      <c r="M31" s="52">
        <f>Total!L22*25</f>
        <v>0</v>
      </c>
      <c r="N31" s="1"/>
    </row>
    <row r="32" spans="1:14" ht="19.5" customHeight="1" x14ac:dyDescent="0.25">
      <c r="A32" s="112"/>
      <c r="B32" s="62" t="str">
        <f>Total!B23</f>
        <v>NC3</v>
      </c>
      <c r="C32" s="60" t="s">
        <v>10</v>
      </c>
      <c r="D32" s="52">
        <f>Total!C23*20</f>
        <v>0</v>
      </c>
      <c r="E32" s="52">
        <f>Total!D23*20</f>
        <v>0</v>
      </c>
      <c r="F32" s="52">
        <f>Total!E23*25</f>
        <v>0</v>
      </c>
      <c r="G32" s="52">
        <f>Total!F23*25</f>
        <v>0</v>
      </c>
      <c r="H32" s="52">
        <f>Total!G23*25</f>
        <v>500</v>
      </c>
      <c r="I32" s="52">
        <f>Total!H23*25</f>
        <v>225</v>
      </c>
      <c r="J32" s="52">
        <f>Total!I23*25</f>
        <v>0</v>
      </c>
      <c r="K32" s="52">
        <f>Total!J23*25</f>
        <v>0</v>
      </c>
      <c r="L32" s="52">
        <f>Total!K23*25</f>
        <v>0</v>
      </c>
      <c r="M32" s="52">
        <f>Total!L23*25</f>
        <v>0</v>
      </c>
      <c r="N32" s="1"/>
    </row>
    <row r="33" spans="1:14" ht="19.5" customHeight="1" x14ac:dyDescent="0.25">
      <c r="A33" s="112"/>
      <c r="B33" s="62" t="str">
        <f>Total!B24</f>
        <v>NC4</v>
      </c>
      <c r="C33" s="60" t="s">
        <v>10</v>
      </c>
      <c r="D33" s="52">
        <f>Total!C24*20</f>
        <v>0</v>
      </c>
      <c r="E33" s="52">
        <f>Total!D24*20</f>
        <v>0</v>
      </c>
      <c r="F33" s="52">
        <f>Total!E24*25</f>
        <v>0</v>
      </c>
      <c r="G33" s="52">
        <f>Total!F24*25</f>
        <v>0</v>
      </c>
      <c r="H33" s="52">
        <f>Total!G24*25</f>
        <v>375</v>
      </c>
      <c r="I33" s="52">
        <f>Total!H24*25</f>
        <v>275</v>
      </c>
      <c r="J33" s="52">
        <f>Total!I24*25</f>
        <v>0</v>
      </c>
      <c r="K33" s="52">
        <f>Total!J24*25</f>
        <v>0</v>
      </c>
      <c r="L33" s="52">
        <f>Total!K24*25</f>
        <v>0</v>
      </c>
      <c r="M33" s="52">
        <f>Total!L24*25</f>
        <v>0</v>
      </c>
      <c r="N33" s="1"/>
    </row>
    <row r="34" spans="1:14" ht="19.5" customHeight="1" x14ac:dyDescent="0.25">
      <c r="A34" s="112"/>
      <c r="B34" s="62" t="str">
        <f>Total!B25</f>
        <v>NC5</v>
      </c>
      <c r="C34" s="60" t="s">
        <v>10</v>
      </c>
      <c r="D34" s="52">
        <f>Total!C25*20</f>
        <v>0</v>
      </c>
      <c r="E34" s="52">
        <f>Total!D25*20</f>
        <v>0</v>
      </c>
      <c r="F34" s="52">
        <f>Total!E25*25</f>
        <v>0</v>
      </c>
      <c r="G34" s="52">
        <f>Total!F25*25</f>
        <v>0</v>
      </c>
      <c r="H34" s="52">
        <f>Total!G25*25</f>
        <v>325</v>
      </c>
      <c r="I34" s="52">
        <f>Total!H25*25</f>
        <v>150</v>
      </c>
      <c r="J34" s="52">
        <f>Total!I25*25</f>
        <v>150</v>
      </c>
      <c r="K34" s="52">
        <f>Total!J25*25</f>
        <v>0</v>
      </c>
      <c r="L34" s="52">
        <f>Total!K25*25</f>
        <v>0</v>
      </c>
      <c r="M34" s="52">
        <f>Total!L25*25</f>
        <v>0</v>
      </c>
      <c r="N34" s="1"/>
    </row>
    <row r="35" spans="1:14" ht="19.5" customHeight="1" x14ac:dyDescent="0.25">
      <c r="A35" s="112"/>
      <c r="B35" s="62" t="str">
        <f>Total!B26</f>
        <v>NC6</v>
      </c>
      <c r="C35" s="60" t="s">
        <v>10</v>
      </c>
      <c r="D35" s="52">
        <f>Total!C26*20</f>
        <v>0</v>
      </c>
      <c r="E35" s="52">
        <f>Total!D26*20</f>
        <v>0</v>
      </c>
      <c r="F35" s="52">
        <f>Total!E26*25</f>
        <v>0</v>
      </c>
      <c r="G35" s="52">
        <f>Total!F26*25</f>
        <v>0</v>
      </c>
      <c r="H35" s="52">
        <f>Total!G26*25</f>
        <v>325</v>
      </c>
      <c r="I35" s="52">
        <f>Total!H26*25</f>
        <v>150</v>
      </c>
      <c r="J35" s="52">
        <f>Total!I26*25</f>
        <v>150</v>
      </c>
      <c r="K35" s="52">
        <f>Total!J26*25</f>
        <v>0</v>
      </c>
      <c r="L35" s="52">
        <f>Total!K26*25</f>
        <v>0</v>
      </c>
      <c r="M35" s="52">
        <f>Total!L26*25</f>
        <v>0</v>
      </c>
      <c r="N35" s="1"/>
    </row>
    <row r="36" spans="1:14" ht="19.5" customHeight="1" x14ac:dyDescent="0.25">
      <c r="A36" s="112" t="s">
        <v>42</v>
      </c>
      <c r="B36" s="62" t="str">
        <f>Total!B27</f>
        <v>NP1</v>
      </c>
      <c r="C36" s="60" t="s">
        <v>10</v>
      </c>
      <c r="D36" s="52">
        <f>Total!C27*20</f>
        <v>0</v>
      </c>
      <c r="E36" s="52">
        <f>Total!D27*20</f>
        <v>0</v>
      </c>
      <c r="F36" s="52">
        <f>Total!E27*25</f>
        <v>0</v>
      </c>
      <c r="G36" s="52">
        <f>Total!F27*25</f>
        <v>0</v>
      </c>
      <c r="H36" s="52">
        <f>Total!G27*25</f>
        <v>250</v>
      </c>
      <c r="I36" s="52">
        <f>Total!H27*25</f>
        <v>150</v>
      </c>
      <c r="J36" s="52">
        <f>Total!I27*25</f>
        <v>150</v>
      </c>
      <c r="K36" s="52">
        <f>Total!J27*25</f>
        <v>0</v>
      </c>
      <c r="L36" s="52">
        <f>Total!K27*25</f>
        <v>0</v>
      </c>
      <c r="M36" s="52">
        <f>Total!L27*25</f>
        <v>0</v>
      </c>
      <c r="N36" s="1"/>
    </row>
    <row r="37" spans="1:14" ht="19.5" customHeight="1" x14ac:dyDescent="0.25">
      <c r="A37" s="112"/>
      <c r="B37" s="62" t="str">
        <f>Total!B28</f>
        <v>NP2</v>
      </c>
      <c r="C37" s="60" t="s">
        <v>10</v>
      </c>
      <c r="D37" s="52">
        <f>Total!C28*20</f>
        <v>0</v>
      </c>
      <c r="E37" s="52">
        <f>Total!D28*20</f>
        <v>0</v>
      </c>
      <c r="F37" s="52">
        <f>Total!E28*25</f>
        <v>0</v>
      </c>
      <c r="G37" s="52">
        <f>Total!F28*25</f>
        <v>0</v>
      </c>
      <c r="H37" s="52">
        <f>Total!G28*25</f>
        <v>100</v>
      </c>
      <c r="I37" s="52">
        <f>Total!H28*25</f>
        <v>150</v>
      </c>
      <c r="J37" s="52">
        <f>Total!I28*25</f>
        <v>150</v>
      </c>
      <c r="K37" s="52">
        <f>Total!J28*25</f>
        <v>0</v>
      </c>
      <c r="L37" s="52">
        <f>Total!K28*25</f>
        <v>0</v>
      </c>
      <c r="M37" s="52">
        <f>Total!L28*25</f>
        <v>0</v>
      </c>
      <c r="N37" s="1"/>
    </row>
    <row r="38" spans="1:14" ht="19.5" customHeight="1" x14ac:dyDescent="0.25">
      <c r="A38" s="112"/>
      <c r="B38" s="62" t="str">
        <f>Total!B29</f>
        <v>NP3</v>
      </c>
      <c r="C38" s="60" t="s">
        <v>10</v>
      </c>
      <c r="D38" s="52">
        <f>Total!C29*20</f>
        <v>0</v>
      </c>
      <c r="E38" s="52">
        <f>Total!D29*20</f>
        <v>0</v>
      </c>
      <c r="F38" s="52">
        <f>Total!E29*25</f>
        <v>0</v>
      </c>
      <c r="G38" s="52">
        <f>Total!F29*25</f>
        <v>0</v>
      </c>
      <c r="H38" s="52">
        <f>Total!G29*25</f>
        <v>425</v>
      </c>
      <c r="I38" s="52">
        <f>Total!H29*25</f>
        <v>225</v>
      </c>
      <c r="J38" s="52">
        <f>Total!I29*25</f>
        <v>0</v>
      </c>
      <c r="K38" s="52">
        <f>Total!J29*25</f>
        <v>0</v>
      </c>
      <c r="L38" s="52">
        <f>Total!K29*25</f>
        <v>0</v>
      </c>
      <c r="M38" s="52">
        <f>Total!L29*25</f>
        <v>0</v>
      </c>
      <c r="N38" s="1"/>
    </row>
    <row r="39" spans="1:14" ht="19.5" customHeight="1" x14ac:dyDescent="0.25">
      <c r="A39" s="112"/>
      <c r="B39" s="62" t="str">
        <f>Total!B30</f>
        <v>NP4</v>
      </c>
      <c r="C39" s="60" t="s">
        <v>10</v>
      </c>
      <c r="D39" s="52">
        <f>Total!C30*20</f>
        <v>0</v>
      </c>
      <c r="E39" s="52">
        <f>Total!D30*20</f>
        <v>0</v>
      </c>
      <c r="F39" s="52">
        <f>Total!E30*25</f>
        <v>0</v>
      </c>
      <c r="G39" s="52">
        <f>Total!F30*25</f>
        <v>0</v>
      </c>
      <c r="H39" s="52">
        <f>Total!G30*25</f>
        <v>425</v>
      </c>
      <c r="I39" s="52">
        <f>Total!H30*25</f>
        <v>225</v>
      </c>
      <c r="J39" s="52">
        <f>Total!I30*25</f>
        <v>0</v>
      </c>
      <c r="K39" s="52">
        <f>Total!J30*25</f>
        <v>0</v>
      </c>
      <c r="L39" s="52">
        <f>Total!K30*25</f>
        <v>0</v>
      </c>
      <c r="M39" s="52">
        <f>Total!L30*25</f>
        <v>0</v>
      </c>
      <c r="N39" s="1"/>
    </row>
    <row r="40" spans="1:14" ht="19.5" customHeight="1" x14ac:dyDescent="0.25">
      <c r="A40" s="112"/>
      <c r="B40" s="62" t="str">
        <f>Total!B31</f>
        <v>NP5</v>
      </c>
      <c r="C40" s="60" t="s">
        <v>10</v>
      </c>
      <c r="D40" s="52">
        <f>Total!C31*20</f>
        <v>0</v>
      </c>
      <c r="E40" s="52">
        <f>Total!D31*20</f>
        <v>0</v>
      </c>
      <c r="F40" s="52">
        <f>Total!E31*25</f>
        <v>0</v>
      </c>
      <c r="G40" s="52">
        <f>Total!F31*25</f>
        <v>0</v>
      </c>
      <c r="H40" s="52">
        <f>Total!G31*25</f>
        <v>100</v>
      </c>
      <c r="I40" s="52">
        <f>Total!H31*25</f>
        <v>150</v>
      </c>
      <c r="J40" s="52">
        <f>Total!I31*25</f>
        <v>150</v>
      </c>
      <c r="K40" s="52">
        <f>Total!J31*25</f>
        <v>0</v>
      </c>
      <c r="L40" s="52">
        <f>Total!K31*25</f>
        <v>0</v>
      </c>
      <c r="M40" s="52">
        <f>Total!L31*25</f>
        <v>0</v>
      </c>
      <c r="N40" s="1"/>
    </row>
    <row r="41" spans="1:14" ht="19.5" customHeight="1" x14ac:dyDescent="0.25">
      <c r="A41" s="112"/>
      <c r="B41" s="62" t="str">
        <f>Total!B32</f>
        <v>NP6</v>
      </c>
      <c r="C41" s="60" t="s">
        <v>10</v>
      </c>
      <c r="D41" s="52">
        <f>Total!C32*20</f>
        <v>0</v>
      </c>
      <c r="E41" s="52">
        <f>Total!D32*20</f>
        <v>0</v>
      </c>
      <c r="F41" s="52">
        <f>Total!E32*25</f>
        <v>0</v>
      </c>
      <c r="G41" s="52">
        <f>Total!F32*25</f>
        <v>0</v>
      </c>
      <c r="H41" s="52">
        <f>Total!G32*25</f>
        <v>100</v>
      </c>
      <c r="I41" s="52">
        <f>Total!H32*25</f>
        <v>150</v>
      </c>
      <c r="J41" s="52">
        <f>Total!I32*25</f>
        <v>150</v>
      </c>
      <c r="K41" s="52">
        <f>Total!J32*25</f>
        <v>0</v>
      </c>
      <c r="L41" s="52">
        <f>Total!K32*25</f>
        <v>0</v>
      </c>
      <c r="M41" s="52">
        <f>Total!L32*25</f>
        <v>0</v>
      </c>
      <c r="N41" s="1"/>
    </row>
    <row r="42" spans="1:14" ht="19.5" customHeight="1" x14ac:dyDescent="0.25">
      <c r="A42" s="132" t="s">
        <v>49</v>
      </c>
      <c r="B42" s="62" t="str">
        <f>Total!B33</f>
        <v>C1</v>
      </c>
      <c r="C42" s="60" t="s">
        <v>51</v>
      </c>
      <c r="D42" s="52">
        <f>Total!C33*20</f>
        <v>0</v>
      </c>
      <c r="E42" s="52">
        <f>Total!D33*20</f>
        <v>0</v>
      </c>
      <c r="F42" s="52">
        <f>Total!E33*25</f>
        <v>0</v>
      </c>
      <c r="G42" s="52">
        <f>Total!F33*25</f>
        <v>0</v>
      </c>
      <c r="H42" s="52">
        <f>Total!G33*25</f>
        <v>100</v>
      </c>
      <c r="I42" s="52">
        <f>Total!H33*25</f>
        <v>150</v>
      </c>
      <c r="J42" s="52">
        <f>Total!I33*25</f>
        <v>0</v>
      </c>
      <c r="K42" s="52">
        <f>Total!J33*25</f>
        <v>0</v>
      </c>
      <c r="L42" s="52">
        <f>Total!K33*25</f>
        <v>0</v>
      </c>
      <c r="M42" s="52">
        <f>Total!L33*25</f>
        <v>0</v>
      </c>
      <c r="N42" s="1" t="str">
        <f>+B42</f>
        <v>C1</v>
      </c>
    </row>
    <row r="43" spans="1:14" ht="19.5" customHeight="1" x14ac:dyDescent="0.25">
      <c r="A43" s="133"/>
      <c r="B43" s="62" t="str">
        <f>Total!B34</f>
        <v>C2N</v>
      </c>
      <c r="C43" s="60" t="s">
        <v>56</v>
      </c>
      <c r="D43" s="52">
        <f>Total!C34*20</f>
        <v>0</v>
      </c>
      <c r="E43" s="52">
        <f>Total!D34*20</f>
        <v>160</v>
      </c>
      <c r="F43" s="52">
        <f>Total!E34*25</f>
        <v>225</v>
      </c>
      <c r="G43" s="52">
        <f>Total!F34*25</f>
        <v>0</v>
      </c>
      <c r="H43" s="52">
        <f>Total!G34*25</f>
        <v>0</v>
      </c>
      <c r="I43" s="52">
        <f>Total!H34*25</f>
        <v>0</v>
      </c>
      <c r="J43" s="52">
        <f>Total!I34*25</f>
        <v>0</v>
      </c>
      <c r="K43" s="52">
        <f>Total!J34*25</f>
        <v>0</v>
      </c>
      <c r="L43" s="52">
        <f>Total!K34*25</f>
        <v>0</v>
      </c>
      <c r="M43" s="52">
        <f>Total!L34*25</f>
        <v>0</v>
      </c>
      <c r="N43" s="1" t="str">
        <f>+B43</f>
        <v>C2N</v>
      </c>
    </row>
    <row r="44" spans="1:14" ht="19.5" customHeight="1" x14ac:dyDescent="0.25">
      <c r="A44" s="133"/>
      <c r="B44" s="62" t="str">
        <f>Total!B35</f>
        <v>C2</v>
      </c>
      <c r="C44" s="60" t="s">
        <v>51</v>
      </c>
      <c r="D44" s="52">
        <f>Total!C35*20</f>
        <v>0</v>
      </c>
      <c r="E44" s="52">
        <f>Total!D35*20</f>
        <v>0</v>
      </c>
      <c r="F44" s="52">
        <f>Total!E35*25</f>
        <v>0</v>
      </c>
      <c r="G44" s="52">
        <f>Total!F35*25</f>
        <v>0</v>
      </c>
      <c r="H44" s="52">
        <f>Total!G35*25</f>
        <v>100</v>
      </c>
      <c r="I44" s="52">
        <f>Total!H35*25</f>
        <v>150</v>
      </c>
      <c r="J44" s="52">
        <f>Total!I35*25</f>
        <v>0</v>
      </c>
      <c r="K44" s="52">
        <f>Total!J35*25</f>
        <v>0</v>
      </c>
      <c r="L44" s="52">
        <f>Total!K35*25</f>
        <v>0</v>
      </c>
      <c r="M44" s="52">
        <f>Total!L35*25</f>
        <v>0</v>
      </c>
      <c r="N44" s="1"/>
    </row>
    <row r="45" spans="1:14" ht="19.5" customHeight="1" x14ac:dyDescent="0.25">
      <c r="A45" s="133"/>
      <c r="B45" s="62" t="str">
        <f>Total!B36</f>
        <v>C3</v>
      </c>
      <c r="C45" s="60" t="s">
        <v>10</v>
      </c>
      <c r="D45" s="52">
        <f>Total!C36*20</f>
        <v>0</v>
      </c>
      <c r="E45" s="52">
        <f>Total!D36*20</f>
        <v>0</v>
      </c>
      <c r="F45" s="52">
        <f>Total!E36*25</f>
        <v>0</v>
      </c>
      <c r="G45" s="52">
        <f>Total!F36*25</f>
        <v>0</v>
      </c>
      <c r="H45" s="52">
        <f>Total!G36*25</f>
        <v>75</v>
      </c>
      <c r="I45" s="52">
        <f>Total!H36*25</f>
        <v>0</v>
      </c>
      <c r="J45" s="52">
        <f>Total!I36*25</f>
        <v>75</v>
      </c>
      <c r="K45" s="52">
        <f>Total!J36*25</f>
        <v>0</v>
      </c>
      <c r="L45" s="52">
        <f>Total!K36*25</f>
        <v>0</v>
      </c>
      <c r="M45" s="52">
        <f>Total!L36*25</f>
        <v>0</v>
      </c>
      <c r="N45" s="1" t="str">
        <f>+B45</f>
        <v>C3</v>
      </c>
    </row>
    <row r="46" spans="1:14" ht="19.5" customHeight="1" x14ac:dyDescent="0.25">
      <c r="A46" s="133"/>
      <c r="B46" s="62" t="str">
        <f>Total!B37</f>
        <v>C4</v>
      </c>
      <c r="C46" s="60" t="s">
        <v>26</v>
      </c>
      <c r="D46" s="52">
        <f>Total!C37*20</f>
        <v>0</v>
      </c>
      <c r="E46" s="52">
        <f>Total!D37*20</f>
        <v>0</v>
      </c>
      <c r="F46" s="52">
        <f>Total!E37*25</f>
        <v>0</v>
      </c>
      <c r="G46" s="52">
        <f>Total!F37*25</f>
        <v>0</v>
      </c>
      <c r="H46" s="52">
        <f>Total!G37*25</f>
        <v>75</v>
      </c>
      <c r="I46" s="52">
        <f>Total!H37*25</f>
        <v>0</v>
      </c>
      <c r="J46" s="52">
        <f>Total!I37*25</f>
        <v>0</v>
      </c>
      <c r="K46" s="52">
        <f>Total!J37*25</f>
        <v>0</v>
      </c>
      <c r="L46" s="52">
        <f>Total!K37*25</f>
        <v>0</v>
      </c>
      <c r="M46" s="52">
        <f>Total!L37*25</f>
        <v>0</v>
      </c>
      <c r="N46" s="1" t="str">
        <f>+B46</f>
        <v>C4</v>
      </c>
    </row>
    <row r="47" spans="1:14" ht="19.5" customHeight="1" x14ac:dyDescent="0.25">
      <c r="A47" s="133"/>
      <c r="B47" s="62" t="str">
        <f>Total!B38</f>
        <v>C5</v>
      </c>
      <c r="C47" s="60" t="s">
        <v>86</v>
      </c>
      <c r="D47" s="52">
        <f>Total!C38*20</f>
        <v>0</v>
      </c>
      <c r="E47" s="52">
        <f>Total!D38*20</f>
        <v>0</v>
      </c>
      <c r="F47" s="52">
        <f>Total!E38*25</f>
        <v>225</v>
      </c>
      <c r="G47" s="52">
        <f>Total!F38*25</f>
        <v>0</v>
      </c>
      <c r="H47" s="52">
        <f>Total!G38*25</f>
        <v>75</v>
      </c>
      <c r="I47" s="52">
        <f>Total!H38*25</f>
        <v>0</v>
      </c>
      <c r="J47" s="52">
        <f>Total!I38*25</f>
        <v>50</v>
      </c>
      <c r="K47" s="52">
        <f>Total!J38*25</f>
        <v>0</v>
      </c>
      <c r="L47" s="52">
        <f>Total!K38*25</f>
        <v>0</v>
      </c>
      <c r="M47" s="52">
        <f>Total!L38*25</f>
        <v>0</v>
      </c>
      <c r="N47" s="1"/>
    </row>
    <row r="48" spans="1:14" ht="19.5" customHeight="1" x14ac:dyDescent="0.25">
      <c r="A48" s="133"/>
      <c r="B48" s="62" t="str">
        <f>Total!B39</f>
        <v>C6</v>
      </c>
      <c r="C48" s="60" t="s">
        <v>87</v>
      </c>
      <c r="D48" s="52">
        <f>Total!C39*20</f>
        <v>0</v>
      </c>
      <c r="E48" s="52">
        <f>Total!D39*20</f>
        <v>0</v>
      </c>
      <c r="F48" s="52">
        <f>Total!E39*25</f>
        <v>0</v>
      </c>
      <c r="G48" s="52">
        <f>Total!F39*25</f>
        <v>0</v>
      </c>
      <c r="H48" s="52">
        <f>Total!G39*25</f>
        <v>200</v>
      </c>
      <c r="I48" s="52">
        <f>Total!H39*25</f>
        <v>0</v>
      </c>
      <c r="J48" s="52">
        <f>Total!I39*25</f>
        <v>0</v>
      </c>
      <c r="K48" s="52">
        <f>Total!J39*25</f>
        <v>0</v>
      </c>
      <c r="L48" s="52">
        <f>Total!K39*25</f>
        <v>0</v>
      </c>
      <c r="M48" s="52">
        <f>Total!L39*25</f>
        <v>0</v>
      </c>
      <c r="N48" s="1" t="str">
        <f>+B48</f>
        <v>C6</v>
      </c>
    </row>
    <row r="49" spans="1:26" ht="19.5" customHeight="1" x14ac:dyDescent="0.25">
      <c r="A49" s="58" t="s">
        <v>76</v>
      </c>
      <c r="B49" s="63" t="str">
        <f>Total!B40</f>
        <v>Hatchery</v>
      </c>
      <c r="C49" s="60" t="s">
        <v>56</v>
      </c>
      <c r="D49" s="52">
        <f>Total!C40*20</f>
        <v>0</v>
      </c>
      <c r="E49" s="52">
        <f>Total!D40*20</f>
        <v>160</v>
      </c>
      <c r="F49" s="52">
        <f>Total!E40*25</f>
        <v>200</v>
      </c>
      <c r="G49" s="52">
        <f>Total!F40*25</f>
        <v>0</v>
      </c>
      <c r="H49" s="52">
        <f>Total!G40*25</f>
        <v>0</v>
      </c>
      <c r="I49" s="52">
        <f>Total!H40*25</f>
        <v>0</v>
      </c>
      <c r="J49" s="52">
        <f>Total!I40*25</f>
        <v>0</v>
      </c>
      <c r="K49" s="52">
        <f>Total!J40*25</f>
        <v>0</v>
      </c>
      <c r="L49" s="52">
        <f>Total!K40*25</f>
        <v>0</v>
      </c>
      <c r="M49" s="52">
        <f>Total!L40*25</f>
        <v>0</v>
      </c>
    </row>
    <row r="50" spans="1:26" ht="19.5" customHeight="1" x14ac:dyDescent="0.25">
      <c r="A50" s="58" t="s">
        <v>77</v>
      </c>
      <c r="B50" s="62" t="str">
        <f>Total!B41</f>
        <v>Jaula</v>
      </c>
      <c r="C50" s="61" t="s">
        <v>26</v>
      </c>
      <c r="D50" s="52">
        <f>Total!C41*20</f>
        <v>0</v>
      </c>
      <c r="E50" s="52">
        <f>Total!D41*20</f>
        <v>0</v>
      </c>
      <c r="F50" s="52">
        <f>Total!E41*25</f>
        <v>0</v>
      </c>
      <c r="G50" s="52">
        <f>Total!F41*25</f>
        <v>0</v>
      </c>
      <c r="H50" s="52">
        <f>Total!G41*25</f>
        <v>0</v>
      </c>
      <c r="I50" s="52">
        <f>Total!H41*25</f>
        <v>0</v>
      </c>
      <c r="J50" s="52">
        <f>Total!I41*25</f>
        <v>0</v>
      </c>
      <c r="K50" s="52">
        <f>Total!J41*25</f>
        <v>0</v>
      </c>
      <c r="L50" s="52">
        <f>Total!K41*25</f>
        <v>0</v>
      </c>
      <c r="M50" s="52">
        <f>Total!L41*25</f>
        <v>0</v>
      </c>
    </row>
    <row r="51" spans="1:26" s="7" customFormat="1" ht="3" customHeight="1" x14ac:dyDescent="0.25">
      <c r="A51" s="27"/>
      <c r="B51" s="27"/>
      <c r="C51" s="27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s="7" customFormat="1" ht="17.25" customHeight="1" x14ac:dyDescent="0.25">
      <c r="A52" s="27"/>
      <c r="B52" s="27"/>
      <c r="C52" s="27"/>
      <c r="D52" s="28"/>
      <c r="E52" s="28"/>
      <c r="F52" s="28"/>
      <c r="G52" s="28"/>
      <c r="H52" s="124"/>
      <c r="I52" s="124"/>
      <c r="J52" s="125"/>
      <c r="K52" s="125"/>
      <c r="L52" s="125"/>
      <c r="M52" s="125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s="7" customFormat="1" ht="24" customHeight="1" x14ac:dyDescent="0.25">
      <c r="A53" s="126"/>
      <c r="B53" s="126"/>
      <c r="C53" s="126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s="7" customFormat="1" ht="24" customHeight="1" x14ac:dyDescent="0.25">
      <c r="A54" s="27"/>
      <c r="B54" s="27"/>
      <c r="C54" s="27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s="7" customFormat="1" ht="24" customHeight="1" x14ac:dyDescent="0.25">
      <c r="A55" s="126"/>
      <c r="B55" s="126"/>
      <c r="C55" s="126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s="7" customFormat="1" ht="24" customHeight="1" x14ac:dyDescent="0.25">
      <c r="A56" s="126"/>
      <c r="B56" s="126"/>
      <c r="C56" s="126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s="7" customFormat="1" ht="14.25" customHeight="1" x14ac:dyDescent="0.25">
      <c r="A57" s="134" t="s">
        <v>58</v>
      </c>
      <c r="B57" s="135"/>
      <c r="C57" s="66" t="s">
        <v>59</v>
      </c>
      <c r="D57" s="115" t="s">
        <v>60</v>
      </c>
      <c r="E57" s="115"/>
      <c r="F57" s="115"/>
      <c r="G57" s="115"/>
      <c r="H57" s="115"/>
      <c r="I57" s="115"/>
      <c r="J57" s="116"/>
      <c r="K57" s="116"/>
      <c r="L57" s="116"/>
      <c r="M57" s="116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s="7" customFormat="1" ht="14.25" customHeight="1" x14ac:dyDescent="0.25">
      <c r="A58" s="134" t="s">
        <v>61</v>
      </c>
      <c r="B58" s="135"/>
      <c r="C58" s="67" t="s">
        <v>62</v>
      </c>
      <c r="D58" s="115"/>
      <c r="E58" s="115"/>
      <c r="F58" s="115"/>
      <c r="G58" s="115"/>
      <c r="H58" s="115"/>
      <c r="I58" s="115"/>
      <c r="J58" s="116"/>
      <c r="K58" s="116"/>
      <c r="L58" s="116"/>
      <c r="M58" s="116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 s="7" customFormat="1" ht="14.25" customHeight="1" x14ac:dyDescent="0.25">
      <c r="A59" s="134" t="s">
        <v>63</v>
      </c>
      <c r="B59" s="135"/>
      <c r="C59" s="68">
        <v>44701</v>
      </c>
      <c r="D59" s="119" t="s">
        <v>64</v>
      </c>
      <c r="E59" s="119"/>
      <c r="F59" s="119"/>
      <c r="G59" s="119"/>
      <c r="H59" s="119"/>
      <c r="I59" s="119"/>
      <c r="J59" s="116"/>
      <c r="K59" s="116"/>
      <c r="L59" s="116"/>
      <c r="M59" s="116"/>
      <c r="N59"/>
      <c r="O59"/>
      <c r="P59"/>
      <c r="Q59"/>
      <c r="R59"/>
      <c r="S59"/>
      <c r="T59"/>
      <c r="U59"/>
      <c r="V59"/>
      <c r="W59"/>
      <c r="X59"/>
      <c r="Y59"/>
      <c r="Z59"/>
    </row>
    <row r="60" spans="1:26" s="7" customFormat="1" ht="14.25" customHeight="1" x14ac:dyDescent="0.25">
      <c r="A60" s="134" t="s">
        <v>65</v>
      </c>
      <c r="B60" s="135"/>
      <c r="C60" s="66" t="s">
        <v>66</v>
      </c>
      <c r="D60" s="119"/>
      <c r="E60" s="119"/>
      <c r="F60" s="119"/>
      <c r="G60" s="119"/>
      <c r="H60" s="119"/>
      <c r="I60" s="119"/>
      <c r="J60" s="116"/>
      <c r="K60" s="116"/>
      <c r="L60" s="116"/>
      <c r="M60" s="116"/>
      <c r="N60"/>
      <c r="O60"/>
      <c r="P60"/>
      <c r="Q60"/>
      <c r="R60"/>
      <c r="S60"/>
      <c r="T60"/>
      <c r="U60"/>
      <c r="V60"/>
      <c r="W60"/>
      <c r="X60"/>
      <c r="Y60"/>
      <c r="Z60"/>
    </row>
    <row r="61" spans="1:26" s="7" customFormat="1" ht="14.25" customHeight="1" x14ac:dyDescent="0.25">
      <c r="A61" s="136" t="s">
        <v>67</v>
      </c>
      <c r="B61" s="137"/>
      <c r="C61" s="66" t="s">
        <v>68</v>
      </c>
      <c r="D61" s="119"/>
      <c r="E61" s="119"/>
      <c r="F61" s="119"/>
      <c r="G61" s="119"/>
      <c r="H61" s="119"/>
      <c r="I61" s="119"/>
      <c r="J61" s="120" t="s">
        <v>112</v>
      </c>
      <c r="K61" s="120"/>
      <c r="L61" s="120"/>
      <c r="M61" s="120"/>
      <c r="N61"/>
      <c r="O61"/>
      <c r="P61"/>
      <c r="Q61"/>
      <c r="R61"/>
      <c r="S61"/>
      <c r="T61"/>
      <c r="U61"/>
      <c r="V61"/>
      <c r="W61"/>
      <c r="X61"/>
      <c r="Y61"/>
      <c r="Z61"/>
    </row>
    <row r="62" spans="1:26" s="7" customFormat="1" ht="14.25" customHeight="1" x14ac:dyDescent="0.25">
      <c r="A62" s="134" t="s">
        <v>69</v>
      </c>
      <c r="B62" s="135"/>
      <c r="C62" s="66" t="s">
        <v>66</v>
      </c>
      <c r="D62" s="121" t="s">
        <v>70</v>
      </c>
      <c r="E62" s="121"/>
      <c r="F62" s="121"/>
      <c r="G62" s="121"/>
      <c r="H62" s="121"/>
      <c r="I62" s="121"/>
      <c r="J62" s="120"/>
      <c r="K62" s="120"/>
      <c r="L62" s="120"/>
      <c r="M62" s="120"/>
      <c r="N62"/>
      <c r="O62"/>
      <c r="P62"/>
      <c r="Q62"/>
      <c r="R62"/>
      <c r="S62"/>
      <c r="T62"/>
      <c r="U62"/>
      <c r="V62"/>
      <c r="W62"/>
      <c r="X62"/>
      <c r="Y62"/>
      <c r="Z62"/>
    </row>
    <row r="63" spans="1:26" s="7" customFormat="1" ht="14.25" customHeight="1" x14ac:dyDescent="0.25">
      <c r="A63" s="134" t="s">
        <v>71</v>
      </c>
      <c r="B63" s="135"/>
      <c r="C63" s="66" t="s">
        <v>85</v>
      </c>
      <c r="D63" s="121"/>
      <c r="E63" s="121"/>
      <c r="F63" s="121"/>
      <c r="G63" s="121"/>
      <c r="H63" s="121"/>
      <c r="I63" s="121"/>
      <c r="J63" s="120"/>
      <c r="K63" s="120"/>
      <c r="L63" s="120"/>
      <c r="M63" s="120"/>
      <c r="N63"/>
      <c r="O63"/>
      <c r="P63"/>
      <c r="Q63"/>
      <c r="R63"/>
      <c r="S63"/>
      <c r="T63"/>
      <c r="U63"/>
      <c r="V63"/>
      <c r="W63"/>
      <c r="X63"/>
      <c r="Y63"/>
      <c r="Z63"/>
    </row>
    <row r="64" spans="1:26" s="7" customFormat="1" ht="5.25" customHeight="1" x14ac:dyDescent="0.25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/>
      <c r="O64"/>
      <c r="P64"/>
      <c r="Q64"/>
      <c r="R64"/>
      <c r="S64"/>
      <c r="T64"/>
      <c r="U64"/>
      <c r="V64"/>
      <c r="W64"/>
      <c r="X64"/>
      <c r="Y64"/>
      <c r="Z64"/>
    </row>
    <row r="65" spans="1:13" x14ac:dyDescent="0.25"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</row>
    <row r="66" spans="1:13" ht="90.75" customHeight="1" thickBot="1" x14ac:dyDescent="0.3">
      <c r="A66" s="29"/>
      <c r="B66" s="29"/>
      <c r="C66" s="56" t="s">
        <v>101</v>
      </c>
      <c r="D66" s="30" t="str">
        <f>D11</f>
        <v>Thalassa 0.9 -1.6</v>
      </c>
      <c r="E66" s="30" t="str">
        <f t="shared" ref="E66:M66" si="1">E11</f>
        <v>Thalassa 1.3 - 2.0</v>
      </c>
      <c r="F66" s="30" t="str">
        <f t="shared" si="1"/>
        <v>3 mm progress ex</v>
      </c>
      <c r="G66" s="30" t="str">
        <f t="shared" si="1"/>
        <v>4.5 mm Progress</v>
      </c>
      <c r="H66" s="30" t="str">
        <f t="shared" si="1"/>
        <v>6 mm Progress</v>
      </c>
      <c r="I66" s="30" t="str">
        <f t="shared" si="1"/>
        <v>8 mm Progress</v>
      </c>
      <c r="J66" s="30" t="str">
        <f t="shared" si="1"/>
        <v>8 mm Reproductor</v>
      </c>
      <c r="K66" s="30">
        <f t="shared" si="1"/>
        <v>0</v>
      </c>
      <c r="L66" s="30">
        <f t="shared" si="1"/>
        <v>0</v>
      </c>
      <c r="M66" s="30">
        <f t="shared" si="1"/>
        <v>0</v>
      </c>
    </row>
    <row r="67" spans="1:13" ht="21.75" customHeight="1" thickBot="1" x14ac:dyDescent="0.3">
      <c r="A67" s="128" t="s">
        <v>103</v>
      </c>
      <c r="B67" s="129"/>
      <c r="C67" s="74">
        <f>SUM(D67:M67)</f>
        <v>13145</v>
      </c>
      <c r="D67" s="75">
        <f>SUM(D12:D50)</f>
        <v>0</v>
      </c>
      <c r="E67" s="76">
        <f t="shared" ref="E67:M67" si="2">SUM(E12:E50)</f>
        <v>320</v>
      </c>
      <c r="F67" s="76">
        <f t="shared" si="2"/>
        <v>1250</v>
      </c>
      <c r="G67" s="76">
        <f t="shared" si="2"/>
        <v>275</v>
      </c>
      <c r="H67" s="76">
        <f t="shared" si="2"/>
        <v>6925</v>
      </c>
      <c r="I67" s="76">
        <f t="shared" si="2"/>
        <v>3350</v>
      </c>
      <c r="J67" s="76">
        <f t="shared" si="2"/>
        <v>1025</v>
      </c>
      <c r="K67" s="76">
        <f t="shared" si="2"/>
        <v>0</v>
      </c>
      <c r="L67" s="76">
        <f t="shared" si="2"/>
        <v>0</v>
      </c>
      <c r="M67" s="77">
        <f t="shared" si="2"/>
        <v>0</v>
      </c>
    </row>
    <row r="68" spans="1:13" ht="21.75" customHeight="1" x14ac:dyDescent="0.25">
      <c r="A68" s="127" t="s">
        <v>82</v>
      </c>
      <c r="B68" s="127"/>
      <c r="C68" s="71">
        <f t="shared" ref="C68:C69" si="3">SUM(D68:M68)</f>
        <v>15125</v>
      </c>
      <c r="D68" s="72">
        <v>600</v>
      </c>
      <c r="E68" s="73">
        <v>600</v>
      </c>
      <c r="F68" s="73">
        <v>3975</v>
      </c>
      <c r="G68" s="73">
        <v>0</v>
      </c>
      <c r="H68" s="73">
        <v>8900</v>
      </c>
      <c r="I68" s="73">
        <v>1050</v>
      </c>
      <c r="J68" s="73">
        <v>0</v>
      </c>
      <c r="K68" s="73">
        <v>0</v>
      </c>
      <c r="L68" s="73">
        <v>0</v>
      </c>
      <c r="M68" s="73">
        <v>0</v>
      </c>
    </row>
    <row r="69" spans="1:13" ht="21.75" customHeight="1" x14ac:dyDescent="0.25">
      <c r="A69" s="127" t="s">
        <v>83</v>
      </c>
      <c r="B69" s="127"/>
      <c r="C69" s="70">
        <f t="shared" si="3"/>
        <v>22500</v>
      </c>
      <c r="D69" s="54">
        <v>0</v>
      </c>
      <c r="E69" s="52">
        <v>0</v>
      </c>
      <c r="F69" s="52">
        <v>0</v>
      </c>
      <c r="G69" s="52">
        <v>5000</v>
      </c>
      <c r="H69" s="52">
        <v>5000</v>
      </c>
      <c r="I69" s="52">
        <v>6250</v>
      </c>
      <c r="J69" s="52">
        <v>6250</v>
      </c>
      <c r="K69" s="52">
        <v>0</v>
      </c>
      <c r="L69" s="52">
        <v>0</v>
      </c>
      <c r="M69" s="52">
        <v>0</v>
      </c>
    </row>
    <row r="70" spans="1:13" ht="21.75" customHeight="1" x14ac:dyDescent="0.25">
      <c r="A70" s="130" t="s">
        <v>102</v>
      </c>
      <c r="B70" s="130"/>
      <c r="C70" s="31">
        <f>SUM(D70:M70)</f>
        <v>24480</v>
      </c>
      <c r="D70" s="31">
        <f>(D68+D69)-D67</f>
        <v>600</v>
      </c>
      <c r="E70" s="31">
        <f t="shared" ref="E70:M70" si="4">(E68+E69)-E67</f>
        <v>280</v>
      </c>
      <c r="F70" s="31">
        <f t="shared" si="4"/>
        <v>2725</v>
      </c>
      <c r="G70" s="31">
        <f t="shared" si="4"/>
        <v>4725</v>
      </c>
      <c r="H70" s="31">
        <f t="shared" si="4"/>
        <v>6975</v>
      </c>
      <c r="I70" s="31">
        <f t="shared" si="4"/>
        <v>3950</v>
      </c>
      <c r="J70" s="31">
        <f t="shared" si="4"/>
        <v>5225</v>
      </c>
      <c r="K70" s="31">
        <f t="shared" si="4"/>
        <v>0</v>
      </c>
      <c r="L70" s="31">
        <f t="shared" si="4"/>
        <v>0</v>
      </c>
      <c r="M70" s="31">
        <f t="shared" si="4"/>
        <v>0</v>
      </c>
    </row>
    <row r="76" spans="1:13" ht="83.25" customHeight="1" x14ac:dyDescent="0.25">
      <c r="A76" s="130" t="s">
        <v>98</v>
      </c>
      <c r="B76" s="130"/>
      <c r="C76" s="55" t="s">
        <v>104</v>
      </c>
      <c r="D76" s="30" t="str">
        <f>D11</f>
        <v>Thalassa 0.9 -1.6</v>
      </c>
      <c r="E76" s="30" t="str">
        <f t="shared" ref="E76:M76" si="5">E11</f>
        <v>Thalassa 1.3 - 2.0</v>
      </c>
      <c r="F76" s="30" t="str">
        <f t="shared" si="5"/>
        <v>3 mm progress ex</v>
      </c>
      <c r="G76" s="30" t="str">
        <f t="shared" si="5"/>
        <v>4.5 mm Progress</v>
      </c>
      <c r="H76" s="30" t="str">
        <f t="shared" si="5"/>
        <v>6 mm Progress</v>
      </c>
      <c r="I76" s="30" t="str">
        <f t="shared" si="5"/>
        <v>8 mm Progress</v>
      </c>
      <c r="J76" s="30" t="str">
        <f t="shared" si="5"/>
        <v>8 mm Reproductor</v>
      </c>
      <c r="K76" s="30">
        <f t="shared" si="5"/>
        <v>0</v>
      </c>
      <c r="L76" s="30">
        <f t="shared" si="5"/>
        <v>0</v>
      </c>
      <c r="M76" s="30">
        <f t="shared" si="5"/>
        <v>0</v>
      </c>
    </row>
    <row r="77" spans="1:13" x14ac:dyDescent="0.25">
      <c r="A77" s="130" t="s">
        <v>21</v>
      </c>
      <c r="B77" s="130"/>
      <c r="C77" s="49">
        <f>SUM(D77:M77)</f>
        <v>350</v>
      </c>
      <c r="D77" s="54">
        <f>Hoja21!B4</f>
        <v>0</v>
      </c>
      <c r="E77" s="52">
        <f>Hoja21!C4</f>
        <v>0</v>
      </c>
      <c r="F77" s="52">
        <f>Hoja21!D4</f>
        <v>200</v>
      </c>
      <c r="G77" s="52">
        <f>Hoja21!E4</f>
        <v>75</v>
      </c>
      <c r="H77" s="52">
        <f>Hoja21!F4</f>
        <v>75</v>
      </c>
      <c r="I77" s="52">
        <f>Hoja21!G4</f>
        <v>0</v>
      </c>
      <c r="J77" s="52">
        <f>Hoja21!H4</f>
        <v>0</v>
      </c>
      <c r="K77" s="52">
        <f>Hoja21!I4</f>
        <v>0</v>
      </c>
      <c r="L77" s="52">
        <f>Hoja21!J4</f>
        <v>0</v>
      </c>
      <c r="M77" s="52">
        <f>Hoja21!K4</f>
        <v>0</v>
      </c>
    </row>
    <row r="78" spans="1:13" x14ac:dyDescent="0.25">
      <c r="A78" s="130" t="s">
        <v>56</v>
      </c>
      <c r="B78" s="130"/>
      <c r="C78" s="48">
        <f t="shared" ref="C78:C86" si="6">SUM(D78:M78)</f>
        <v>745</v>
      </c>
      <c r="D78" s="54">
        <f>Hoja21!B5</f>
        <v>0</v>
      </c>
      <c r="E78" s="52">
        <f>Hoja21!C5</f>
        <v>320</v>
      </c>
      <c r="F78" s="52">
        <f>Hoja21!D5</f>
        <v>425</v>
      </c>
      <c r="G78" s="52">
        <f>Hoja21!E5</f>
        <v>0</v>
      </c>
      <c r="H78" s="52">
        <f>Hoja21!F5</f>
        <v>0</v>
      </c>
      <c r="I78" s="52">
        <f>Hoja21!G5</f>
        <v>0</v>
      </c>
      <c r="J78" s="52">
        <f>Hoja21!H5</f>
        <v>0</v>
      </c>
      <c r="K78" s="52">
        <f>Hoja21!I5</f>
        <v>0</v>
      </c>
      <c r="L78" s="52">
        <f>Hoja21!J5</f>
        <v>0</v>
      </c>
      <c r="M78" s="52">
        <f>Hoja21!K5</f>
        <v>0</v>
      </c>
    </row>
    <row r="79" spans="1:13" x14ac:dyDescent="0.25">
      <c r="A79" s="130" t="s">
        <v>26</v>
      </c>
      <c r="B79" s="130"/>
      <c r="C79" s="48">
        <f t="shared" si="6"/>
        <v>875</v>
      </c>
      <c r="D79" s="54">
        <f>Hoja21!B6</f>
        <v>0</v>
      </c>
      <c r="E79" s="52">
        <f>Hoja21!C6</f>
        <v>0</v>
      </c>
      <c r="F79" s="52">
        <f>Hoja21!D6</f>
        <v>0</v>
      </c>
      <c r="G79" s="52">
        <f>Hoja21!E6</f>
        <v>0</v>
      </c>
      <c r="H79" s="52">
        <f>Hoja21!F6</f>
        <v>425</v>
      </c>
      <c r="I79" s="52">
        <f>Hoja21!G6</f>
        <v>450</v>
      </c>
      <c r="J79" s="52">
        <f>Hoja21!H6</f>
        <v>0</v>
      </c>
      <c r="K79" s="52">
        <f>Hoja21!I6</f>
        <v>0</v>
      </c>
      <c r="L79" s="52">
        <f>Hoja21!J6</f>
        <v>0</v>
      </c>
      <c r="M79" s="52">
        <f>Hoja21!K6</f>
        <v>0</v>
      </c>
    </row>
    <row r="80" spans="1:13" x14ac:dyDescent="0.25">
      <c r="A80" s="130" t="s">
        <v>51</v>
      </c>
      <c r="B80" s="130"/>
      <c r="C80" s="48">
        <f t="shared" si="6"/>
        <v>500</v>
      </c>
      <c r="D80" s="54">
        <f>Hoja21!B7</f>
        <v>0</v>
      </c>
      <c r="E80" s="52">
        <f>Hoja21!C7</f>
        <v>0</v>
      </c>
      <c r="F80" s="52">
        <f>Hoja21!D7</f>
        <v>0</v>
      </c>
      <c r="G80" s="52">
        <f>Hoja21!E7</f>
        <v>0</v>
      </c>
      <c r="H80" s="52">
        <f>Hoja21!F7</f>
        <v>200</v>
      </c>
      <c r="I80" s="52">
        <f>Hoja21!G7</f>
        <v>300</v>
      </c>
      <c r="J80" s="52">
        <f>Hoja21!H7</f>
        <v>0</v>
      </c>
      <c r="K80" s="52">
        <f>Hoja21!I7</f>
        <v>0</v>
      </c>
      <c r="L80" s="52">
        <f>Hoja21!J7</f>
        <v>0</v>
      </c>
      <c r="M80" s="52">
        <f>Hoja21!K7</f>
        <v>0</v>
      </c>
    </row>
    <row r="81" spans="1:13" x14ac:dyDescent="0.25">
      <c r="A81" s="130" t="s">
        <v>99</v>
      </c>
      <c r="B81" s="130"/>
      <c r="C81" s="48">
        <f t="shared" si="6"/>
        <v>350</v>
      </c>
      <c r="D81" s="54">
        <f>Hoja21!B8</f>
        <v>0</v>
      </c>
      <c r="E81" s="52">
        <f>Hoja21!C8</f>
        <v>0</v>
      </c>
      <c r="F81" s="52">
        <f>Hoja21!D8</f>
        <v>225</v>
      </c>
      <c r="G81" s="52">
        <f>Hoja21!E8</f>
        <v>0</v>
      </c>
      <c r="H81" s="52">
        <f>Hoja21!F8</f>
        <v>75</v>
      </c>
      <c r="I81" s="52">
        <f>Hoja21!G8</f>
        <v>0</v>
      </c>
      <c r="J81" s="52">
        <f>Hoja21!H8</f>
        <v>50</v>
      </c>
      <c r="K81" s="52">
        <f>Hoja21!I8</f>
        <v>0</v>
      </c>
      <c r="L81" s="52">
        <f>Hoja21!J8</f>
        <v>0</v>
      </c>
      <c r="M81" s="52">
        <f>Hoja21!K8</f>
        <v>0</v>
      </c>
    </row>
    <row r="82" spans="1:13" x14ac:dyDescent="0.25">
      <c r="A82" s="130" t="s">
        <v>10</v>
      </c>
      <c r="B82" s="130"/>
      <c r="C82" s="48">
        <f t="shared" si="6"/>
        <v>7325</v>
      </c>
      <c r="D82" s="54">
        <f>Hoja21!B9</f>
        <v>0</v>
      </c>
      <c r="E82" s="52">
        <f>Hoja21!C9</f>
        <v>0</v>
      </c>
      <c r="F82" s="52">
        <f>Hoja21!D9</f>
        <v>0</v>
      </c>
      <c r="G82" s="52">
        <f>Hoja21!E9</f>
        <v>0</v>
      </c>
      <c r="H82" s="52">
        <f>Hoja21!F9</f>
        <v>4050</v>
      </c>
      <c r="I82" s="52">
        <f>Hoja21!G9</f>
        <v>2300</v>
      </c>
      <c r="J82" s="52">
        <f>Hoja21!H9</f>
        <v>975</v>
      </c>
      <c r="K82" s="52">
        <f>Hoja21!I9</f>
        <v>0</v>
      </c>
      <c r="L82" s="52">
        <f>Hoja21!J9</f>
        <v>0</v>
      </c>
      <c r="M82" s="52">
        <f>Hoja21!K9</f>
        <v>0</v>
      </c>
    </row>
    <row r="83" spans="1:13" x14ac:dyDescent="0.25">
      <c r="A83" s="130" t="s">
        <v>97</v>
      </c>
      <c r="B83" s="130"/>
      <c r="C83" s="48">
        <f t="shared" si="6"/>
        <v>1175</v>
      </c>
      <c r="D83" s="54">
        <f>Hoja21!B10</f>
        <v>0</v>
      </c>
      <c r="E83" s="52">
        <f>Hoja21!C10</f>
        <v>0</v>
      </c>
      <c r="F83" s="52">
        <f>Hoja21!D10</f>
        <v>175</v>
      </c>
      <c r="G83" s="52">
        <f>Hoja21!E10</f>
        <v>100</v>
      </c>
      <c r="H83" s="52">
        <f>Hoja21!F10</f>
        <v>900</v>
      </c>
      <c r="I83" s="52">
        <f>Hoja21!G10</f>
        <v>0</v>
      </c>
      <c r="J83" s="52">
        <f>Hoja21!H10</f>
        <v>0</v>
      </c>
      <c r="K83" s="52">
        <f>Hoja21!I10</f>
        <v>0</v>
      </c>
      <c r="L83" s="52">
        <f>Hoja21!J10</f>
        <v>0</v>
      </c>
      <c r="M83" s="52">
        <f>Hoja21!K10</f>
        <v>0</v>
      </c>
    </row>
    <row r="84" spans="1:13" x14ac:dyDescent="0.25">
      <c r="A84" s="130" t="s">
        <v>87</v>
      </c>
      <c r="B84" s="130"/>
      <c r="C84" s="48">
        <f t="shared" si="6"/>
        <v>200</v>
      </c>
      <c r="D84" s="54">
        <f>Hoja21!B11</f>
        <v>0</v>
      </c>
      <c r="E84" s="52">
        <f>Hoja21!C11</f>
        <v>0</v>
      </c>
      <c r="F84" s="52">
        <f>Hoja21!D11</f>
        <v>0</v>
      </c>
      <c r="G84" s="52">
        <f>Hoja21!E11</f>
        <v>0</v>
      </c>
      <c r="H84" s="52">
        <f>Hoja21!F11</f>
        <v>200</v>
      </c>
      <c r="I84" s="52">
        <f>Hoja21!G11</f>
        <v>0</v>
      </c>
      <c r="J84" s="52">
        <f>Hoja21!H11</f>
        <v>0</v>
      </c>
      <c r="K84" s="52">
        <f>Hoja21!I11</f>
        <v>0</v>
      </c>
      <c r="L84" s="52">
        <f>Hoja21!J11</f>
        <v>0</v>
      </c>
      <c r="M84" s="52">
        <f>Hoja21!K11</f>
        <v>0</v>
      </c>
    </row>
    <row r="85" spans="1:13" x14ac:dyDescent="0.25">
      <c r="A85" s="130" t="s">
        <v>18</v>
      </c>
      <c r="B85" s="130"/>
      <c r="C85" s="48">
        <f t="shared" si="6"/>
        <v>1300</v>
      </c>
      <c r="D85" s="54">
        <f>Hoja21!B12</f>
        <v>0</v>
      </c>
      <c r="E85" s="52">
        <f>Hoja21!C12</f>
        <v>0</v>
      </c>
      <c r="F85" s="52">
        <f>Hoja21!D12</f>
        <v>0</v>
      </c>
      <c r="G85" s="52">
        <f>Hoja21!E12</f>
        <v>0</v>
      </c>
      <c r="H85" s="52">
        <f>Hoja21!F12</f>
        <v>1000</v>
      </c>
      <c r="I85" s="52">
        <f>Hoja21!G12</f>
        <v>300</v>
      </c>
      <c r="J85" s="52">
        <f>Hoja21!H12</f>
        <v>0</v>
      </c>
      <c r="K85" s="52">
        <f>Hoja21!I12</f>
        <v>0</v>
      </c>
      <c r="L85" s="52">
        <f>Hoja21!J12</f>
        <v>0</v>
      </c>
      <c r="M85" s="52">
        <f>Hoja21!K12</f>
        <v>0</v>
      </c>
    </row>
    <row r="86" spans="1:13" x14ac:dyDescent="0.25">
      <c r="A86" s="130" t="s">
        <v>23</v>
      </c>
      <c r="B86" s="130"/>
      <c r="C86" s="51">
        <f t="shared" si="6"/>
        <v>325</v>
      </c>
      <c r="D86" s="57">
        <f>Hoja21!B13</f>
        <v>0</v>
      </c>
      <c r="E86" s="53">
        <f>Hoja21!C13</f>
        <v>0</v>
      </c>
      <c r="F86" s="53">
        <f>Hoja21!D13</f>
        <v>225</v>
      </c>
      <c r="G86" s="53">
        <f>Hoja21!E13</f>
        <v>100</v>
      </c>
      <c r="H86" s="53">
        <f>Hoja21!F13</f>
        <v>0</v>
      </c>
      <c r="I86" s="53">
        <f>Hoja21!G13</f>
        <v>0</v>
      </c>
      <c r="J86" s="53">
        <f>Hoja21!H13</f>
        <v>0</v>
      </c>
      <c r="K86" s="53">
        <f>Hoja21!I13</f>
        <v>0</v>
      </c>
      <c r="L86" s="53">
        <f>Hoja21!J13</f>
        <v>0</v>
      </c>
      <c r="M86" s="53">
        <f>Hoja21!K13</f>
        <v>0</v>
      </c>
    </row>
    <row r="87" spans="1:13" ht="21" customHeight="1" x14ac:dyDescent="0.25">
      <c r="A87" s="131" t="s">
        <v>79</v>
      </c>
      <c r="B87" s="131"/>
      <c r="C87" s="50">
        <f>SUM(C77:C86)</f>
        <v>13145</v>
      </c>
      <c r="D87" s="50">
        <f>SUM(D77:D86)</f>
        <v>0</v>
      </c>
      <c r="E87" s="50">
        <f t="shared" ref="E87:M87" si="7">SUM(E77:E86)</f>
        <v>320</v>
      </c>
      <c r="F87" s="50">
        <f t="shared" si="7"/>
        <v>1250</v>
      </c>
      <c r="G87" s="50">
        <f t="shared" si="7"/>
        <v>275</v>
      </c>
      <c r="H87" s="50">
        <f t="shared" si="7"/>
        <v>6925</v>
      </c>
      <c r="I87" s="50">
        <f t="shared" si="7"/>
        <v>3350</v>
      </c>
      <c r="J87" s="50">
        <f t="shared" si="7"/>
        <v>1025</v>
      </c>
      <c r="K87" s="50">
        <f t="shared" si="7"/>
        <v>0</v>
      </c>
      <c r="L87" s="50">
        <f t="shared" si="7"/>
        <v>0</v>
      </c>
      <c r="M87" s="50">
        <f t="shared" si="7"/>
        <v>0</v>
      </c>
    </row>
  </sheetData>
  <mergeCells count="52">
    <mergeCell ref="A87:B87"/>
    <mergeCell ref="A42:A48"/>
    <mergeCell ref="A57:B57"/>
    <mergeCell ref="A58:B58"/>
    <mergeCell ref="A59:B59"/>
    <mergeCell ref="A60:B60"/>
    <mergeCell ref="A61:B61"/>
    <mergeCell ref="A62:B62"/>
    <mergeCell ref="A63:B63"/>
    <mergeCell ref="A83:B83"/>
    <mergeCell ref="A84:B84"/>
    <mergeCell ref="A85:B85"/>
    <mergeCell ref="A86:B86"/>
    <mergeCell ref="A76:B76"/>
    <mergeCell ref="A70:B70"/>
    <mergeCell ref="A77:B77"/>
    <mergeCell ref="A78:B78"/>
    <mergeCell ref="A79:B79"/>
    <mergeCell ref="A80:B80"/>
    <mergeCell ref="A81:B81"/>
    <mergeCell ref="A82:B82"/>
    <mergeCell ref="A69:B69"/>
    <mergeCell ref="A55:C55"/>
    <mergeCell ref="A56:C56"/>
    <mergeCell ref="D57:I58"/>
    <mergeCell ref="J57:M60"/>
    <mergeCell ref="D59:I61"/>
    <mergeCell ref="J61:M63"/>
    <mergeCell ref="D62:I63"/>
    <mergeCell ref="A67:B67"/>
    <mergeCell ref="A68:B68"/>
    <mergeCell ref="A30:A35"/>
    <mergeCell ref="A36:A41"/>
    <mergeCell ref="H52:I52"/>
    <mergeCell ref="J52:M52"/>
    <mergeCell ref="A53:C53"/>
    <mergeCell ref="A24:A29"/>
    <mergeCell ref="B1:C1"/>
    <mergeCell ref="D1:I2"/>
    <mergeCell ref="J1:M4"/>
    <mergeCell ref="B2:C2"/>
    <mergeCell ref="B3:C3"/>
    <mergeCell ref="D3:I5"/>
    <mergeCell ref="B4:C4"/>
    <mergeCell ref="B5:C5"/>
    <mergeCell ref="J5:M7"/>
    <mergeCell ref="B6:C6"/>
    <mergeCell ref="D6:I7"/>
    <mergeCell ref="B7:C7"/>
    <mergeCell ref="A9:M9"/>
    <mergeCell ref="A12:A17"/>
    <mergeCell ref="A18:A23"/>
  </mergeCells>
  <pageMargins left="0.19791666666666699" right="0.17708333333333301" top="7.5833333333333336E-2" bottom="0.14583333333333301" header="0.3" footer="0.3"/>
  <pageSetup paperSize="121" scale="91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55DFB-EDFE-443B-8CFF-A920FDBF832C}">
  <dimension ref="A1"/>
  <sheetViews>
    <sheetView workbookViewId="0">
      <selection activeCell="G19" sqref="G19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Total</vt:lpstr>
      <vt:lpstr>Hoja21</vt:lpstr>
      <vt:lpstr>Total Consumo Mensual</vt:lpstr>
      <vt:lpstr>Mensual</vt:lpstr>
      <vt:lpstr>'Total Consumo Mensual'!Área_de_impresión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Gatica</dc:creator>
  <cp:lastModifiedBy>Ricardo Gatica</cp:lastModifiedBy>
  <cp:lastPrinted>2025-05-30T18:23:45Z</cp:lastPrinted>
  <dcterms:created xsi:type="dcterms:W3CDTF">2025-03-24T14:33:38Z</dcterms:created>
  <dcterms:modified xsi:type="dcterms:W3CDTF">2025-05-30T18:29:48Z</dcterms:modified>
</cp:coreProperties>
</file>
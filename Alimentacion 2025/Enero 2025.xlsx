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1.xml" ContentType="application/vnd.openxmlformats-officedocument.spreadsheetml.pivotTable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anza\Desktop\Archivos Ricardo\Alimentacion 2025\"/>
    </mc:Choice>
  </mc:AlternateContent>
  <xr:revisionPtr revIDLastSave="0" documentId="13_ncr:1_{34BB40B2-C5A5-4288-8F10-39ACFADD4752}" xr6:coauthVersionLast="47" xr6:coauthVersionMax="47" xr10:uidLastSave="{00000000-0000-0000-0000-000000000000}"/>
  <bookViews>
    <workbookView xWindow="-120" yWindow="-120" windowWidth="20730" windowHeight="11310" tabRatio="730" activeTab="11" xr2:uid="{00000000-000D-0000-FFFF-FFFF00000000}"/>
  </bookViews>
  <sheets>
    <sheet name="1" sheetId="1" r:id="rId1"/>
    <sheet name="2" sheetId="14" r:id="rId2"/>
    <sheet name="3" sheetId="15" r:id="rId3"/>
    <sheet name="4" sheetId="16" r:id="rId4"/>
    <sheet name="5" sheetId="17" r:id="rId5"/>
    <sheet name="6" sheetId="18" r:id="rId6"/>
    <sheet name="7" sheetId="7" r:id="rId7"/>
    <sheet name="8" sheetId="8" r:id="rId8"/>
    <sheet name="9" sheetId="9" r:id="rId9"/>
    <sheet name="10" sheetId="10" r:id="rId10"/>
    <sheet name="Total" sheetId="11" r:id="rId11"/>
    <sheet name="Hoja3" sheetId="20" r:id="rId12"/>
    <sheet name="Total Consumo Mensual" sheetId="12" r:id="rId13"/>
    <sheet name="Hoja1" sheetId="13" r:id="rId14"/>
    <sheet name="Hoja2" sheetId="19" r:id="rId15"/>
  </sheets>
  <definedNames>
    <definedName name="_xlnm.Print_Area" localSheetId="12">'Total Consumo Mensual'!$A$1:$M$56</definedName>
  </definedNames>
  <calcPr calcId="191029" concurrentCalc="0"/>
  <pivotCaches>
    <pivotCache cacheId="81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1" i="12" l="1"/>
  <c r="E51" i="12"/>
  <c r="F51" i="12"/>
  <c r="J51" i="12"/>
  <c r="H14" i="12"/>
  <c r="J48" i="12"/>
  <c r="K48" i="12"/>
  <c r="L48" i="12"/>
  <c r="M48" i="12"/>
  <c r="M13" i="11"/>
  <c r="M11" i="12"/>
  <c r="L13" i="11"/>
  <c r="L11" i="12"/>
  <c r="K13" i="11"/>
  <c r="K11" i="12"/>
  <c r="J13" i="11"/>
  <c r="J11" i="12"/>
  <c r="I13" i="11"/>
  <c r="I11" i="12"/>
  <c r="H13" i="11"/>
  <c r="H11" i="12"/>
  <c r="G13" i="11"/>
  <c r="G11" i="12"/>
  <c r="E54" i="12"/>
  <c r="B75" i="1"/>
  <c r="B76" i="1"/>
  <c r="B77" i="1"/>
  <c r="B78" i="1"/>
  <c r="B79" i="1"/>
  <c r="B74" i="1"/>
  <c r="C74" i="15"/>
  <c r="AM81" i="7"/>
  <c r="AL81" i="7"/>
  <c r="AN80" i="7"/>
  <c r="AM80" i="7"/>
  <c r="AL80" i="7"/>
  <c r="AK80" i="7"/>
  <c r="AJ80" i="7"/>
  <c r="AI80" i="7"/>
  <c r="AH80" i="7"/>
  <c r="AG80" i="7"/>
  <c r="AF80" i="7"/>
  <c r="AE80" i="7"/>
  <c r="AD80" i="7"/>
  <c r="AC80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AO80" i="7"/>
  <c r="AP80" i="7"/>
  <c r="C80" i="7"/>
  <c r="AN79" i="7"/>
  <c r="AM79" i="7"/>
  <c r="AL79" i="7"/>
  <c r="AK79" i="7"/>
  <c r="AJ79" i="7"/>
  <c r="AI79" i="7"/>
  <c r="AH79" i="7"/>
  <c r="AG79" i="7"/>
  <c r="AF79" i="7"/>
  <c r="AE79" i="7"/>
  <c r="AD79" i="7"/>
  <c r="AC79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AO79" i="7"/>
  <c r="AP79" i="7"/>
  <c r="C79" i="7"/>
  <c r="AN78" i="7"/>
  <c r="AM78" i="7"/>
  <c r="AL78" i="7"/>
  <c r="AK78" i="7"/>
  <c r="AJ78" i="7"/>
  <c r="AI78" i="7"/>
  <c r="AH78" i="7"/>
  <c r="AG78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AO78" i="7"/>
  <c r="AP78" i="7"/>
  <c r="C78" i="7"/>
  <c r="AN77" i="7"/>
  <c r="AM77" i="7"/>
  <c r="AL77" i="7"/>
  <c r="AK77" i="7"/>
  <c r="AJ77" i="7"/>
  <c r="AI77" i="7"/>
  <c r="AH77" i="7"/>
  <c r="AG77" i="7"/>
  <c r="AF77" i="7"/>
  <c r="AE77" i="7"/>
  <c r="AD77" i="7"/>
  <c r="AC77" i="7"/>
  <c r="AB77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AO77" i="7"/>
  <c r="AP77" i="7"/>
  <c r="C77" i="7"/>
  <c r="AN76" i="7"/>
  <c r="AM76" i="7"/>
  <c r="AL76" i="7"/>
  <c r="AK76" i="7"/>
  <c r="AJ76" i="7"/>
  <c r="AI76" i="7"/>
  <c r="AH76" i="7"/>
  <c r="AG76" i="7"/>
  <c r="AF76" i="7"/>
  <c r="AE76" i="7"/>
  <c r="AD76" i="7"/>
  <c r="AC76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AO76" i="7"/>
  <c r="AP76" i="7"/>
  <c r="C76" i="7"/>
  <c r="AN75" i="7"/>
  <c r="AM75" i="7"/>
  <c r="AL75" i="7"/>
  <c r="AK75" i="7"/>
  <c r="AJ75" i="7"/>
  <c r="AI75" i="7"/>
  <c r="AH75" i="7"/>
  <c r="AG75" i="7"/>
  <c r="AF75" i="7"/>
  <c r="AE75" i="7"/>
  <c r="AD75" i="7"/>
  <c r="AC75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AO75" i="7"/>
  <c r="AP75" i="7"/>
  <c r="C75" i="7"/>
  <c r="AN74" i="7"/>
  <c r="AN81" i="7"/>
  <c r="AM74" i="7"/>
  <c r="AL74" i="7"/>
  <c r="AK74" i="7"/>
  <c r="AJ74" i="7"/>
  <c r="AI74" i="7"/>
  <c r="AI81" i="7"/>
  <c r="AH74" i="7"/>
  <c r="AH81" i="7"/>
  <c r="AG74" i="7"/>
  <c r="AG81" i="7"/>
  <c r="AF74" i="7"/>
  <c r="AF81" i="7"/>
  <c r="AE74" i="7"/>
  <c r="AE81" i="7"/>
  <c r="AD74" i="7"/>
  <c r="AD81" i="7"/>
  <c r="AC74" i="7"/>
  <c r="AC81" i="7"/>
  <c r="AB74" i="7"/>
  <c r="AB81" i="7"/>
  <c r="AA74" i="7"/>
  <c r="AA81" i="7"/>
  <c r="Z74" i="7"/>
  <c r="Z81" i="7"/>
  <c r="Y74" i="7"/>
  <c r="Y81" i="7"/>
  <c r="X74" i="7"/>
  <c r="X81" i="7"/>
  <c r="W74" i="7"/>
  <c r="W81" i="7"/>
  <c r="V74" i="7"/>
  <c r="V81" i="7"/>
  <c r="U74" i="7"/>
  <c r="U81" i="7"/>
  <c r="T74" i="7"/>
  <c r="T81" i="7"/>
  <c r="S74" i="7"/>
  <c r="S81" i="7"/>
  <c r="R74" i="7"/>
  <c r="R81" i="7"/>
  <c r="Q74" i="7"/>
  <c r="Q81" i="7"/>
  <c r="P74" i="7"/>
  <c r="P81" i="7"/>
  <c r="O74" i="7"/>
  <c r="O81" i="7"/>
  <c r="N74" i="7"/>
  <c r="N81" i="7"/>
  <c r="M74" i="7"/>
  <c r="M81" i="7"/>
  <c r="L74" i="7"/>
  <c r="L81" i="7"/>
  <c r="K74" i="7"/>
  <c r="K81" i="7"/>
  <c r="J74" i="7"/>
  <c r="J81" i="7"/>
  <c r="I74" i="7"/>
  <c r="I81" i="7"/>
  <c r="H74" i="7"/>
  <c r="H81" i="7"/>
  <c r="G74" i="7"/>
  <c r="G81" i="7"/>
  <c r="F74" i="7"/>
  <c r="F81" i="7"/>
  <c r="E74" i="7"/>
  <c r="E81" i="7"/>
  <c r="D74" i="7"/>
  <c r="AO74" i="7"/>
  <c r="AP74" i="7"/>
  <c r="AP81" i="7"/>
  <c r="C74" i="7"/>
  <c r="C81" i="7"/>
  <c r="AP58" i="7"/>
  <c r="AO58" i="7"/>
  <c r="AO57" i="7"/>
  <c r="AP57" i="7"/>
  <c r="AP56" i="7"/>
  <c r="AO56" i="7"/>
  <c r="AO55" i="7"/>
  <c r="AP55" i="7"/>
  <c r="AP54" i="7"/>
  <c r="AO54" i="7"/>
  <c r="AO53" i="7"/>
  <c r="AP53" i="7"/>
  <c r="AP52" i="7"/>
  <c r="AO52" i="7"/>
  <c r="C68" i="7"/>
  <c r="AO51" i="7"/>
  <c r="AO50" i="7"/>
  <c r="AP50" i="7"/>
  <c r="AO49" i="7"/>
  <c r="AP49" i="7"/>
  <c r="AO48" i="7"/>
  <c r="AP48" i="7"/>
  <c r="AO47" i="7"/>
  <c r="AP47" i="7"/>
  <c r="AO46" i="7"/>
  <c r="AP46" i="7"/>
  <c r="AO45" i="7"/>
  <c r="AP45" i="7"/>
  <c r="AO44" i="7"/>
  <c r="C67" i="7"/>
  <c r="AO43" i="7"/>
  <c r="AP43" i="7"/>
  <c r="AO42" i="7"/>
  <c r="AP42" i="7"/>
  <c r="AO41" i="7"/>
  <c r="AP41" i="7"/>
  <c r="AO40" i="7"/>
  <c r="AP40" i="7"/>
  <c r="AO39" i="7"/>
  <c r="AP39" i="7"/>
  <c r="AO38" i="7"/>
  <c r="AP38" i="7"/>
  <c r="AO37" i="7"/>
  <c r="C66" i="7"/>
  <c r="AO35" i="7"/>
  <c r="AP35" i="7"/>
  <c r="AO34" i="7"/>
  <c r="AP34" i="7"/>
  <c r="AO33" i="7"/>
  <c r="AP33" i="7"/>
  <c r="AO32" i="7"/>
  <c r="AP32" i="7"/>
  <c r="AO31" i="7"/>
  <c r="AP31" i="7"/>
  <c r="AO30" i="7"/>
  <c r="AP30" i="7"/>
  <c r="AO29" i="7"/>
  <c r="C65" i="7"/>
  <c r="AO27" i="7"/>
  <c r="AP27" i="7"/>
  <c r="AO26" i="7"/>
  <c r="AP26" i="7"/>
  <c r="AO25" i="7"/>
  <c r="AP25" i="7"/>
  <c r="AO24" i="7"/>
  <c r="AP24" i="7"/>
  <c r="AO23" i="7"/>
  <c r="AP23" i="7"/>
  <c r="AO22" i="7"/>
  <c r="AP22" i="7"/>
  <c r="AO21" i="7"/>
  <c r="C64" i="7"/>
  <c r="AO19" i="7"/>
  <c r="AP19" i="7"/>
  <c r="AO18" i="7"/>
  <c r="AP18" i="7"/>
  <c r="AO17" i="7"/>
  <c r="AP17" i="7"/>
  <c r="AO16" i="7"/>
  <c r="AP16" i="7"/>
  <c r="AO15" i="7"/>
  <c r="AP15" i="7"/>
  <c r="AO14" i="7"/>
  <c r="AP14" i="7"/>
  <c r="AO13" i="7"/>
  <c r="C63" i="7"/>
  <c r="AM81" i="18"/>
  <c r="AL81" i="18"/>
  <c r="AN80" i="18"/>
  <c r="AM80" i="18"/>
  <c r="AL80" i="18"/>
  <c r="AK80" i="18"/>
  <c r="AJ80" i="18"/>
  <c r="AI80" i="18"/>
  <c r="AH80" i="18"/>
  <c r="AG80" i="18"/>
  <c r="AF80" i="18"/>
  <c r="AE80" i="18"/>
  <c r="AD80" i="18"/>
  <c r="AC80" i="18"/>
  <c r="AB80" i="18"/>
  <c r="AA80" i="18"/>
  <c r="Z80" i="18"/>
  <c r="Y80" i="18"/>
  <c r="X80" i="18"/>
  <c r="W80" i="18"/>
  <c r="V80" i="18"/>
  <c r="U80" i="18"/>
  <c r="T80" i="18"/>
  <c r="S80" i="18"/>
  <c r="R80" i="18"/>
  <c r="Q80" i="18"/>
  <c r="P80" i="18"/>
  <c r="O80" i="18"/>
  <c r="N80" i="18"/>
  <c r="M80" i="18"/>
  <c r="L80" i="18"/>
  <c r="K80" i="18"/>
  <c r="J80" i="18"/>
  <c r="I80" i="18"/>
  <c r="H80" i="18"/>
  <c r="G80" i="18"/>
  <c r="F80" i="18"/>
  <c r="E80" i="18"/>
  <c r="D80" i="18"/>
  <c r="AO80" i="18"/>
  <c r="AP80" i="18"/>
  <c r="C80" i="18"/>
  <c r="AN79" i="18"/>
  <c r="AM79" i="18"/>
  <c r="AL79" i="18"/>
  <c r="AK79" i="18"/>
  <c r="AJ79" i="18"/>
  <c r="AI79" i="18"/>
  <c r="AH79" i="18"/>
  <c r="AG79" i="18"/>
  <c r="AF79" i="18"/>
  <c r="AE79" i="18"/>
  <c r="AD79" i="18"/>
  <c r="AC79" i="18"/>
  <c r="AB79" i="18"/>
  <c r="AA79" i="18"/>
  <c r="Z79" i="18"/>
  <c r="Y79" i="18"/>
  <c r="X79" i="18"/>
  <c r="W79" i="18"/>
  <c r="V79" i="18"/>
  <c r="U79" i="18"/>
  <c r="T79" i="18"/>
  <c r="S79" i="18"/>
  <c r="R79" i="18"/>
  <c r="Q79" i="18"/>
  <c r="P79" i="18"/>
  <c r="O79" i="18"/>
  <c r="N79" i="18"/>
  <c r="M79" i="18"/>
  <c r="L79" i="18"/>
  <c r="K79" i="18"/>
  <c r="J79" i="18"/>
  <c r="I79" i="18"/>
  <c r="H79" i="18"/>
  <c r="G79" i="18"/>
  <c r="F79" i="18"/>
  <c r="E79" i="18"/>
  <c r="D79" i="18"/>
  <c r="AO79" i="18"/>
  <c r="AP79" i="18"/>
  <c r="C79" i="18"/>
  <c r="AN78" i="18"/>
  <c r="AM78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AO78" i="18"/>
  <c r="AP78" i="18"/>
  <c r="C78" i="18"/>
  <c r="AN77" i="18"/>
  <c r="AM77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AO77" i="18"/>
  <c r="AP77" i="18"/>
  <c r="C77" i="18"/>
  <c r="AN76" i="18"/>
  <c r="AM76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AO76" i="18"/>
  <c r="AP76" i="18"/>
  <c r="C76" i="18"/>
  <c r="AN75" i="18"/>
  <c r="AM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AO75" i="18"/>
  <c r="AP75" i="18"/>
  <c r="C75" i="18"/>
  <c r="AN74" i="18"/>
  <c r="AN81" i="18"/>
  <c r="AM74" i="18"/>
  <c r="AL74" i="18"/>
  <c r="AK74" i="18"/>
  <c r="AJ74" i="18"/>
  <c r="AI74" i="18"/>
  <c r="AI81" i="18"/>
  <c r="AH74" i="18"/>
  <c r="AH81" i="18"/>
  <c r="AG74" i="18"/>
  <c r="AG81" i="18"/>
  <c r="AF74" i="18"/>
  <c r="AF81" i="18"/>
  <c r="AE74" i="18"/>
  <c r="AE81" i="18"/>
  <c r="AD74" i="18"/>
  <c r="AD81" i="18"/>
  <c r="AC74" i="18"/>
  <c r="AC81" i="18"/>
  <c r="AB74" i="18"/>
  <c r="AB81" i="18"/>
  <c r="AA74" i="18"/>
  <c r="AA81" i="18"/>
  <c r="Z74" i="18"/>
  <c r="Z81" i="18"/>
  <c r="Y74" i="18"/>
  <c r="Y81" i="18"/>
  <c r="X74" i="18"/>
  <c r="X81" i="18"/>
  <c r="W74" i="18"/>
  <c r="W81" i="18"/>
  <c r="V74" i="18"/>
  <c r="V81" i="18"/>
  <c r="U74" i="18"/>
  <c r="U81" i="18"/>
  <c r="T74" i="18"/>
  <c r="T81" i="18"/>
  <c r="S74" i="18"/>
  <c r="S81" i="18"/>
  <c r="R74" i="18"/>
  <c r="R81" i="18"/>
  <c r="Q74" i="18"/>
  <c r="Q81" i="18"/>
  <c r="P74" i="18"/>
  <c r="P81" i="18"/>
  <c r="O74" i="18"/>
  <c r="O81" i="18"/>
  <c r="N74" i="18"/>
  <c r="N81" i="18"/>
  <c r="M74" i="18"/>
  <c r="M81" i="18"/>
  <c r="L74" i="18"/>
  <c r="L81" i="18"/>
  <c r="K74" i="18"/>
  <c r="K81" i="18"/>
  <c r="J74" i="18"/>
  <c r="J81" i="18"/>
  <c r="I74" i="18"/>
  <c r="I81" i="18"/>
  <c r="H74" i="18"/>
  <c r="H81" i="18"/>
  <c r="G74" i="18"/>
  <c r="G81" i="18"/>
  <c r="F74" i="18"/>
  <c r="F81" i="18"/>
  <c r="E74" i="18"/>
  <c r="E81" i="18"/>
  <c r="D74" i="18"/>
  <c r="AO74" i="18"/>
  <c r="AP74" i="18"/>
  <c r="AP81" i="18"/>
  <c r="C74" i="18"/>
  <c r="C81" i="18"/>
  <c r="AP58" i="18"/>
  <c r="AO58" i="18"/>
  <c r="AO57" i="18"/>
  <c r="AP57" i="18"/>
  <c r="AP56" i="18"/>
  <c r="AO56" i="18"/>
  <c r="AO55" i="18"/>
  <c r="AP55" i="18"/>
  <c r="AP54" i="18"/>
  <c r="AO54" i="18"/>
  <c r="AO53" i="18"/>
  <c r="AP53" i="18"/>
  <c r="AP52" i="18"/>
  <c r="AO52" i="18"/>
  <c r="C68" i="18"/>
  <c r="AO51" i="18"/>
  <c r="AO50" i="18"/>
  <c r="AP50" i="18"/>
  <c r="AO49" i="18"/>
  <c r="AP49" i="18"/>
  <c r="AO48" i="18"/>
  <c r="AP48" i="18"/>
  <c r="AO47" i="18"/>
  <c r="AP47" i="18"/>
  <c r="AO46" i="18"/>
  <c r="AP46" i="18"/>
  <c r="AO45" i="18"/>
  <c r="AP45" i="18"/>
  <c r="AO44" i="18"/>
  <c r="AP44" i="18"/>
  <c r="AO43" i="18"/>
  <c r="AP43" i="18"/>
  <c r="AO42" i="18"/>
  <c r="AP42" i="18"/>
  <c r="AO41" i="18"/>
  <c r="AP41" i="18"/>
  <c r="AO40" i="18"/>
  <c r="AP40" i="18"/>
  <c r="AO39" i="18"/>
  <c r="AP39" i="18"/>
  <c r="AO38" i="18"/>
  <c r="AP38" i="18"/>
  <c r="AO37" i="18"/>
  <c r="C66" i="18"/>
  <c r="AO35" i="18"/>
  <c r="AP35" i="18"/>
  <c r="AO34" i="18"/>
  <c r="AP34" i="18"/>
  <c r="AO33" i="18"/>
  <c r="AP33" i="18"/>
  <c r="AO32" i="18"/>
  <c r="AP32" i="18"/>
  <c r="AO31" i="18"/>
  <c r="AP31" i="18"/>
  <c r="AO30" i="18"/>
  <c r="AP30" i="18"/>
  <c r="AO29" i="18"/>
  <c r="C65" i="18"/>
  <c r="AO27" i="18"/>
  <c r="AP27" i="18"/>
  <c r="AO26" i="18"/>
  <c r="AP26" i="18"/>
  <c r="AO25" i="18"/>
  <c r="AP25" i="18"/>
  <c r="AO24" i="18"/>
  <c r="AP24" i="18"/>
  <c r="AO23" i="18"/>
  <c r="AP23" i="18"/>
  <c r="AO22" i="18"/>
  <c r="AP22" i="18"/>
  <c r="AO21" i="18"/>
  <c r="C64" i="18"/>
  <c r="AO19" i="18"/>
  <c r="AP19" i="18"/>
  <c r="AO18" i="18"/>
  <c r="AP18" i="18"/>
  <c r="AO17" i="18"/>
  <c r="AP17" i="18"/>
  <c r="AO16" i="18"/>
  <c r="AP16" i="18"/>
  <c r="AO15" i="18"/>
  <c r="AP15" i="18"/>
  <c r="AO14" i="18"/>
  <c r="AP14" i="18"/>
  <c r="AO13" i="18"/>
  <c r="AP13" i="18"/>
  <c r="AN80" i="17"/>
  <c r="AM80" i="17"/>
  <c r="AL80" i="17"/>
  <c r="AK80" i="17"/>
  <c r="AJ80" i="17"/>
  <c r="AI80" i="17"/>
  <c r="AH80" i="17"/>
  <c r="AG80" i="17"/>
  <c r="AF80" i="17"/>
  <c r="AE80" i="17"/>
  <c r="AD80" i="17"/>
  <c r="AC80" i="17"/>
  <c r="AB80" i="17"/>
  <c r="AA80" i="17"/>
  <c r="Z80" i="17"/>
  <c r="Y80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AN79" i="17"/>
  <c r="AM79" i="17"/>
  <c r="AL79" i="17"/>
  <c r="AK79" i="17"/>
  <c r="AJ79" i="17"/>
  <c r="AI79" i="17"/>
  <c r="AH79" i="17"/>
  <c r="AG79" i="17"/>
  <c r="AF79" i="17"/>
  <c r="AE79" i="17"/>
  <c r="AD79" i="17"/>
  <c r="AC79" i="17"/>
  <c r="AB79" i="17"/>
  <c r="AA79" i="17"/>
  <c r="Z79" i="17"/>
  <c r="Y79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AN78" i="17"/>
  <c r="AM78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AN77" i="17"/>
  <c r="AM77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AN76" i="17"/>
  <c r="AM76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AN75" i="17"/>
  <c r="AM75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AN74" i="17"/>
  <c r="AM74" i="17"/>
  <c r="AL74" i="17"/>
  <c r="AK74" i="17"/>
  <c r="AJ74" i="17"/>
  <c r="AI74" i="17"/>
  <c r="AH74" i="17"/>
  <c r="AG74" i="17"/>
  <c r="AF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I81" i="17"/>
  <c r="H74" i="17"/>
  <c r="G74" i="17"/>
  <c r="F74" i="17"/>
  <c r="F81" i="17"/>
  <c r="E74" i="17"/>
  <c r="E81" i="17"/>
  <c r="D74" i="17"/>
  <c r="C74" i="17"/>
  <c r="AO58" i="17"/>
  <c r="AP58" i="17"/>
  <c r="AO57" i="17"/>
  <c r="AP57" i="17"/>
  <c r="AO56" i="17"/>
  <c r="AP56" i="17"/>
  <c r="AO55" i="17"/>
  <c r="AP55" i="17"/>
  <c r="AO54" i="17"/>
  <c r="AP54" i="17"/>
  <c r="AO53" i="17"/>
  <c r="AP53" i="17"/>
  <c r="AO52" i="17"/>
  <c r="C68" i="17"/>
  <c r="AO51" i="17"/>
  <c r="AO50" i="17"/>
  <c r="AP50" i="17"/>
  <c r="AO49" i="17"/>
  <c r="AP49" i="17"/>
  <c r="AO48" i="17"/>
  <c r="AP48" i="17"/>
  <c r="AO47" i="17"/>
  <c r="AP47" i="17"/>
  <c r="AO46" i="17"/>
  <c r="AP46" i="17"/>
  <c r="AO45" i="17"/>
  <c r="AP45" i="17"/>
  <c r="AO44" i="17"/>
  <c r="AO43" i="17"/>
  <c r="AP43" i="17"/>
  <c r="AO42" i="17"/>
  <c r="AP42" i="17"/>
  <c r="AO41" i="17"/>
  <c r="AP41" i="17"/>
  <c r="AO40" i="17"/>
  <c r="AP40" i="17"/>
  <c r="AO39" i="17"/>
  <c r="AP39" i="17"/>
  <c r="AO38" i="17"/>
  <c r="AP38" i="17"/>
  <c r="AO37" i="17"/>
  <c r="AO35" i="17"/>
  <c r="AP35" i="17"/>
  <c r="AO34" i="17"/>
  <c r="AP34" i="17"/>
  <c r="AO33" i="17"/>
  <c r="AP33" i="17"/>
  <c r="AO32" i="17"/>
  <c r="AP32" i="17"/>
  <c r="AO31" i="17"/>
  <c r="AP31" i="17"/>
  <c r="AO30" i="17"/>
  <c r="AP30" i="17"/>
  <c r="AO29" i="17"/>
  <c r="AO27" i="17"/>
  <c r="AP27" i="17"/>
  <c r="AO26" i="17"/>
  <c r="AP26" i="17"/>
  <c r="AO25" i="17"/>
  <c r="AP25" i="17"/>
  <c r="AO24" i="17"/>
  <c r="AP24" i="17"/>
  <c r="AO23" i="17"/>
  <c r="AP23" i="17"/>
  <c r="AO22" i="17"/>
  <c r="AP22" i="17"/>
  <c r="AO21" i="17"/>
  <c r="AO19" i="17"/>
  <c r="AP19" i="17"/>
  <c r="AO18" i="17"/>
  <c r="AP18" i="17"/>
  <c r="AO17" i="17"/>
  <c r="AP17" i="17"/>
  <c r="AO16" i="17"/>
  <c r="AP16" i="17"/>
  <c r="AO15" i="17"/>
  <c r="AP15" i="17"/>
  <c r="AO14" i="17"/>
  <c r="AP14" i="17"/>
  <c r="AO13" i="17"/>
  <c r="AN80" i="16"/>
  <c r="AM80" i="16"/>
  <c r="AL80" i="16"/>
  <c r="AK80" i="16"/>
  <c r="AJ80" i="16"/>
  <c r="AI80" i="16"/>
  <c r="AH80" i="16"/>
  <c r="AG80" i="16"/>
  <c r="AF80" i="16"/>
  <c r="AE80" i="16"/>
  <c r="AD80" i="16"/>
  <c r="AC80" i="16"/>
  <c r="AB80" i="16"/>
  <c r="AA80" i="16"/>
  <c r="Z80" i="16"/>
  <c r="Y80" i="16"/>
  <c r="X80" i="16"/>
  <c r="W80" i="16"/>
  <c r="V80" i="16"/>
  <c r="U80" i="16"/>
  <c r="T80" i="16"/>
  <c r="S80" i="16"/>
  <c r="R80" i="16"/>
  <c r="Q80" i="16"/>
  <c r="P80" i="16"/>
  <c r="O80" i="16"/>
  <c r="N80" i="16"/>
  <c r="M80" i="16"/>
  <c r="L80" i="16"/>
  <c r="K80" i="16"/>
  <c r="J80" i="16"/>
  <c r="I80" i="16"/>
  <c r="H80" i="16"/>
  <c r="G80" i="16"/>
  <c r="F80" i="16"/>
  <c r="E80" i="16"/>
  <c r="D80" i="16"/>
  <c r="C80" i="16"/>
  <c r="AN79" i="16"/>
  <c r="AM79" i="16"/>
  <c r="AL79" i="16"/>
  <c r="AK79" i="16"/>
  <c r="AJ79" i="16"/>
  <c r="AI79" i="16"/>
  <c r="AH79" i="16"/>
  <c r="AG79" i="16"/>
  <c r="AF79" i="16"/>
  <c r="AE79" i="16"/>
  <c r="AD79" i="16"/>
  <c r="AC79" i="16"/>
  <c r="AB79" i="16"/>
  <c r="AA79" i="16"/>
  <c r="Z79" i="16"/>
  <c r="Y79" i="16"/>
  <c r="X79" i="16"/>
  <c r="W79" i="16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D79" i="16"/>
  <c r="C79" i="16"/>
  <c r="AN78" i="16"/>
  <c r="AM78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AN77" i="16"/>
  <c r="AM77" i="16"/>
  <c r="AL77" i="16"/>
  <c r="AK77" i="16"/>
  <c r="AJ77" i="16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AN76" i="16"/>
  <c r="AM76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AN75" i="16"/>
  <c r="AM75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AN74" i="16"/>
  <c r="AM74" i="16"/>
  <c r="AL74" i="16"/>
  <c r="AK74" i="16"/>
  <c r="AJ74" i="16"/>
  <c r="AI74" i="16"/>
  <c r="AH74" i="16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AO58" i="16"/>
  <c r="AP58" i="16"/>
  <c r="AO57" i="16"/>
  <c r="AP57" i="16"/>
  <c r="AO56" i="16"/>
  <c r="AP56" i="16"/>
  <c r="AO55" i="16"/>
  <c r="AP55" i="16"/>
  <c r="AO54" i="16"/>
  <c r="AP54" i="16"/>
  <c r="AO53" i="16"/>
  <c r="AP53" i="16"/>
  <c r="AO52" i="16"/>
  <c r="AO51" i="16"/>
  <c r="AO50" i="16"/>
  <c r="AP50" i="16"/>
  <c r="AO49" i="16"/>
  <c r="AP49" i="16"/>
  <c r="AO48" i="16"/>
  <c r="AP48" i="16"/>
  <c r="AO47" i="16"/>
  <c r="AP47" i="16"/>
  <c r="AO46" i="16"/>
  <c r="AP46" i="16"/>
  <c r="AO45" i="16"/>
  <c r="AP45" i="16"/>
  <c r="AO44" i="16"/>
  <c r="AO43" i="16"/>
  <c r="AP43" i="16"/>
  <c r="AO42" i="16"/>
  <c r="AP42" i="16"/>
  <c r="AO41" i="16"/>
  <c r="AP41" i="16"/>
  <c r="AO40" i="16"/>
  <c r="AP40" i="16"/>
  <c r="AO39" i="16"/>
  <c r="AP39" i="16"/>
  <c r="AO38" i="16"/>
  <c r="AP38" i="16"/>
  <c r="AO37" i="16"/>
  <c r="AO35" i="16"/>
  <c r="AP35" i="16"/>
  <c r="AO34" i="16"/>
  <c r="AP34" i="16"/>
  <c r="AO33" i="16"/>
  <c r="AP33" i="16"/>
  <c r="AO32" i="16"/>
  <c r="AP32" i="16"/>
  <c r="AO31" i="16"/>
  <c r="AP31" i="16"/>
  <c r="AO30" i="16"/>
  <c r="AP30" i="16"/>
  <c r="AO29" i="16"/>
  <c r="AO27" i="16"/>
  <c r="AP27" i="16"/>
  <c r="AO26" i="16"/>
  <c r="AP26" i="16"/>
  <c r="AP25" i="16"/>
  <c r="AO25" i="16"/>
  <c r="AO24" i="16"/>
  <c r="AP24" i="16"/>
  <c r="AO23" i="16"/>
  <c r="AP23" i="16"/>
  <c r="AO22" i="16"/>
  <c r="AP22" i="16"/>
  <c r="AO21" i="16"/>
  <c r="AP21" i="16"/>
  <c r="AO19" i="16"/>
  <c r="AP19" i="16"/>
  <c r="AO18" i="16"/>
  <c r="AP18" i="16"/>
  <c r="AO17" i="16"/>
  <c r="AP17" i="16"/>
  <c r="AO16" i="16"/>
  <c r="AP16" i="16"/>
  <c r="AO15" i="16"/>
  <c r="AP15" i="16"/>
  <c r="AO14" i="16"/>
  <c r="AP14" i="16"/>
  <c r="AO13" i="16"/>
  <c r="AN80" i="15"/>
  <c r="AM80" i="15"/>
  <c r="AL80" i="15"/>
  <c r="AK80" i="15"/>
  <c r="AJ80" i="15"/>
  <c r="AI80" i="15"/>
  <c r="AH80" i="15"/>
  <c r="AG80" i="15"/>
  <c r="AF80" i="15"/>
  <c r="AE80" i="15"/>
  <c r="AD80" i="15"/>
  <c r="AC80" i="15"/>
  <c r="AB80" i="15"/>
  <c r="AA80" i="15"/>
  <c r="Z80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AN79" i="15"/>
  <c r="AM79" i="15"/>
  <c r="AL79" i="15"/>
  <c r="AK79" i="15"/>
  <c r="AJ79" i="15"/>
  <c r="AI79" i="15"/>
  <c r="AH79" i="15"/>
  <c r="AG79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C81" i="15"/>
  <c r="AN78" i="15"/>
  <c r="AM78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AN77" i="15"/>
  <c r="AM77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AN76" i="15"/>
  <c r="AM76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AN75" i="15"/>
  <c r="AM75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AN74" i="15"/>
  <c r="AN81" i="15"/>
  <c r="AM74" i="15"/>
  <c r="AL74" i="15"/>
  <c r="AK74" i="15"/>
  <c r="AJ74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AP58" i="15"/>
  <c r="AO58" i="15"/>
  <c r="AO57" i="15"/>
  <c r="AP57" i="15"/>
  <c r="AO56" i="15"/>
  <c r="AP56" i="15"/>
  <c r="AO55" i="15"/>
  <c r="AP55" i="15"/>
  <c r="AO54" i="15"/>
  <c r="AP54" i="15"/>
  <c r="AO53" i="15"/>
  <c r="AP53" i="15"/>
  <c r="AO52" i="15"/>
  <c r="AP52" i="15"/>
  <c r="AO51" i="15"/>
  <c r="AO50" i="15"/>
  <c r="AP50" i="15"/>
  <c r="AO49" i="15"/>
  <c r="AP49" i="15"/>
  <c r="AO48" i="15"/>
  <c r="AP48" i="15"/>
  <c r="AO47" i="15"/>
  <c r="AP47" i="15"/>
  <c r="AO46" i="15"/>
  <c r="AP46" i="15"/>
  <c r="AO45" i="15"/>
  <c r="AP45" i="15"/>
  <c r="AO44" i="15"/>
  <c r="AO43" i="15"/>
  <c r="AP43" i="15"/>
  <c r="AO42" i="15"/>
  <c r="AP42" i="15"/>
  <c r="AO41" i="15"/>
  <c r="AP41" i="15"/>
  <c r="AO40" i="15"/>
  <c r="AP40" i="15"/>
  <c r="AO39" i="15"/>
  <c r="AP39" i="15"/>
  <c r="AO38" i="15"/>
  <c r="AP38" i="15"/>
  <c r="AO37" i="15"/>
  <c r="AO35" i="15"/>
  <c r="AP35" i="15"/>
  <c r="AO34" i="15"/>
  <c r="AP34" i="15"/>
  <c r="AO33" i="15"/>
  <c r="AP33" i="15"/>
  <c r="AO32" i="15"/>
  <c r="AP32" i="15"/>
  <c r="AO31" i="15"/>
  <c r="AP31" i="15"/>
  <c r="AO30" i="15"/>
  <c r="AP30" i="15"/>
  <c r="AO29" i="15"/>
  <c r="AO27" i="15"/>
  <c r="AP27" i="15"/>
  <c r="AO26" i="15"/>
  <c r="AP26" i="15"/>
  <c r="AO25" i="15"/>
  <c r="AP25" i="15"/>
  <c r="AO24" i="15"/>
  <c r="AP24" i="15"/>
  <c r="AO23" i="15"/>
  <c r="AP23" i="15"/>
  <c r="AO22" i="15"/>
  <c r="AP22" i="15"/>
  <c r="AO21" i="15"/>
  <c r="AO19" i="15"/>
  <c r="AP19" i="15"/>
  <c r="AO18" i="15"/>
  <c r="AP18" i="15"/>
  <c r="AO17" i="15"/>
  <c r="AP17" i="15"/>
  <c r="AO16" i="15"/>
  <c r="AP16" i="15"/>
  <c r="AO15" i="15"/>
  <c r="AP15" i="15"/>
  <c r="AO14" i="15"/>
  <c r="AP14" i="15"/>
  <c r="AO13" i="15"/>
  <c r="AN80" i="14"/>
  <c r="AM80" i="14"/>
  <c r="AL80" i="14"/>
  <c r="AK80" i="14"/>
  <c r="AJ80" i="14"/>
  <c r="AI80" i="14"/>
  <c r="AH80" i="14"/>
  <c r="AG80" i="14"/>
  <c r="AF80" i="14"/>
  <c r="AE80" i="14"/>
  <c r="AD80" i="14"/>
  <c r="AC80" i="14"/>
  <c r="AB80" i="14"/>
  <c r="AA80" i="14"/>
  <c r="Z80" i="14"/>
  <c r="Y80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AN79" i="14"/>
  <c r="AM79" i="14"/>
  <c r="AL79" i="14"/>
  <c r="AK79" i="14"/>
  <c r="AJ79" i="14"/>
  <c r="AI79" i="14"/>
  <c r="AH79" i="14"/>
  <c r="AG79" i="14"/>
  <c r="AF79" i="14"/>
  <c r="AE79" i="14"/>
  <c r="AD79" i="14"/>
  <c r="AC79" i="14"/>
  <c r="AB79" i="14"/>
  <c r="AA79" i="14"/>
  <c r="Z79" i="14"/>
  <c r="Y79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AN78" i="14"/>
  <c r="AM78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AN77" i="14"/>
  <c r="AM77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AN76" i="14"/>
  <c r="AM76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AN75" i="14"/>
  <c r="AM75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AN74" i="14"/>
  <c r="AM74" i="14"/>
  <c r="AL74" i="14"/>
  <c r="AK74" i="14"/>
  <c r="AJ74" i="14"/>
  <c r="AI74" i="14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AO58" i="14"/>
  <c r="AP58" i="14"/>
  <c r="AO57" i="14"/>
  <c r="AP57" i="14"/>
  <c r="AO56" i="14"/>
  <c r="AP56" i="14"/>
  <c r="AO55" i="14"/>
  <c r="AP55" i="14"/>
  <c r="AO54" i="14"/>
  <c r="AP54" i="14"/>
  <c r="AO53" i="14"/>
  <c r="AP53" i="14"/>
  <c r="AO52" i="14"/>
  <c r="AP52" i="14"/>
  <c r="AO51" i="14"/>
  <c r="AO50" i="14"/>
  <c r="AP50" i="14"/>
  <c r="AO49" i="14"/>
  <c r="AP49" i="14"/>
  <c r="AO48" i="14"/>
  <c r="AP48" i="14"/>
  <c r="AO47" i="14"/>
  <c r="AP47" i="14"/>
  <c r="AO46" i="14"/>
  <c r="AP46" i="14"/>
  <c r="AO45" i="14"/>
  <c r="AP45" i="14"/>
  <c r="AO44" i="14"/>
  <c r="AO43" i="14"/>
  <c r="AP43" i="14"/>
  <c r="AO42" i="14"/>
  <c r="AP42" i="14"/>
  <c r="AO41" i="14"/>
  <c r="AP41" i="14"/>
  <c r="AO40" i="14"/>
  <c r="AP40" i="14"/>
  <c r="AO39" i="14"/>
  <c r="AP39" i="14"/>
  <c r="AO38" i="14"/>
  <c r="AP38" i="14"/>
  <c r="AO37" i="14"/>
  <c r="AO35" i="14"/>
  <c r="AP35" i="14"/>
  <c r="AO34" i="14"/>
  <c r="AP34" i="14"/>
  <c r="AO33" i="14"/>
  <c r="AP33" i="14"/>
  <c r="AO32" i="14"/>
  <c r="AP32" i="14"/>
  <c r="AO31" i="14"/>
  <c r="AP31" i="14"/>
  <c r="AO30" i="14"/>
  <c r="AP30" i="14"/>
  <c r="AO29" i="14"/>
  <c r="AP29" i="14"/>
  <c r="AO27" i="14"/>
  <c r="AP27" i="14"/>
  <c r="AO26" i="14"/>
  <c r="AP26" i="14"/>
  <c r="AO25" i="14"/>
  <c r="AP25" i="14"/>
  <c r="AO24" i="14"/>
  <c r="AP24" i="14"/>
  <c r="AO23" i="14"/>
  <c r="AP23" i="14"/>
  <c r="AO22" i="14"/>
  <c r="AP22" i="14"/>
  <c r="AO21" i="14"/>
  <c r="C64" i="14"/>
  <c r="AO19" i="14"/>
  <c r="AP19" i="14"/>
  <c r="AO18" i="14"/>
  <c r="AP18" i="14"/>
  <c r="AO17" i="14"/>
  <c r="AP17" i="14"/>
  <c r="AO16" i="14"/>
  <c r="AP16" i="14"/>
  <c r="AO15" i="14"/>
  <c r="AP15" i="14"/>
  <c r="AO14" i="14"/>
  <c r="AP14" i="14"/>
  <c r="AO13" i="14"/>
  <c r="BC16" i="11"/>
  <c r="BD16" i="11"/>
  <c r="BE16" i="11"/>
  <c r="BF16" i="11"/>
  <c r="BG16" i="11"/>
  <c r="BH16" i="11"/>
  <c r="N16" i="11"/>
  <c r="A7" i="11"/>
  <c r="A3" i="11"/>
  <c r="A4" i="11"/>
  <c r="A5" i="11"/>
  <c r="A6" i="11"/>
  <c r="A2" i="11"/>
  <c r="A8" i="11"/>
  <c r="AJ80" i="1"/>
  <c r="AK80" i="1"/>
  <c r="AL80" i="1"/>
  <c r="AJ79" i="1"/>
  <c r="AK79" i="1"/>
  <c r="AL79" i="1"/>
  <c r="AJ78" i="1"/>
  <c r="AK78" i="1"/>
  <c r="AL78" i="1"/>
  <c r="AJ77" i="1"/>
  <c r="AK77" i="1"/>
  <c r="AL77" i="1"/>
  <c r="AJ76" i="1"/>
  <c r="AK76" i="1"/>
  <c r="AL76" i="1"/>
  <c r="AJ75" i="1"/>
  <c r="AK75" i="1"/>
  <c r="AL75" i="1"/>
  <c r="AJ74" i="1"/>
  <c r="AK74" i="1"/>
  <c r="AL74" i="1"/>
  <c r="F54" i="12"/>
  <c r="N46" i="12"/>
  <c r="F81" i="14"/>
  <c r="AL81" i="14"/>
  <c r="AK3" i="11"/>
  <c r="AL81" i="16"/>
  <c r="AN81" i="17"/>
  <c r="M81" i="17"/>
  <c r="AL81" i="17"/>
  <c r="AO77" i="17"/>
  <c r="AP77" i="17"/>
  <c r="J81" i="17"/>
  <c r="N81" i="17"/>
  <c r="AK5" i="11"/>
  <c r="J49" i="11"/>
  <c r="J46" i="12"/>
  <c r="Y81" i="17"/>
  <c r="AC81" i="17"/>
  <c r="V81" i="17"/>
  <c r="AD81" i="17"/>
  <c r="AH81" i="17"/>
  <c r="AG81" i="17"/>
  <c r="Z81" i="17"/>
  <c r="R81" i="17"/>
  <c r="AO75" i="17"/>
  <c r="AP75" i="17"/>
  <c r="D81" i="17"/>
  <c r="H81" i="17"/>
  <c r="L81" i="17"/>
  <c r="T81" i="17"/>
  <c r="X81" i="17"/>
  <c r="AB81" i="17"/>
  <c r="AF81" i="17"/>
  <c r="U81" i="17"/>
  <c r="AM81" i="15"/>
  <c r="D81" i="16"/>
  <c r="AN81" i="16"/>
  <c r="E81" i="16"/>
  <c r="AL81" i="15"/>
  <c r="AN81" i="14"/>
  <c r="P81" i="17"/>
  <c r="Q81" i="17"/>
  <c r="C63" i="17"/>
  <c r="H81" i="16"/>
  <c r="L81" i="16"/>
  <c r="X81" i="16"/>
  <c r="AB81" i="16"/>
  <c r="AF81" i="16"/>
  <c r="I81" i="16"/>
  <c r="M81" i="16"/>
  <c r="U81" i="16"/>
  <c r="Y81" i="16"/>
  <c r="AC81" i="16"/>
  <c r="AG81" i="16"/>
  <c r="C67" i="17"/>
  <c r="AO79" i="17"/>
  <c r="AP79" i="17"/>
  <c r="C66" i="17"/>
  <c r="AP52" i="17"/>
  <c r="D68" i="17"/>
  <c r="C65" i="17"/>
  <c r="C81" i="17"/>
  <c r="G81" i="17"/>
  <c r="K81" i="17"/>
  <c r="O81" i="17"/>
  <c r="S81" i="17"/>
  <c r="W81" i="17"/>
  <c r="AA81" i="17"/>
  <c r="AE81" i="17"/>
  <c r="AI81" i="17"/>
  <c r="AM81" i="17"/>
  <c r="AO76" i="17"/>
  <c r="AP76" i="17"/>
  <c r="AO78" i="17"/>
  <c r="AP78" i="17"/>
  <c r="AO80" i="17"/>
  <c r="AP80" i="17"/>
  <c r="C64" i="17"/>
  <c r="C81" i="16"/>
  <c r="G81" i="16"/>
  <c r="AI81" i="16"/>
  <c r="AM81" i="16"/>
  <c r="C64" i="15"/>
  <c r="AK4" i="11"/>
  <c r="I49" i="11"/>
  <c r="I46" i="12"/>
  <c r="AK8" i="11"/>
  <c r="M49" i="11"/>
  <c r="M46" i="12"/>
  <c r="AJ3" i="11"/>
  <c r="AJ5" i="11"/>
  <c r="AJ7" i="11"/>
  <c r="AK6" i="11"/>
  <c r="K49" i="11"/>
  <c r="K46" i="12"/>
  <c r="AI2" i="11"/>
  <c r="G48" i="11"/>
  <c r="G45" i="12"/>
  <c r="AI4" i="11"/>
  <c r="I48" i="11"/>
  <c r="I45" i="12"/>
  <c r="AI6" i="11"/>
  <c r="K48" i="11"/>
  <c r="K45" i="12"/>
  <c r="AK7" i="11"/>
  <c r="L49" i="11"/>
  <c r="L46" i="12"/>
  <c r="AI8" i="11"/>
  <c r="M48" i="11"/>
  <c r="M45" i="12"/>
  <c r="C68" i="16"/>
  <c r="AJ4" i="11"/>
  <c r="AI3" i="11"/>
  <c r="H48" i="11"/>
  <c r="H45" i="12"/>
  <c r="AI5" i="11"/>
  <c r="J48" i="11"/>
  <c r="J45" i="12"/>
  <c r="G81" i="15"/>
  <c r="K81" i="15"/>
  <c r="W81" i="15"/>
  <c r="AI81" i="15"/>
  <c r="AJ2" i="11"/>
  <c r="AJ6" i="11"/>
  <c r="AJ8" i="11"/>
  <c r="H81" i="15"/>
  <c r="L81" i="15"/>
  <c r="X81" i="15"/>
  <c r="AK2" i="11"/>
  <c r="G49" i="11"/>
  <c r="G46" i="12"/>
  <c r="C81" i="14"/>
  <c r="AM81" i="14"/>
  <c r="AI7" i="11"/>
  <c r="L48" i="11"/>
  <c r="L45" i="12"/>
  <c r="D81" i="14"/>
  <c r="H81" i="14"/>
  <c r="L81" i="14"/>
  <c r="X81" i="14"/>
  <c r="AB81" i="14"/>
  <c r="AF81" i="14"/>
  <c r="P81" i="16"/>
  <c r="AA81" i="15"/>
  <c r="AE81" i="15"/>
  <c r="AB81" i="15"/>
  <c r="AF81" i="15"/>
  <c r="T81" i="16"/>
  <c r="Q81" i="16"/>
  <c r="O81" i="15"/>
  <c r="S81" i="15"/>
  <c r="P81" i="15"/>
  <c r="T81" i="15"/>
  <c r="P81" i="14"/>
  <c r="T81" i="14"/>
  <c r="C65" i="16"/>
  <c r="K81" i="16"/>
  <c r="O81" i="16"/>
  <c r="S81" i="16"/>
  <c r="W81" i="16"/>
  <c r="AA81" i="16"/>
  <c r="AE81" i="16"/>
  <c r="AO78" i="15"/>
  <c r="AP78" i="15"/>
  <c r="K81" i="14"/>
  <c r="S81" i="14"/>
  <c r="AA81" i="14"/>
  <c r="AI81" i="14"/>
  <c r="G81" i="14"/>
  <c r="O81" i="14"/>
  <c r="W81" i="14"/>
  <c r="AE81" i="14"/>
  <c r="J81" i="14"/>
  <c r="N81" i="14"/>
  <c r="R81" i="14"/>
  <c r="V81" i="14"/>
  <c r="Z81" i="14"/>
  <c r="AD81" i="14"/>
  <c r="AH81" i="14"/>
  <c r="C64" i="16"/>
  <c r="C67" i="16"/>
  <c r="AP52" i="16"/>
  <c r="D68" i="16"/>
  <c r="AO75" i="16"/>
  <c r="AP75" i="16"/>
  <c r="AO77" i="16"/>
  <c r="AP77" i="16"/>
  <c r="AO79" i="16"/>
  <c r="AP79" i="16"/>
  <c r="C66" i="16"/>
  <c r="F81" i="16"/>
  <c r="J81" i="16"/>
  <c r="N81" i="16"/>
  <c r="R81" i="16"/>
  <c r="V81" i="16"/>
  <c r="Z81" i="16"/>
  <c r="AD81" i="16"/>
  <c r="AH81" i="16"/>
  <c r="C63" i="16"/>
  <c r="AP37" i="16"/>
  <c r="D66" i="16"/>
  <c r="AO76" i="16"/>
  <c r="AP76" i="16"/>
  <c r="AO78" i="16"/>
  <c r="AP78" i="16"/>
  <c r="AO80" i="16"/>
  <c r="AP80" i="16"/>
  <c r="C63" i="15"/>
  <c r="AO74" i="15"/>
  <c r="AP74" i="15"/>
  <c r="AO80" i="15"/>
  <c r="AP80" i="15"/>
  <c r="H49" i="11"/>
  <c r="H46" i="12"/>
  <c r="C66" i="15"/>
  <c r="E81" i="15"/>
  <c r="I81" i="15"/>
  <c r="M81" i="15"/>
  <c r="Q81" i="15"/>
  <c r="U81" i="15"/>
  <c r="Y81" i="15"/>
  <c r="AC81" i="15"/>
  <c r="AG81" i="15"/>
  <c r="C67" i="15"/>
  <c r="C68" i="15"/>
  <c r="AO76" i="15"/>
  <c r="AP76" i="15"/>
  <c r="C65" i="15"/>
  <c r="F81" i="15"/>
  <c r="J81" i="15"/>
  <c r="N81" i="15"/>
  <c r="R81" i="15"/>
  <c r="V81" i="15"/>
  <c r="Z81" i="15"/>
  <c r="AD81" i="15"/>
  <c r="AH81" i="15"/>
  <c r="AO75" i="15"/>
  <c r="AP75" i="15"/>
  <c r="AO77" i="15"/>
  <c r="AP77" i="15"/>
  <c r="AO79" i="15"/>
  <c r="AP79" i="15"/>
  <c r="C63" i="14"/>
  <c r="C67" i="14"/>
  <c r="C68" i="14"/>
  <c r="AO76" i="14"/>
  <c r="AP76" i="14"/>
  <c r="AO78" i="14"/>
  <c r="AP78" i="14"/>
  <c r="AO80" i="14"/>
  <c r="AP80" i="14"/>
  <c r="C66" i="14"/>
  <c r="E81" i="14"/>
  <c r="I81" i="14"/>
  <c r="M81" i="14"/>
  <c r="Q81" i="14"/>
  <c r="U81" i="14"/>
  <c r="Y81" i="14"/>
  <c r="AC81" i="14"/>
  <c r="AG81" i="14"/>
  <c r="AO75" i="14"/>
  <c r="AP75" i="14"/>
  <c r="AO77" i="14"/>
  <c r="AP77" i="14"/>
  <c r="AO79" i="14"/>
  <c r="AP79" i="14"/>
  <c r="C69" i="7"/>
  <c r="D68" i="7"/>
  <c r="D81" i="7"/>
  <c r="AP13" i="7"/>
  <c r="D63" i="7"/>
  <c r="AP29" i="7"/>
  <c r="D65" i="7"/>
  <c r="AP44" i="7"/>
  <c r="D67" i="7"/>
  <c r="AP21" i="7"/>
  <c r="D64" i="7"/>
  <c r="AP37" i="7"/>
  <c r="D66" i="7"/>
  <c r="D67" i="18"/>
  <c r="D68" i="18"/>
  <c r="D63" i="18"/>
  <c r="D81" i="18"/>
  <c r="AP29" i="18"/>
  <c r="D65" i="18"/>
  <c r="C63" i="18"/>
  <c r="C67" i="18"/>
  <c r="AP21" i="18"/>
  <c r="D64" i="18"/>
  <c r="AP37" i="18"/>
  <c r="D66" i="18"/>
  <c r="AP13" i="17"/>
  <c r="D63" i="17"/>
  <c r="AP29" i="17"/>
  <c r="D65" i="17"/>
  <c r="AP44" i="17"/>
  <c r="D67" i="17"/>
  <c r="AO74" i="17"/>
  <c r="AP74" i="17"/>
  <c r="AP21" i="17"/>
  <c r="D64" i="17"/>
  <c r="AP37" i="17"/>
  <c r="D66" i="17"/>
  <c r="D64" i="16"/>
  <c r="AP13" i="16"/>
  <c r="D63" i="16"/>
  <c r="AP29" i="16"/>
  <c r="D65" i="16"/>
  <c r="AP44" i="16"/>
  <c r="D67" i="16"/>
  <c r="AO74" i="16"/>
  <c r="AP74" i="16"/>
  <c r="D68" i="15"/>
  <c r="D81" i="15"/>
  <c r="AP13" i="15"/>
  <c r="D63" i="15"/>
  <c r="AP29" i="15"/>
  <c r="D65" i="15"/>
  <c r="AP44" i="15"/>
  <c r="D67" i="15"/>
  <c r="AP21" i="15"/>
  <c r="D64" i="15"/>
  <c r="AP37" i="15"/>
  <c r="D66" i="15"/>
  <c r="D68" i="14"/>
  <c r="D65" i="14"/>
  <c r="AP13" i="14"/>
  <c r="D63" i="14"/>
  <c r="AP44" i="14"/>
  <c r="D67" i="14"/>
  <c r="C65" i="14"/>
  <c r="AO74" i="14"/>
  <c r="AP74" i="14"/>
  <c r="AP21" i="14"/>
  <c r="D64" i="14"/>
  <c r="AP37" i="14"/>
  <c r="D66" i="14"/>
  <c r="C69" i="17"/>
  <c r="C69" i="15"/>
  <c r="AP81" i="17"/>
  <c r="AX16" i="11"/>
  <c r="AV16" i="11"/>
  <c r="AW16" i="11"/>
  <c r="AP81" i="16"/>
  <c r="C69" i="16"/>
  <c r="C69" i="14"/>
  <c r="AP81" i="14"/>
  <c r="AP81" i="15"/>
  <c r="D69" i="7"/>
  <c r="D69" i="18"/>
  <c r="C69" i="18"/>
  <c r="D69" i="17"/>
  <c r="D69" i="16"/>
  <c r="D69" i="15"/>
  <c r="D69" i="14"/>
  <c r="AL72" i="9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AL71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AL70" i="9"/>
  <c r="AK70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AM70" i="9"/>
  <c r="AN70" i="9"/>
  <c r="AL69" i="9"/>
  <c r="AK69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AM69" i="9"/>
  <c r="AN69" i="9"/>
  <c r="AL68" i="9"/>
  <c r="AK68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AM68" i="9"/>
  <c r="AN68" i="9"/>
  <c r="AL67" i="9"/>
  <c r="AK67" i="9"/>
  <c r="AJ67" i="9"/>
  <c r="AI67" i="9"/>
  <c r="AH67" i="9"/>
  <c r="AG67" i="9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AL66" i="9"/>
  <c r="AL73" i="9"/>
  <c r="AK66" i="9"/>
  <c r="AK73" i="9"/>
  <c r="AJ66" i="9"/>
  <c r="AJ73" i="9"/>
  <c r="AI66" i="9"/>
  <c r="AI73" i="9"/>
  <c r="AH66" i="9"/>
  <c r="AH73" i="9"/>
  <c r="AG66" i="9"/>
  <c r="AG73" i="9"/>
  <c r="AF66" i="9"/>
  <c r="AF73" i="9"/>
  <c r="AE66" i="9"/>
  <c r="AE73" i="9"/>
  <c r="AD66" i="9"/>
  <c r="AD73" i="9"/>
  <c r="AC66" i="9"/>
  <c r="AC73" i="9"/>
  <c r="AB66" i="9"/>
  <c r="AB73" i="9"/>
  <c r="AA66" i="9"/>
  <c r="AA73" i="9"/>
  <c r="Z66" i="9"/>
  <c r="Z73" i="9"/>
  <c r="Y66" i="9"/>
  <c r="Y73" i="9"/>
  <c r="X66" i="9"/>
  <c r="X73" i="9"/>
  <c r="W66" i="9"/>
  <c r="W73" i="9"/>
  <c r="V66" i="9"/>
  <c r="V73" i="9"/>
  <c r="U66" i="9"/>
  <c r="U73" i="9"/>
  <c r="T66" i="9"/>
  <c r="T73" i="9"/>
  <c r="S66" i="9"/>
  <c r="S73" i="9"/>
  <c r="R66" i="9"/>
  <c r="R73" i="9"/>
  <c r="Q66" i="9"/>
  <c r="Q73" i="9"/>
  <c r="P66" i="9"/>
  <c r="P73" i="9"/>
  <c r="O66" i="9"/>
  <c r="O73" i="9"/>
  <c r="N66" i="9"/>
  <c r="N73" i="9"/>
  <c r="M66" i="9"/>
  <c r="M73" i="9"/>
  <c r="L66" i="9"/>
  <c r="L73" i="9"/>
  <c r="K66" i="9"/>
  <c r="K73" i="9"/>
  <c r="J66" i="9"/>
  <c r="J73" i="9"/>
  <c r="I66" i="9"/>
  <c r="I73" i="9"/>
  <c r="H66" i="9"/>
  <c r="H73" i="9"/>
  <c r="G66" i="9"/>
  <c r="G73" i="9"/>
  <c r="F66" i="9"/>
  <c r="F73" i="9"/>
  <c r="E66" i="9"/>
  <c r="E73" i="9"/>
  <c r="D66" i="9"/>
  <c r="D73" i="9"/>
  <c r="C66" i="9"/>
  <c r="AM66" i="9"/>
  <c r="AN66" i="9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AL71" i="8"/>
  <c r="AK71" i="8"/>
  <c r="AJ71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AL70" i="8"/>
  <c r="AK70" i="8"/>
  <c r="AJ70" i="8"/>
  <c r="AI70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AL69" i="8"/>
  <c r="AK69" i="8"/>
  <c r="AJ69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AL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AL66" i="8"/>
  <c r="AL73" i="8"/>
  <c r="AK66" i="8"/>
  <c r="AK73" i="8"/>
  <c r="AJ66" i="8"/>
  <c r="AJ73" i="8"/>
  <c r="AI66" i="8"/>
  <c r="AI73" i="8"/>
  <c r="AH66" i="8"/>
  <c r="AH73" i="8"/>
  <c r="AG66" i="8"/>
  <c r="AG73" i="8"/>
  <c r="AF66" i="8"/>
  <c r="AF73" i="8"/>
  <c r="AE66" i="8"/>
  <c r="AE73" i="8"/>
  <c r="AD66" i="8"/>
  <c r="AD73" i="8"/>
  <c r="AC66" i="8"/>
  <c r="AC73" i="8"/>
  <c r="AB66" i="8"/>
  <c r="AB73" i="8"/>
  <c r="AA66" i="8"/>
  <c r="AA73" i="8"/>
  <c r="Z66" i="8"/>
  <c r="Z73" i="8"/>
  <c r="Y66" i="8"/>
  <c r="Y73" i="8"/>
  <c r="X66" i="8"/>
  <c r="X73" i="8"/>
  <c r="W66" i="8"/>
  <c r="W73" i="8"/>
  <c r="V66" i="8"/>
  <c r="V73" i="8"/>
  <c r="U66" i="8"/>
  <c r="U73" i="8"/>
  <c r="T66" i="8"/>
  <c r="T73" i="8"/>
  <c r="S66" i="8"/>
  <c r="S73" i="8"/>
  <c r="R66" i="8"/>
  <c r="R73" i="8"/>
  <c r="Q66" i="8"/>
  <c r="Q73" i="8"/>
  <c r="P66" i="8"/>
  <c r="P73" i="8"/>
  <c r="O66" i="8"/>
  <c r="O73" i="8"/>
  <c r="N66" i="8"/>
  <c r="N73" i="8"/>
  <c r="M66" i="8"/>
  <c r="M73" i="8"/>
  <c r="L66" i="8"/>
  <c r="L73" i="8"/>
  <c r="K66" i="8"/>
  <c r="K73" i="8"/>
  <c r="J66" i="8"/>
  <c r="J73" i="8"/>
  <c r="I66" i="8"/>
  <c r="I73" i="8"/>
  <c r="H66" i="8"/>
  <c r="H73" i="8"/>
  <c r="G66" i="8"/>
  <c r="G73" i="8"/>
  <c r="F66" i="8"/>
  <c r="F73" i="8"/>
  <c r="E66" i="8"/>
  <c r="E73" i="8"/>
  <c r="D66" i="8"/>
  <c r="D73" i="8"/>
  <c r="C66" i="8"/>
  <c r="C73" i="8"/>
  <c r="N45" i="12"/>
  <c r="N44" i="12"/>
  <c r="N43" i="12"/>
  <c r="N42" i="12"/>
  <c r="N17" i="12"/>
  <c r="N16" i="12"/>
  <c r="N15" i="12"/>
  <c r="N14" i="12"/>
  <c r="N13" i="12"/>
  <c r="N12" i="12"/>
  <c r="N49" i="11"/>
  <c r="N47" i="11"/>
  <c r="N46" i="11"/>
  <c r="N45" i="11"/>
  <c r="N20" i="11"/>
  <c r="N19" i="11"/>
  <c r="N18" i="11"/>
  <c r="N17" i="11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AM70" i="10"/>
  <c r="AN70" i="10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AM67" i="10"/>
  <c r="AN67" i="10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AM66" i="10"/>
  <c r="AN66" i="10"/>
  <c r="F54" i="10"/>
  <c r="AM49" i="10"/>
  <c r="AN49" i="10"/>
  <c r="AM48" i="10"/>
  <c r="AN48" i="10"/>
  <c r="AM47" i="10"/>
  <c r="AN47" i="10"/>
  <c r="AM46" i="10"/>
  <c r="AN46" i="10"/>
  <c r="AM45" i="10"/>
  <c r="AN45" i="10"/>
  <c r="AM44" i="10"/>
  <c r="AN44" i="10"/>
  <c r="AM43" i="10"/>
  <c r="AM42" i="10"/>
  <c r="AN42" i="10"/>
  <c r="AM41" i="10"/>
  <c r="AN41" i="10"/>
  <c r="AM40" i="10"/>
  <c r="AN40" i="10"/>
  <c r="AM39" i="10"/>
  <c r="AN39" i="10"/>
  <c r="AM38" i="10"/>
  <c r="AN38" i="10"/>
  <c r="AM37" i="10"/>
  <c r="AN37" i="10"/>
  <c r="AM36" i="10"/>
  <c r="AN36" i="10"/>
  <c r="AM35" i="10"/>
  <c r="AM34" i="10"/>
  <c r="AN34" i="10"/>
  <c r="AM33" i="10"/>
  <c r="AN33" i="10"/>
  <c r="AM32" i="10"/>
  <c r="AN32" i="10"/>
  <c r="AM31" i="10"/>
  <c r="AN31" i="10"/>
  <c r="AM30" i="10"/>
  <c r="AN30" i="10"/>
  <c r="AM29" i="10"/>
  <c r="AN29" i="10"/>
  <c r="AM28" i="10"/>
  <c r="AN28" i="10"/>
  <c r="AM27" i="10"/>
  <c r="AN27" i="10"/>
  <c r="AM26" i="10"/>
  <c r="AN26" i="10"/>
  <c r="AM25" i="10"/>
  <c r="AN25" i="10"/>
  <c r="AM24" i="10"/>
  <c r="AN24" i="10"/>
  <c r="AM23" i="10"/>
  <c r="AN23" i="10"/>
  <c r="AM22" i="10"/>
  <c r="AN22" i="10"/>
  <c r="AM21" i="10"/>
  <c r="AN21" i="10"/>
  <c r="AM20" i="10"/>
  <c r="AM19" i="10"/>
  <c r="AN19" i="10"/>
  <c r="AM18" i="10"/>
  <c r="AN18" i="10"/>
  <c r="AM17" i="10"/>
  <c r="AN17" i="10"/>
  <c r="AM16" i="10"/>
  <c r="AN16" i="10"/>
  <c r="AM15" i="10"/>
  <c r="AN15" i="10"/>
  <c r="AM14" i="10"/>
  <c r="AN14" i="10"/>
  <c r="AM13" i="10"/>
  <c r="AN13" i="10"/>
  <c r="AM12" i="10"/>
  <c r="AN12" i="10"/>
  <c r="AM11" i="10"/>
  <c r="AN11" i="10"/>
  <c r="AM10" i="10"/>
  <c r="AN10" i="10"/>
  <c r="AM9" i="10"/>
  <c r="AN9" i="10"/>
  <c r="AM8" i="10"/>
  <c r="AN8" i="10"/>
  <c r="AM7" i="10"/>
  <c r="AN7" i="10"/>
  <c r="AM6" i="10"/>
  <c r="AN6" i="10"/>
  <c r="AM5" i="10"/>
  <c r="AN5" i="10"/>
  <c r="AM4" i="10"/>
  <c r="AN4" i="10"/>
  <c r="AM72" i="9"/>
  <c r="AN72" i="9"/>
  <c r="AM67" i="9"/>
  <c r="AN67" i="9"/>
  <c r="C59" i="9"/>
  <c r="C57" i="9"/>
  <c r="C55" i="9"/>
  <c r="F54" i="9"/>
  <c r="AN49" i="9"/>
  <c r="AM49" i="9"/>
  <c r="AM48" i="9"/>
  <c r="AN48" i="9"/>
  <c r="AN47" i="9"/>
  <c r="AM47" i="9"/>
  <c r="AM46" i="9"/>
  <c r="AN46" i="9"/>
  <c r="AN45" i="9"/>
  <c r="AM45" i="9"/>
  <c r="AM44" i="9"/>
  <c r="AN44" i="9"/>
  <c r="AN43" i="9"/>
  <c r="AM43" i="9"/>
  <c r="AM42" i="9"/>
  <c r="AN42" i="9"/>
  <c r="AN41" i="9"/>
  <c r="AM41" i="9"/>
  <c r="AM40" i="9"/>
  <c r="AN40" i="9"/>
  <c r="AN39" i="9"/>
  <c r="AM39" i="9"/>
  <c r="AM38" i="9"/>
  <c r="AN38" i="9"/>
  <c r="AN37" i="9"/>
  <c r="AM37" i="9"/>
  <c r="AM36" i="9"/>
  <c r="AN36" i="9"/>
  <c r="AN35" i="9"/>
  <c r="AM35" i="9"/>
  <c r="C58" i="9"/>
  <c r="AM34" i="9"/>
  <c r="AN34" i="9"/>
  <c r="AN33" i="9"/>
  <c r="AM33" i="9"/>
  <c r="AM32" i="9"/>
  <c r="AN32" i="9"/>
  <c r="AN31" i="9"/>
  <c r="AM31" i="9"/>
  <c r="AM30" i="9"/>
  <c r="AN30" i="9"/>
  <c r="AN29" i="9"/>
  <c r="AM29" i="9"/>
  <c r="AM28" i="9"/>
  <c r="AN28" i="9"/>
  <c r="AN27" i="9"/>
  <c r="AM27" i="9"/>
  <c r="AM26" i="9"/>
  <c r="AN26" i="9"/>
  <c r="AN25" i="9"/>
  <c r="AM25" i="9"/>
  <c r="AM24" i="9"/>
  <c r="AN24" i="9"/>
  <c r="AN23" i="9"/>
  <c r="AM23" i="9"/>
  <c r="AM22" i="9"/>
  <c r="AN22" i="9"/>
  <c r="AN21" i="9"/>
  <c r="AM21" i="9"/>
  <c r="AM20" i="9"/>
  <c r="C56" i="9"/>
  <c r="AN19" i="9"/>
  <c r="AM19" i="9"/>
  <c r="AM18" i="9"/>
  <c r="AN18" i="9"/>
  <c r="AN17" i="9"/>
  <c r="AM17" i="9"/>
  <c r="AM16" i="9"/>
  <c r="AN16" i="9"/>
  <c r="AN15" i="9"/>
  <c r="AM15" i="9"/>
  <c r="AM14" i="9"/>
  <c r="AN14" i="9"/>
  <c r="AN13" i="9"/>
  <c r="AM13" i="9"/>
  <c r="AM12" i="9"/>
  <c r="AN12" i="9"/>
  <c r="AN11" i="9"/>
  <c r="AM11" i="9"/>
  <c r="AM10" i="9"/>
  <c r="AN10" i="9"/>
  <c r="AN9" i="9"/>
  <c r="AM9" i="9"/>
  <c r="AM8" i="9"/>
  <c r="AN8" i="9"/>
  <c r="AN7" i="9"/>
  <c r="AM7" i="9"/>
  <c r="AM6" i="9"/>
  <c r="AN6" i="9"/>
  <c r="AN5" i="9"/>
  <c r="AM5" i="9"/>
  <c r="AM4" i="9"/>
  <c r="AN4" i="9"/>
  <c r="F54" i="8"/>
  <c r="AM49" i="8"/>
  <c r="AN49" i="8"/>
  <c r="AM48" i="8"/>
  <c r="AN48" i="8"/>
  <c r="AM47" i="8"/>
  <c r="AN47" i="8"/>
  <c r="AM46" i="8"/>
  <c r="AN46" i="8"/>
  <c r="AN45" i="8"/>
  <c r="AM45" i="8"/>
  <c r="AM44" i="8"/>
  <c r="AM43" i="8"/>
  <c r="AN43" i="8"/>
  <c r="AM42" i="8"/>
  <c r="AN42" i="8"/>
  <c r="AM41" i="8"/>
  <c r="AN41" i="8"/>
  <c r="AM40" i="8"/>
  <c r="AN40" i="8"/>
  <c r="AN39" i="8"/>
  <c r="AM39" i="8"/>
  <c r="AM38" i="8"/>
  <c r="AN38" i="8"/>
  <c r="AM37" i="8"/>
  <c r="AN37" i="8"/>
  <c r="AM36" i="8"/>
  <c r="AN36" i="8"/>
  <c r="AM35" i="8"/>
  <c r="AN35" i="8"/>
  <c r="AM34" i="8"/>
  <c r="AN34" i="8"/>
  <c r="AM33" i="8"/>
  <c r="AN33" i="8"/>
  <c r="AM32" i="8"/>
  <c r="AN32" i="8"/>
  <c r="AN31" i="8"/>
  <c r="AM31" i="8"/>
  <c r="AM30" i="8"/>
  <c r="AN30" i="8"/>
  <c r="AN29" i="8"/>
  <c r="AM29" i="8"/>
  <c r="AM28" i="8"/>
  <c r="AN27" i="8"/>
  <c r="AM27" i="8"/>
  <c r="AM26" i="8"/>
  <c r="AN26" i="8"/>
  <c r="AM25" i="8"/>
  <c r="AN25" i="8"/>
  <c r="AM24" i="8"/>
  <c r="AN24" i="8"/>
  <c r="AM23" i="8"/>
  <c r="AN23" i="8"/>
  <c r="AM22" i="8"/>
  <c r="AN22" i="8"/>
  <c r="AN21" i="8"/>
  <c r="AM21" i="8"/>
  <c r="AM20" i="8"/>
  <c r="AN19" i="8"/>
  <c r="AM19" i="8"/>
  <c r="AM18" i="8"/>
  <c r="AN18" i="8"/>
  <c r="AM17" i="8"/>
  <c r="AN17" i="8"/>
  <c r="AM16" i="8"/>
  <c r="AN16" i="8"/>
  <c r="AM15" i="8"/>
  <c r="AN15" i="8"/>
  <c r="AM14" i="8"/>
  <c r="AN14" i="8"/>
  <c r="AN13" i="8"/>
  <c r="AM13" i="8"/>
  <c r="AM12" i="8"/>
  <c r="AN11" i="8"/>
  <c r="AM11" i="8"/>
  <c r="AM10" i="8"/>
  <c r="AN10" i="8"/>
  <c r="AM9" i="8"/>
  <c r="AN9" i="8"/>
  <c r="AM8" i="8"/>
  <c r="AN8" i="8"/>
  <c r="AM7" i="8"/>
  <c r="AN7" i="8"/>
  <c r="AM6" i="8"/>
  <c r="AN6" i="8"/>
  <c r="AN5" i="8"/>
  <c r="AM5" i="8"/>
  <c r="AM4" i="8"/>
  <c r="AN4" i="8"/>
  <c r="AN80" i="1"/>
  <c r="AM80" i="1"/>
  <c r="AI80" i="1"/>
  <c r="AH80" i="1"/>
  <c r="AG80" i="1"/>
  <c r="AF8" i="11"/>
  <c r="M45" i="11"/>
  <c r="M42" i="12"/>
  <c r="AF80" i="1"/>
  <c r="AE80" i="1"/>
  <c r="AD80" i="1"/>
  <c r="AC80" i="1"/>
  <c r="AB8" i="11"/>
  <c r="M41" i="11"/>
  <c r="M38" i="12"/>
  <c r="AB80" i="1"/>
  <c r="AA80" i="1"/>
  <c r="Z80" i="1"/>
  <c r="Y80" i="1"/>
  <c r="X8" i="11"/>
  <c r="M37" i="11"/>
  <c r="M34" i="12"/>
  <c r="X80" i="1"/>
  <c r="W80" i="1"/>
  <c r="V80" i="1"/>
  <c r="U80" i="1"/>
  <c r="T8" i="11"/>
  <c r="M33" i="11"/>
  <c r="M30" i="12"/>
  <c r="T80" i="1"/>
  <c r="S80" i="1"/>
  <c r="R80" i="1"/>
  <c r="Q80" i="1"/>
  <c r="P8" i="11"/>
  <c r="M29" i="11"/>
  <c r="M26" i="12"/>
  <c r="P80" i="1"/>
  <c r="O80" i="1"/>
  <c r="N80" i="1"/>
  <c r="M80" i="1"/>
  <c r="L8" i="11"/>
  <c r="M25" i="11"/>
  <c r="M22" i="12"/>
  <c r="L80" i="1"/>
  <c r="K80" i="1"/>
  <c r="J80" i="1"/>
  <c r="I80" i="1"/>
  <c r="H8" i="11"/>
  <c r="M21" i="11"/>
  <c r="M18" i="12"/>
  <c r="H80" i="1"/>
  <c r="G80" i="1"/>
  <c r="F80" i="1"/>
  <c r="E80" i="1"/>
  <c r="D8" i="11"/>
  <c r="M17" i="11"/>
  <c r="M14" i="12"/>
  <c r="D80" i="1"/>
  <c r="C8" i="11"/>
  <c r="M16" i="11"/>
  <c r="M13" i="12"/>
  <c r="C80" i="1"/>
  <c r="B8" i="11"/>
  <c r="M15" i="11"/>
  <c r="M12" i="12"/>
  <c r="AN79" i="1"/>
  <c r="AM7" i="11"/>
  <c r="AM79" i="1"/>
  <c r="AL7" i="11"/>
  <c r="AI79" i="1"/>
  <c r="AH7" i="11"/>
  <c r="AH79" i="1"/>
  <c r="AG7" i="11"/>
  <c r="AG79" i="1"/>
  <c r="AF7" i="11"/>
  <c r="AF79" i="1"/>
  <c r="AE7" i="11"/>
  <c r="AE79" i="1"/>
  <c r="AD7" i="11"/>
  <c r="AD79" i="1"/>
  <c r="AC7" i="11"/>
  <c r="AC79" i="1"/>
  <c r="AB7" i="11"/>
  <c r="AB79" i="1"/>
  <c r="AA7" i="11"/>
  <c r="AA79" i="1"/>
  <c r="Z7" i="11"/>
  <c r="Z79" i="1"/>
  <c r="Y7" i="11"/>
  <c r="Y79" i="1"/>
  <c r="X7" i="11"/>
  <c r="X79" i="1"/>
  <c r="W7" i="11"/>
  <c r="W79" i="1"/>
  <c r="V7" i="11"/>
  <c r="V79" i="1"/>
  <c r="U7" i="11"/>
  <c r="U79" i="1"/>
  <c r="T7" i="11"/>
  <c r="T79" i="1"/>
  <c r="S7" i="11"/>
  <c r="S79" i="1"/>
  <c r="R7" i="11"/>
  <c r="R79" i="1"/>
  <c r="Q7" i="11"/>
  <c r="Q79" i="1"/>
  <c r="P7" i="11"/>
  <c r="P79" i="1"/>
  <c r="O7" i="11"/>
  <c r="O79" i="1"/>
  <c r="N7" i="11"/>
  <c r="N79" i="1"/>
  <c r="M7" i="11"/>
  <c r="M79" i="1"/>
  <c r="L7" i="11"/>
  <c r="L79" i="1"/>
  <c r="K7" i="11"/>
  <c r="K79" i="1"/>
  <c r="J7" i="11"/>
  <c r="J79" i="1"/>
  <c r="I7" i="11"/>
  <c r="I79" i="1"/>
  <c r="H7" i="11"/>
  <c r="H79" i="1"/>
  <c r="G7" i="11"/>
  <c r="G79" i="1"/>
  <c r="F7" i="11"/>
  <c r="F79" i="1"/>
  <c r="E7" i="11"/>
  <c r="E79" i="1"/>
  <c r="D7" i="11"/>
  <c r="D79" i="1"/>
  <c r="C7" i="11"/>
  <c r="C79" i="1"/>
  <c r="B7" i="11"/>
  <c r="L15" i="11"/>
  <c r="L12" i="12"/>
  <c r="AN78" i="1"/>
  <c r="AM6" i="11"/>
  <c r="AM78" i="1"/>
  <c r="AL6" i="11"/>
  <c r="AI78" i="1"/>
  <c r="AH6" i="11"/>
  <c r="AH78" i="1"/>
  <c r="AG6" i="11"/>
  <c r="AG78" i="1"/>
  <c r="AF6" i="11"/>
  <c r="AF78" i="1"/>
  <c r="AE6" i="11"/>
  <c r="AE78" i="1"/>
  <c r="AD6" i="11"/>
  <c r="AD78" i="1"/>
  <c r="AC6" i="11"/>
  <c r="AC78" i="1"/>
  <c r="AB6" i="11"/>
  <c r="AB78" i="1"/>
  <c r="AA6" i="11"/>
  <c r="AA78" i="1"/>
  <c r="Z6" i="11"/>
  <c r="Z78" i="1"/>
  <c r="Y6" i="11"/>
  <c r="Y78" i="1"/>
  <c r="X6" i="11"/>
  <c r="X78" i="1"/>
  <c r="W6" i="11"/>
  <c r="W78" i="1"/>
  <c r="V6" i="11"/>
  <c r="V78" i="1"/>
  <c r="U6" i="11"/>
  <c r="U78" i="1"/>
  <c r="T6" i="11"/>
  <c r="T78" i="1"/>
  <c r="S6" i="11"/>
  <c r="S78" i="1"/>
  <c r="R6" i="11"/>
  <c r="R78" i="1"/>
  <c r="Q6" i="11"/>
  <c r="Q78" i="1"/>
  <c r="P6" i="11"/>
  <c r="P78" i="1"/>
  <c r="O6" i="11"/>
  <c r="O78" i="1"/>
  <c r="N6" i="11"/>
  <c r="N78" i="1"/>
  <c r="M6" i="11"/>
  <c r="M78" i="1"/>
  <c r="L6" i="11"/>
  <c r="L78" i="1"/>
  <c r="K6" i="11"/>
  <c r="K78" i="1"/>
  <c r="J6" i="11"/>
  <c r="J78" i="1"/>
  <c r="I6" i="11"/>
  <c r="I78" i="1"/>
  <c r="H6" i="11"/>
  <c r="H78" i="1"/>
  <c r="G6" i="11"/>
  <c r="G78" i="1"/>
  <c r="F6" i="11"/>
  <c r="F78" i="1"/>
  <c r="E6" i="11"/>
  <c r="E78" i="1"/>
  <c r="D6" i="11"/>
  <c r="D78" i="1"/>
  <c r="C6" i="11"/>
  <c r="C78" i="1"/>
  <c r="B6" i="11"/>
  <c r="AN77" i="1"/>
  <c r="AM5" i="11"/>
  <c r="AM77" i="1"/>
  <c r="AL5" i="11"/>
  <c r="AI77" i="1"/>
  <c r="AH5" i="11"/>
  <c r="AH77" i="1"/>
  <c r="AG5" i="11"/>
  <c r="AG77" i="1"/>
  <c r="AF5" i="11"/>
  <c r="AF77" i="1"/>
  <c r="AE5" i="11"/>
  <c r="AE77" i="1"/>
  <c r="AD5" i="11"/>
  <c r="AD77" i="1"/>
  <c r="AC5" i="11"/>
  <c r="AC77" i="1"/>
  <c r="AB5" i="11"/>
  <c r="AB77" i="1"/>
  <c r="AA5" i="11"/>
  <c r="AA77" i="1"/>
  <c r="Z5" i="11"/>
  <c r="Z77" i="1"/>
  <c r="Y5" i="11"/>
  <c r="Y77" i="1"/>
  <c r="X5" i="11"/>
  <c r="X77" i="1"/>
  <c r="W5" i="11"/>
  <c r="W77" i="1"/>
  <c r="V5" i="11"/>
  <c r="V77" i="1"/>
  <c r="U5" i="11"/>
  <c r="U77" i="1"/>
  <c r="T5" i="11"/>
  <c r="T77" i="1"/>
  <c r="S5" i="11"/>
  <c r="S77" i="1"/>
  <c r="R5" i="11"/>
  <c r="R77" i="1"/>
  <c r="Q5" i="11"/>
  <c r="Q77" i="1"/>
  <c r="P5" i="11"/>
  <c r="P77" i="1"/>
  <c r="O5" i="11"/>
  <c r="O77" i="1"/>
  <c r="N5" i="11"/>
  <c r="N77" i="1"/>
  <c r="M5" i="11"/>
  <c r="M77" i="1"/>
  <c r="L5" i="11"/>
  <c r="L77" i="1"/>
  <c r="K5" i="11"/>
  <c r="K77" i="1"/>
  <c r="J5" i="11"/>
  <c r="J77" i="1"/>
  <c r="I5" i="11"/>
  <c r="I77" i="1"/>
  <c r="H5" i="11"/>
  <c r="H77" i="1"/>
  <c r="G5" i="11"/>
  <c r="G77" i="1"/>
  <c r="F5" i="11"/>
  <c r="F77" i="1"/>
  <c r="E5" i="11"/>
  <c r="E77" i="1"/>
  <c r="D5" i="11"/>
  <c r="D77" i="1"/>
  <c r="C5" i="11"/>
  <c r="C77" i="1"/>
  <c r="B5" i="11"/>
  <c r="AN76" i="1"/>
  <c r="AM4" i="11"/>
  <c r="AM76" i="1"/>
  <c r="AL4" i="11"/>
  <c r="AI76" i="1"/>
  <c r="AH4" i="11"/>
  <c r="AH76" i="1"/>
  <c r="AG4" i="11"/>
  <c r="AG76" i="1"/>
  <c r="AF4" i="11"/>
  <c r="AF76" i="1"/>
  <c r="AE4" i="11"/>
  <c r="AE76" i="1"/>
  <c r="AD4" i="11"/>
  <c r="AD76" i="1"/>
  <c r="AC4" i="11"/>
  <c r="AC76" i="1"/>
  <c r="AB4" i="11"/>
  <c r="AB76" i="1"/>
  <c r="AA4" i="11"/>
  <c r="AA76" i="1"/>
  <c r="Z4" i="11"/>
  <c r="Z76" i="1"/>
  <c r="Y4" i="11"/>
  <c r="Y76" i="1"/>
  <c r="X4" i="11"/>
  <c r="X76" i="1"/>
  <c r="W4" i="11"/>
  <c r="W76" i="1"/>
  <c r="V4" i="11"/>
  <c r="V76" i="1"/>
  <c r="U4" i="11"/>
  <c r="U76" i="1"/>
  <c r="T4" i="11"/>
  <c r="T76" i="1"/>
  <c r="S4" i="11"/>
  <c r="S76" i="1"/>
  <c r="R4" i="11"/>
  <c r="R76" i="1"/>
  <c r="Q4" i="11"/>
  <c r="Q76" i="1"/>
  <c r="P4" i="11"/>
  <c r="P76" i="1"/>
  <c r="O4" i="11"/>
  <c r="O76" i="1"/>
  <c r="N4" i="11"/>
  <c r="N76" i="1"/>
  <c r="M4" i="11"/>
  <c r="M76" i="1"/>
  <c r="L4" i="11"/>
  <c r="L76" i="1"/>
  <c r="K4" i="11"/>
  <c r="K76" i="1"/>
  <c r="J4" i="11"/>
  <c r="J76" i="1"/>
  <c r="I4" i="11"/>
  <c r="I76" i="1"/>
  <c r="H4" i="11"/>
  <c r="H76" i="1"/>
  <c r="G4" i="11"/>
  <c r="G76" i="1"/>
  <c r="F4" i="11"/>
  <c r="F76" i="1"/>
  <c r="E4" i="11"/>
  <c r="E76" i="1"/>
  <c r="D4" i="11"/>
  <c r="D76" i="1"/>
  <c r="C4" i="11"/>
  <c r="C76" i="1"/>
  <c r="B4" i="11"/>
  <c r="AN75" i="1"/>
  <c r="AM3" i="11"/>
  <c r="AM75" i="1"/>
  <c r="AL3" i="11"/>
  <c r="AI75" i="1"/>
  <c r="AH75" i="1"/>
  <c r="AG3" i="11"/>
  <c r="AG75" i="1"/>
  <c r="AF3" i="11"/>
  <c r="AF75" i="1"/>
  <c r="AE3" i="11"/>
  <c r="AE75" i="1"/>
  <c r="AD3" i="11"/>
  <c r="AD75" i="1"/>
  <c r="AC3" i="11"/>
  <c r="AC75" i="1"/>
  <c r="AB3" i="11"/>
  <c r="AB75" i="1"/>
  <c r="AA3" i="11"/>
  <c r="AA75" i="1"/>
  <c r="Z3" i="11"/>
  <c r="Z75" i="1"/>
  <c r="Y3" i="11"/>
  <c r="Y75" i="1"/>
  <c r="X3" i="11"/>
  <c r="X75" i="1"/>
  <c r="W3" i="11"/>
  <c r="W75" i="1"/>
  <c r="V3" i="11"/>
  <c r="V75" i="1"/>
  <c r="U3" i="11"/>
  <c r="U75" i="1"/>
  <c r="T3" i="11"/>
  <c r="T75" i="1"/>
  <c r="S3" i="11"/>
  <c r="S75" i="1"/>
  <c r="R3" i="11"/>
  <c r="R75" i="1"/>
  <c r="Q3" i="11"/>
  <c r="Q75" i="1"/>
  <c r="P3" i="11"/>
  <c r="P75" i="1"/>
  <c r="O3" i="11"/>
  <c r="O75" i="1"/>
  <c r="N3" i="11"/>
  <c r="N75" i="1"/>
  <c r="M3" i="11"/>
  <c r="M75" i="1"/>
  <c r="L3" i="11"/>
  <c r="L75" i="1"/>
  <c r="K3" i="11"/>
  <c r="K75" i="1"/>
  <c r="J3" i="11"/>
  <c r="J75" i="1"/>
  <c r="I3" i="11"/>
  <c r="I75" i="1"/>
  <c r="H3" i="11"/>
  <c r="H75" i="1"/>
  <c r="G3" i="11"/>
  <c r="G75" i="1"/>
  <c r="F3" i="11"/>
  <c r="F75" i="1"/>
  <c r="E3" i="11"/>
  <c r="E75" i="1"/>
  <c r="D3" i="11"/>
  <c r="D75" i="1"/>
  <c r="C3" i="11"/>
  <c r="C75" i="1"/>
  <c r="B3" i="11"/>
  <c r="AN74" i="1"/>
  <c r="AM2" i="11"/>
  <c r="AM74" i="1"/>
  <c r="AL2" i="11"/>
  <c r="AI74" i="1"/>
  <c r="AH2" i="11"/>
  <c r="AH74" i="1"/>
  <c r="AG2" i="11"/>
  <c r="AG74" i="1"/>
  <c r="AF2" i="11"/>
  <c r="AF74" i="1"/>
  <c r="AE2" i="11"/>
  <c r="AE74" i="1"/>
  <c r="AD2" i="11"/>
  <c r="AD74" i="1"/>
  <c r="AC2" i="11"/>
  <c r="AC74" i="1"/>
  <c r="AB2" i="11"/>
  <c r="AB74" i="1"/>
  <c r="AA2" i="11"/>
  <c r="AA74" i="1"/>
  <c r="Z2" i="11"/>
  <c r="Z74" i="1"/>
  <c r="Y2" i="11"/>
  <c r="Y74" i="1"/>
  <c r="X2" i="11"/>
  <c r="X74" i="1"/>
  <c r="W2" i="11"/>
  <c r="W74" i="1"/>
  <c r="V2" i="11"/>
  <c r="V74" i="1"/>
  <c r="U2" i="11"/>
  <c r="U74" i="1"/>
  <c r="T2" i="11"/>
  <c r="T74" i="1"/>
  <c r="S2" i="11"/>
  <c r="S74" i="1"/>
  <c r="R2" i="11"/>
  <c r="R74" i="1"/>
  <c r="Q2" i="11"/>
  <c r="Q74" i="1"/>
  <c r="P2" i="11"/>
  <c r="P74" i="1"/>
  <c r="O2" i="11"/>
  <c r="O74" i="1"/>
  <c r="N2" i="11"/>
  <c r="N74" i="1"/>
  <c r="M2" i="11"/>
  <c r="M74" i="1"/>
  <c r="L2" i="11"/>
  <c r="L74" i="1"/>
  <c r="K2" i="11"/>
  <c r="K74" i="1"/>
  <c r="J2" i="11"/>
  <c r="J74" i="1"/>
  <c r="I2" i="11"/>
  <c r="I74" i="1"/>
  <c r="H2" i="11"/>
  <c r="H74" i="1"/>
  <c r="G2" i="11"/>
  <c r="G74" i="1"/>
  <c r="F2" i="11"/>
  <c r="F74" i="1"/>
  <c r="E2" i="11"/>
  <c r="E74" i="1"/>
  <c r="D2" i="11"/>
  <c r="D74" i="1"/>
  <c r="C2" i="11"/>
  <c r="C74" i="1"/>
  <c r="B2" i="11"/>
  <c r="AO58" i="1"/>
  <c r="AP58" i="1"/>
  <c r="AO57" i="1"/>
  <c r="AP57" i="1"/>
  <c r="AO56" i="1"/>
  <c r="AP56" i="1"/>
  <c r="AO55" i="1"/>
  <c r="AP55" i="1"/>
  <c r="AO54" i="1"/>
  <c r="AP54" i="1"/>
  <c r="AO53" i="1"/>
  <c r="AP53" i="1"/>
  <c r="AO52" i="1"/>
  <c r="AP52" i="1"/>
  <c r="AO51" i="1"/>
  <c r="AO50" i="1"/>
  <c r="AP50" i="1"/>
  <c r="AO49" i="1"/>
  <c r="AP49" i="1"/>
  <c r="AO48" i="1"/>
  <c r="AP48" i="1"/>
  <c r="AO47" i="1"/>
  <c r="AP47" i="1"/>
  <c r="AO46" i="1"/>
  <c r="AP46" i="1"/>
  <c r="AO45" i="1"/>
  <c r="AP45" i="1"/>
  <c r="AO44" i="1"/>
  <c r="AP44" i="1"/>
  <c r="AO43" i="1"/>
  <c r="AP43" i="1"/>
  <c r="AO42" i="1"/>
  <c r="AP42" i="1"/>
  <c r="AO41" i="1"/>
  <c r="AP41" i="1"/>
  <c r="AO40" i="1"/>
  <c r="AP40" i="1"/>
  <c r="AO39" i="1"/>
  <c r="AP39" i="1"/>
  <c r="AO38" i="1"/>
  <c r="AP38" i="1"/>
  <c r="AO37" i="1"/>
  <c r="AP37" i="1"/>
  <c r="AO35" i="1"/>
  <c r="AP35" i="1"/>
  <c r="AO34" i="1"/>
  <c r="AP34" i="1"/>
  <c r="AO33" i="1"/>
  <c r="AP33" i="1"/>
  <c r="AO32" i="1"/>
  <c r="AP32" i="1"/>
  <c r="AO31" i="1"/>
  <c r="AP31" i="1"/>
  <c r="AO30" i="1"/>
  <c r="AP30" i="1"/>
  <c r="AO29" i="1"/>
  <c r="AO27" i="1"/>
  <c r="AP27" i="1"/>
  <c r="AO26" i="1"/>
  <c r="AP26" i="1"/>
  <c r="AO25" i="1"/>
  <c r="AP25" i="1"/>
  <c r="AO24" i="1"/>
  <c r="AP24" i="1"/>
  <c r="AO23" i="1"/>
  <c r="AP23" i="1"/>
  <c r="AO22" i="1"/>
  <c r="AP22" i="1"/>
  <c r="AO21" i="1"/>
  <c r="AP21" i="1"/>
  <c r="AO19" i="1"/>
  <c r="AP19" i="1"/>
  <c r="AO18" i="1"/>
  <c r="AP18" i="1"/>
  <c r="AO17" i="1"/>
  <c r="AP17" i="1"/>
  <c r="AO16" i="1"/>
  <c r="AP16" i="1"/>
  <c r="AO15" i="1"/>
  <c r="AP15" i="1"/>
  <c r="AO14" i="1"/>
  <c r="AP14" i="1"/>
  <c r="AO13" i="1"/>
  <c r="AL8" i="11"/>
  <c r="AY16" i="11"/>
  <c r="AM8" i="11"/>
  <c r="M50" i="11"/>
  <c r="M47" i="12"/>
  <c r="D54" i="12"/>
  <c r="AG8" i="11"/>
  <c r="M46" i="11"/>
  <c r="M43" i="12"/>
  <c r="AH3" i="11"/>
  <c r="H47" i="11"/>
  <c r="H44" i="12"/>
  <c r="AH8" i="11"/>
  <c r="M47" i="11"/>
  <c r="M44" i="12"/>
  <c r="G8" i="11"/>
  <c r="M20" i="11"/>
  <c r="M17" i="12"/>
  <c r="E8" i="11"/>
  <c r="M18" i="11"/>
  <c r="M15" i="12"/>
  <c r="F8" i="11"/>
  <c r="M19" i="11"/>
  <c r="M16" i="12"/>
  <c r="I8" i="11"/>
  <c r="I8" i="19"/>
  <c r="Q8" i="11"/>
  <c r="M30" i="11"/>
  <c r="M27" i="12"/>
  <c r="Y8" i="11"/>
  <c r="M38" i="11"/>
  <c r="M35" i="12"/>
  <c r="J8" i="11"/>
  <c r="M23" i="11"/>
  <c r="M20" i="12"/>
  <c r="N8" i="11"/>
  <c r="M27" i="11"/>
  <c r="M24" i="12"/>
  <c r="R8" i="11"/>
  <c r="M31" i="11"/>
  <c r="M28" i="12"/>
  <c r="V8" i="11"/>
  <c r="M35" i="11"/>
  <c r="M32" i="12"/>
  <c r="Z8" i="11"/>
  <c r="M39" i="11"/>
  <c r="M36" i="12"/>
  <c r="AD8" i="11"/>
  <c r="M43" i="11"/>
  <c r="M40" i="12"/>
  <c r="M8" i="11"/>
  <c r="M26" i="11"/>
  <c r="M23" i="12"/>
  <c r="U8" i="11"/>
  <c r="M34" i="11"/>
  <c r="M31" i="12"/>
  <c r="AC8" i="11"/>
  <c r="M42" i="11"/>
  <c r="M39" i="12"/>
  <c r="AN2" i="11"/>
  <c r="AO2" i="11"/>
  <c r="K8" i="11"/>
  <c r="M24" i="11"/>
  <c r="M21" i="12"/>
  <c r="O8" i="11"/>
  <c r="M28" i="11"/>
  <c r="M25" i="12"/>
  <c r="S8" i="11"/>
  <c r="M32" i="11"/>
  <c r="M29" i="12"/>
  <c r="W8" i="11"/>
  <c r="M36" i="11"/>
  <c r="M33" i="12"/>
  <c r="AA8" i="11"/>
  <c r="M40" i="11"/>
  <c r="M37" i="12"/>
  <c r="AE8" i="11"/>
  <c r="M44" i="11"/>
  <c r="M41" i="12"/>
  <c r="H4" i="19"/>
  <c r="I29" i="11"/>
  <c r="I26" i="12"/>
  <c r="X4" i="19"/>
  <c r="D8" i="19"/>
  <c r="U16" i="11"/>
  <c r="AC16" i="11"/>
  <c r="AG16" i="11"/>
  <c r="AK16" i="11"/>
  <c r="AO16" i="11"/>
  <c r="D3" i="19"/>
  <c r="H3" i="19"/>
  <c r="H25" i="11"/>
  <c r="H22" i="12"/>
  <c r="P3" i="19"/>
  <c r="T3" i="19"/>
  <c r="X3" i="19"/>
  <c r="AB3" i="19"/>
  <c r="D7" i="19"/>
  <c r="H7" i="19"/>
  <c r="L7" i="19"/>
  <c r="P7" i="19"/>
  <c r="T7" i="19"/>
  <c r="L37" i="11"/>
  <c r="L34" i="12"/>
  <c r="AB7" i="19"/>
  <c r="K17" i="11"/>
  <c r="K14" i="12"/>
  <c r="H6" i="19"/>
  <c r="K25" i="11"/>
  <c r="K22" i="12"/>
  <c r="P6" i="19"/>
  <c r="T6" i="19"/>
  <c r="X6" i="19"/>
  <c r="K41" i="11"/>
  <c r="K38" i="12"/>
  <c r="O16" i="11"/>
  <c r="D4" i="19"/>
  <c r="L4" i="19"/>
  <c r="T4" i="19"/>
  <c r="I41" i="11"/>
  <c r="I38" i="12"/>
  <c r="Y16" i="11"/>
  <c r="D5" i="19"/>
  <c r="J21" i="11"/>
  <c r="J18" i="12"/>
  <c r="L5" i="19"/>
  <c r="P5" i="19"/>
  <c r="J33" i="11"/>
  <c r="J30" i="12"/>
  <c r="X5" i="19"/>
  <c r="AB5" i="19"/>
  <c r="P16" i="11"/>
  <c r="AF5" i="19"/>
  <c r="I45" i="11"/>
  <c r="I42" i="12"/>
  <c r="AF6" i="19"/>
  <c r="AF7" i="19"/>
  <c r="AF3" i="19"/>
  <c r="AF2" i="19"/>
  <c r="AB2" i="19"/>
  <c r="X2" i="19"/>
  <c r="T2" i="19"/>
  <c r="P2" i="19"/>
  <c r="L2" i="19"/>
  <c r="H2" i="19"/>
  <c r="I2" i="19"/>
  <c r="Q2" i="19"/>
  <c r="M3" i="19"/>
  <c r="U3" i="19"/>
  <c r="H50" i="11"/>
  <c r="H47" i="12"/>
  <c r="I4" i="19"/>
  <c r="E5" i="19"/>
  <c r="M5" i="19"/>
  <c r="J50" i="11"/>
  <c r="J47" i="12"/>
  <c r="I6" i="19"/>
  <c r="AG6" i="19"/>
  <c r="E7" i="19"/>
  <c r="AC7" i="19"/>
  <c r="L50" i="11"/>
  <c r="L47" i="12"/>
  <c r="M8" i="19"/>
  <c r="AM70" i="8"/>
  <c r="AN70" i="8"/>
  <c r="U2" i="19"/>
  <c r="AC2" i="19"/>
  <c r="Y3" i="19"/>
  <c r="AG3" i="19"/>
  <c r="U4" i="19"/>
  <c r="AC4" i="19"/>
  <c r="I50" i="11"/>
  <c r="I47" i="12"/>
  <c r="Y5" i="19"/>
  <c r="M6" i="19"/>
  <c r="U6" i="19"/>
  <c r="K50" i="11"/>
  <c r="K47" i="12"/>
  <c r="I7" i="19"/>
  <c r="AM69" i="8"/>
  <c r="AN69" i="8"/>
  <c r="D54" i="8"/>
  <c r="C8" i="19"/>
  <c r="AI8" i="19"/>
  <c r="B8" i="19"/>
  <c r="K81" i="1"/>
  <c r="AE81" i="1"/>
  <c r="H81" i="1"/>
  <c r="L81" i="1"/>
  <c r="P81" i="1"/>
  <c r="T81" i="1"/>
  <c r="X81" i="1"/>
  <c r="AF81" i="1"/>
  <c r="E81" i="1"/>
  <c r="G81" i="1"/>
  <c r="F81" i="1"/>
  <c r="AH81" i="1"/>
  <c r="AN81" i="1"/>
  <c r="AM81" i="1"/>
  <c r="AB81" i="1"/>
  <c r="D81" i="1"/>
  <c r="AL81" i="1"/>
  <c r="W81" i="1"/>
  <c r="I81" i="1"/>
  <c r="AI81" i="1"/>
  <c r="R81" i="1"/>
  <c r="N81" i="1"/>
  <c r="V81" i="1"/>
  <c r="AG81" i="1"/>
  <c r="U81" i="1"/>
  <c r="O81" i="1"/>
  <c r="Q81" i="1"/>
  <c r="J81" i="1"/>
  <c r="M81" i="1"/>
  <c r="AD81" i="1"/>
  <c r="AC81" i="1"/>
  <c r="AA81" i="1"/>
  <c r="Z81" i="1"/>
  <c r="Y81" i="1"/>
  <c r="S81" i="1"/>
  <c r="C81" i="1"/>
  <c r="C73" i="9"/>
  <c r="G45" i="11"/>
  <c r="G42" i="12"/>
  <c r="K37" i="11"/>
  <c r="K34" i="12"/>
  <c r="I25" i="11"/>
  <c r="I22" i="12"/>
  <c r="G25" i="11"/>
  <c r="G22" i="12"/>
  <c r="I21" i="11"/>
  <c r="I18" i="12"/>
  <c r="G30" i="11"/>
  <c r="G27" i="12"/>
  <c r="G34" i="11"/>
  <c r="G31" i="12"/>
  <c r="H34" i="11"/>
  <c r="H31" i="12"/>
  <c r="H38" i="11"/>
  <c r="H35" i="12"/>
  <c r="H46" i="11"/>
  <c r="H43" i="12"/>
  <c r="J26" i="11"/>
  <c r="J23" i="12"/>
  <c r="J38" i="11"/>
  <c r="J35" i="12"/>
  <c r="K34" i="11"/>
  <c r="K31" i="12"/>
  <c r="K46" i="11"/>
  <c r="K43" i="12"/>
  <c r="L18" i="11"/>
  <c r="L15" i="12"/>
  <c r="D64" i="1"/>
  <c r="C63" i="1"/>
  <c r="C65" i="1"/>
  <c r="AP13" i="1"/>
  <c r="D63" i="1"/>
  <c r="AP29" i="1"/>
  <c r="D65" i="1"/>
  <c r="D66" i="1"/>
  <c r="D67" i="1"/>
  <c r="D68" i="1"/>
  <c r="C64" i="1"/>
  <c r="C67" i="1"/>
  <c r="AO75" i="1"/>
  <c r="AP75" i="1"/>
  <c r="AO77" i="1"/>
  <c r="AP77" i="1"/>
  <c r="AO79" i="1"/>
  <c r="AP79" i="1"/>
  <c r="C55" i="8"/>
  <c r="AN12" i="8"/>
  <c r="D55" i="8"/>
  <c r="C56" i="8"/>
  <c r="AN20" i="8"/>
  <c r="D56" i="8"/>
  <c r="C57" i="8"/>
  <c r="AN28" i="8"/>
  <c r="D57" i="8"/>
  <c r="C59" i="8"/>
  <c r="AN44" i="8"/>
  <c r="D59" i="8"/>
  <c r="C54" i="8"/>
  <c r="AM71" i="8"/>
  <c r="AN71" i="8"/>
  <c r="AM72" i="8"/>
  <c r="AN72" i="8"/>
  <c r="D58" i="9"/>
  <c r="D59" i="9"/>
  <c r="C66" i="1"/>
  <c r="AO74" i="1"/>
  <c r="AP74" i="1"/>
  <c r="AO76" i="1"/>
  <c r="AP76" i="1"/>
  <c r="AO78" i="1"/>
  <c r="AP78" i="1"/>
  <c r="AO80" i="1"/>
  <c r="C58" i="8"/>
  <c r="AM66" i="8"/>
  <c r="AN66" i="8"/>
  <c r="D54" i="9"/>
  <c r="D55" i="9"/>
  <c r="D57" i="9"/>
  <c r="C68" i="1"/>
  <c r="D58" i="8"/>
  <c r="AM67" i="8"/>
  <c r="AN67" i="8"/>
  <c r="AM68" i="8"/>
  <c r="AN68" i="8"/>
  <c r="C54" i="9"/>
  <c r="C60" i="9"/>
  <c r="AM71" i="9"/>
  <c r="AN71" i="9"/>
  <c r="C58" i="10"/>
  <c r="AN35" i="10"/>
  <c r="D58" i="10"/>
  <c r="C59" i="10"/>
  <c r="AN43" i="10"/>
  <c r="D59" i="10"/>
  <c r="AM68" i="10"/>
  <c r="AN68" i="10"/>
  <c r="AM69" i="10"/>
  <c r="AN69" i="10"/>
  <c r="AN20" i="9"/>
  <c r="D56" i="9"/>
  <c r="D54" i="10"/>
  <c r="D55" i="10"/>
  <c r="C56" i="10"/>
  <c r="D57" i="10"/>
  <c r="AM71" i="10"/>
  <c r="AN71" i="10"/>
  <c r="AM72" i="10"/>
  <c r="AN72" i="10"/>
  <c r="C55" i="10"/>
  <c r="C57" i="10"/>
  <c r="C54" i="10"/>
  <c r="AN20" i="10"/>
  <c r="D56" i="10"/>
  <c r="AG8" i="19"/>
  <c r="AZ16" i="11"/>
  <c r="G8" i="19"/>
  <c r="AD8" i="19"/>
  <c r="AH8" i="19"/>
  <c r="AT16" i="11"/>
  <c r="R8" i="19"/>
  <c r="Y8" i="19"/>
  <c r="E8" i="19"/>
  <c r="AU16" i="11"/>
  <c r="W8" i="19"/>
  <c r="AJ16" i="11"/>
  <c r="F8" i="19"/>
  <c r="V8" i="19"/>
  <c r="AR16" i="11"/>
  <c r="N8" i="19"/>
  <c r="AE8" i="19"/>
  <c r="S8" i="19"/>
  <c r="O8" i="19"/>
  <c r="AL16" i="11"/>
  <c r="U8" i="19"/>
  <c r="AB16" i="11"/>
  <c r="V16" i="11"/>
  <c r="R16" i="11"/>
  <c r="S16" i="11"/>
  <c r="T16" i="11"/>
  <c r="W16" i="11"/>
  <c r="Z8" i="19"/>
  <c r="J8" i="19"/>
  <c r="Q8" i="19"/>
  <c r="AC8" i="19"/>
  <c r="AN16" i="11"/>
  <c r="AF16" i="11"/>
  <c r="X16" i="11"/>
  <c r="AN8" i="11"/>
  <c r="AO8" i="11"/>
  <c r="M22" i="11"/>
  <c r="M19" i="12"/>
  <c r="M51" i="12"/>
  <c r="AP16" i="11"/>
  <c r="Z16" i="11"/>
  <c r="AM16" i="11"/>
  <c r="AE16" i="11"/>
  <c r="AD16" i="11"/>
  <c r="AA8" i="19"/>
  <c r="K8" i="19"/>
  <c r="AH16" i="11"/>
  <c r="AQ16" i="11"/>
  <c r="AI16" i="11"/>
  <c r="AA16" i="11"/>
  <c r="J37" i="11"/>
  <c r="J34" i="12"/>
  <c r="G37" i="11"/>
  <c r="G34" i="12"/>
  <c r="J45" i="11"/>
  <c r="J42" i="12"/>
  <c r="L21" i="11"/>
  <c r="L18" i="12"/>
  <c r="H37" i="11"/>
  <c r="H34" i="12"/>
  <c r="I37" i="11"/>
  <c r="I34" i="12"/>
  <c r="J29" i="11"/>
  <c r="J26" i="12"/>
  <c r="K29" i="11"/>
  <c r="K26" i="12"/>
  <c r="L25" i="11"/>
  <c r="L22" i="12"/>
  <c r="L29" i="11"/>
  <c r="L26" i="12"/>
  <c r="G29" i="11"/>
  <c r="G26" i="12"/>
  <c r="J25" i="11"/>
  <c r="J22" i="12"/>
  <c r="I17" i="11"/>
  <c r="I14" i="12"/>
  <c r="G41" i="11"/>
  <c r="G38" i="12"/>
  <c r="T5" i="19"/>
  <c r="J41" i="11"/>
  <c r="J38" i="12"/>
  <c r="J17" i="11"/>
  <c r="J14" i="12"/>
  <c r="L33" i="11"/>
  <c r="L30" i="12"/>
  <c r="H45" i="11"/>
  <c r="H42" i="12"/>
  <c r="AB4" i="19"/>
  <c r="L17" i="11"/>
  <c r="L14" i="12"/>
  <c r="K21" i="11"/>
  <c r="K18" i="12"/>
  <c r="G33" i="11"/>
  <c r="G30" i="12"/>
  <c r="K33" i="11"/>
  <c r="K30" i="12"/>
  <c r="X7" i="19"/>
  <c r="L45" i="11"/>
  <c r="L42" i="12"/>
  <c r="H41" i="11"/>
  <c r="H38" i="12"/>
  <c r="H33" i="11"/>
  <c r="H30" i="12"/>
  <c r="H5" i="19"/>
  <c r="L8" i="19"/>
  <c r="Q16" i="11"/>
  <c r="AB6" i="19"/>
  <c r="L6" i="19"/>
  <c r="D6" i="19"/>
  <c r="L3" i="19"/>
  <c r="X8" i="19"/>
  <c r="P8" i="19"/>
  <c r="P4" i="19"/>
  <c r="I33" i="11"/>
  <c r="I30" i="12"/>
  <c r="G21" i="11"/>
  <c r="G18" i="12"/>
  <c r="AF8" i="19"/>
  <c r="AS16" i="11"/>
  <c r="L41" i="11"/>
  <c r="L38" i="12"/>
  <c r="H29" i="11"/>
  <c r="H26" i="12"/>
  <c r="H21" i="11"/>
  <c r="H18" i="12"/>
  <c r="AB8" i="19"/>
  <c r="T8" i="19"/>
  <c r="H8" i="19"/>
  <c r="K45" i="11"/>
  <c r="K42" i="12"/>
  <c r="AF4" i="19"/>
  <c r="G50" i="11"/>
  <c r="G47" i="12"/>
  <c r="AP80" i="1"/>
  <c r="AP81" i="1"/>
  <c r="K22" i="11"/>
  <c r="K19" i="12"/>
  <c r="I42" i="11"/>
  <c r="I39" i="12"/>
  <c r="G42" i="11"/>
  <c r="G39" i="12"/>
  <c r="L42" i="11"/>
  <c r="L39" i="12"/>
  <c r="I34" i="11"/>
  <c r="I31" i="12"/>
  <c r="L22" i="11"/>
  <c r="L19" i="12"/>
  <c r="K26" i="11"/>
  <c r="K23" i="12"/>
  <c r="I22" i="11"/>
  <c r="I19" i="12"/>
  <c r="H26" i="11"/>
  <c r="H23" i="12"/>
  <c r="G22" i="11"/>
  <c r="G19" i="12"/>
  <c r="J18" i="11"/>
  <c r="J15" i="12"/>
  <c r="G19" i="11"/>
  <c r="G16" i="12"/>
  <c r="F2" i="19"/>
  <c r="G44" i="11"/>
  <c r="G41" i="12"/>
  <c r="AE2" i="19"/>
  <c r="G32" i="11"/>
  <c r="G29" i="12"/>
  <c r="S2" i="19"/>
  <c r="G24" i="11"/>
  <c r="G21" i="12"/>
  <c r="K2" i="19"/>
  <c r="G43" i="11"/>
  <c r="G40" i="12"/>
  <c r="AD2" i="19"/>
  <c r="H27" i="11"/>
  <c r="H24" i="12"/>
  <c r="N3" i="19"/>
  <c r="G15" i="11"/>
  <c r="G12" i="12"/>
  <c r="B2" i="19"/>
  <c r="H39" i="11"/>
  <c r="H36" i="12"/>
  <c r="Z3" i="19"/>
  <c r="H19" i="11"/>
  <c r="H16" i="12"/>
  <c r="F3" i="19"/>
  <c r="L39" i="11"/>
  <c r="L36" i="12"/>
  <c r="Z7" i="19"/>
  <c r="L23" i="11"/>
  <c r="L20" i="12"/>
  <c r="J7" i="19"/>
  <c r="K43" i="11"/>
  <c r="K40" i="12"/>
  <c r="AD6" i="19"/>
  <c r="K27" i="11"/>
  <c r="K24" i="12"/>
  <c r="N6" i="19"/>
  <c r="J47" i="11"/>
  <c r="J44" i="12"/>
  <c r="AH5" i="19"/>
  <c r="J31" i="11"/>
  <c r="J28" i="12"/>
  <c r="R5" i="19"/>
  <c r="J15" i="11"/>
  <c r="J12" i="12"/>
  <c r="B5" i="19"/>
  <c r="I35" i="11"/>
  <c r="I32" i="12"/>
  <c r="V4" i="19"/>
  <c r="I19" i="11"/>
  <c r="I16" i="12"/>
  <c r="F4" i="19"/>
  <c r="L40" i="11"/>
  <c r="L37" i="12"/>
  <c r="AA7" i="19"/>
  <c r="L24" i="11"/>
  <c r="L21" i="12"/>
  <c r="K7" i="19"/>
  <c r="K44" i="11"/>
  <c r="K41" i="12"/>
  <c r="AE6" i="19"/>
  <c r="K28" i="11"/>
  <c r="K25" i="12"/>
  <c r="O6" i="19"/>
  <c r="AI5" i="19"/>
  <c r="J32" i="11"/>
  <c r="J29" i="12"/>
  <c r="S5" i="19"/>
  <c r="J16" i="11"/>
  <c r="J13" i="12"/>
  <c r="C5" i="19"/>
  <c r="I36" i="11"/>
  <c r="I33" i="12"/>
  <c r="W4" i="19"/>
  <c r="I20" i="11"/>
  <c r="I17" i="12"/>
  <c r="G4" i="19"/>
  <c r="H40" i="11"/>
  <c r="H37" i="12"/>
  <c r="AA3" i="19"/>
  <c r="H24" i="11"/>
  <c r="H21" i="12"/>
  <c r="K3" i="19"/>
  <c r="G40" i="11"/>
  <c r="G37" i="12"/>
  <c r="AA2" i="19"/>
  <c r="L46" i="11"/>
  <c r="L43" i="12"/>
  <c r="AG7" i="19"/>
  <c r="K18" i="11"/>
  <c r="K15" i="12"/>
  <c r="E6" i="19"/>
  <c r="J22" i="11"/>
  <c r="J19" i="12"/>
  <c r="I5" i="19"/>
  <c r="I26" i="11"/>
  <c r="I23" i="12"/>
  <c r="M4" i="19"/>
  <c r="H30" i="11"/>
  <c r="H27" i="12"/>
  <c r="Q3" i="19"/>
  <c r="G26" i="11"/>
  <c r="G23" i="12"/>
  <c r="M2" i="19"/>
  <c r="L34" i="11"/>
  <c r="L31" i="12"/>
  <c r="U7" i="19"/>
  <c r="K38" i="11"/>
  <c r="K35" i="12"/>
  <c r="Y6" i="19"/>
  <c r="J42" i="11"/>
  <c r="J39" i="12"/>
  <c r="AC5" i="19"/>
  <c r="I46" i="11"/>
  <c r="I43" i="12"/>
  <c r="AG4" i="19"/>
  <c r="H18" i="11"/>
  <c r="H15" i="12"/>
  <c r="E3" i="19"/>
  <c r="G46" i="11"/>
  <c r="G43" i="12"/>
  <c r="AG2" i="19"/>
  <c r="H15" i="11"/>
  <c r="H12" i="12"/>
  <c r="B3" i="19"/>
  <c r="H35" i="11"/>
  <c r="H32" i="12"/>
  <c r="V3" i="19"/>
  <c r="G47" i="11"/>
  <c r="G44" i="12"/>
  <c r="AH2" i="19"/>
  <c r="L35" i="11"/>
  <c r="L32" i="12"/>
  <c r="V7" i="19"/>
  <c r="L19" i="11"/>
  <c r="L16" i="12"/>
  <c r="F7" i="19"/>
  <c r="K39" i="11"/>
  <c r="K36" i="12"/>
  <c r="Z6" i="19"/>
  <c r="K23" i="11"/>
  <c r="K20" i="12"/>
  <c r="J6" i="19"/>
  <c r="J43" i="11"/>
  <c r="J40" i="12"/>
  <c r="AD5" i="19"/>
  <c r="J27" i="11"/>
  <c r="J24" i="12"/>
  <c r="N5" i="19"/>
  <c r="I47" i="11"/>
  <c r="I44" i="12"/>
  <c r="AH4" i="19"/>
  <c r="I31" i="11"/>
  <c r="I28" i="12"/>
  <c r="R4" i="19"/>
  <c r="I15" i="11"/>
  <c r="I12" i="12"/>
  <c r="B4" i="19"/>
  <c r="L36" i="11"/>
  <c r="L33" i="12"/>
  <c r="W7" i="19"/>
  <c r="L20" i="11"/>
  <c r="L17" i="12"/>
  <c r="G7" i="19"/>
  <c r="K40" i="11"/>
  <c r="K37" i="12"/>
  <c r="AA6" i="19"/>
  <c r="K24" i="11"/>
  <c r="K21" i="12"/>
  <c r="K6" i="19"/>
  <c r="J44" i="11"/>
  <c r="J41" i="12"/>
  <c r="AE5" i="19"/>
  <c r="J28" i="11"/>
  <c r="J25" i="12"/>
  <c r="O5" i="19"/>
  <c r="AI4" i="19"/>
  <c r="I32" i="11"/>
  <c r="I29" i="12"/>
  <c r="S4" i="19"/>
  <c r="I16" i="11"/>
  <c r="I13" i="12"/>
  <c r="C4" i="19"/>
  <c r="H36" i="11"/>
  <c r="H33" i="12"/>
  <c r="W3" i="19"/>
  <c r="H20" i="11"/>
  <c r="H17" i="12"/>
  <c r="G3" i="19"/>
  <c r="G16" i="11"/>
  <c r="G13" i="12"/>
  <c r="C2" i="19"/>
  <c r="L38" i="11"/>
  <c r="L35" i="12"/>
  <c r="Y7" i="19"/>
  <c r="K42" i="11"/>
  <c r="K39" i="12"/>
  <c r="AC6" i="19"/>
  <c r="J46" i="11"/>
  <c r="J43" i="12"/>
  <c r="AG5" i="19"/>
  <c r="I18" i="11"/>
  <c r="I15" i="12"/>
  <c r="E4" i="19"/>
  <c r="H22" i="11"/>
  <c r="H19" i="12"/>
  <c r="I3" i="19"/>
  <c r="L26" i="11"/>
  <c r="L23" i="12"/>
  <c r="M7" i="19"/>
  <c r="K30" i="11"/>
  <c r="K27" i="12"/>
  <c r="Q6" i="19"/>
  <c r="J34" i="11"/>
  <c r="J31" i="12"/>
  <c r="U5" i="19"/>
  <c r="I38" i="11"/>
  <c r="I35" i="12"/>
  <c r="Y4" i="19"/>
  <c r="H42" i="11"/>
  <c r="H39" i="12"/>
  <c r="AC3" i="19"/>
  <c r="G38" i="11"/>
  <c r="G35" i="12"/>
  <c r="Y2" i="19"/>
  <c r="G18" i="11"/>
  <c r="G15" i="12"/>
  <c r="E2" i="19"/>
  <c r="G17" i="11"/>
  <c r="G14" i="12"/>
  <c r="D2" i="19"/>
  <c r="G36" i="11"/>
  <c r="G33" i="12"/>
  <c r="W2" i="19"/>
  <c r="G28" i="11"/>
  <c r="G25" i="12"/>
  <c r="O2" i="19"/>
  <c r="G20" i="11"/>
  <c r="G17" i="12"/>
  <c r="G2" i="19"/>
  <c r="G23" i="11"/>
  <c r="G20" i="12"/>
  <c r="G51" i="12"/>
  <c r="J2" i="19"/>
  <c r="G39" i="11"/>
  <c r="G36" i="12"/>
  <c r="Z2" i="19"/>
  <c r="AH3" i="19"/>
  <c r="H31" i="11"/>
  <c r="H28" i="12"/>
  <c r="R3" i="19"/>
  <c r="G35" i="11"/>
  <c r="G32" i="12"/>
  <c r="V2" i="19"/>
  <c r="L47" i="11"/>
  <c r="L44" i="12"/>
  <c r="AH7" i="19"/>
  <c r="L31" i="11"/>
  <c r="L28" i="12"/>
  <c r="R7" i="19"/>
  <c r="B7" i="19"/>
  <c r="K35" i="11"/>
  <c r="K32" i="12"/>
  <c r="V6" i="19"/>
  <c r="K19" i="11"/>
  <c r="K16" i="12"/>
  <c r="F6" i="19"/>
  <c r="J39" i="11"/>
  <c r="J36" i="12"/>
  <c r="Z5" i="19"/>
  <c r="J23" i="11"/>
  <c r="J20" i="12"/>
  <c r="J5" i="19"/>
  <c r="I43" i="11"/>
  <c r="I40" i="12"/>
  <c r="AD4" i="19"/>
  <c r="I27" i="11"/>
  <c r="I24" i="12"/>
  <c r="N4" i="19"/>
  <c r="AI7" i="19"/>
  <c r="L32" i="11"/>
  <c r="L29" i="12"/>
  <c r="S7" i="19"/>
  <c r="L16" i="11"/>
  <c r="L13" i="12"/>
  <c r="C7" i="19"/>
  <c r="K36" i="11"/>
  <c r="K33" i="12"/>
  <c r="W6" i="19"/>
  <c r="K20" i="11"/>
  <c r="K17" i="12"/>
  <c r="G6" i="19"/>
  <c r="J40" i="11"/>
  <c r="J37" i="12"/>
  <c r="AA5" i="19"/>
  <c r="J24" i="11"/>
  <c r="J21" i="12"/>
  <c r="K5" i="19"/>
  <c r="I44" i="11"/>
  <c r="I41" i="12"/>
  <c r="AE4" i="19"/>
  <c r="I28" i="11"/>
  <c r="I25" i="12"/>
  <c r="O4" i="19"/>
  <c r="AI3" i="19"/>
  <c r="H32" i="11"/>
  <c r="H29" i="12"/>
  <c r="S3" i="19"/>
  <c r="H16" i="11"/>
  <c r="H13" i="12"/>
  <c r="C3" i="19"/>
  <c r="L30" i="11"/>
  <c r="L27" i="12"/>
  <c r="Q7" i="19"/>
  <c r="I30" i="11"/>
  <c r="I27" i="12"/>
  <c r="Q4" i="19"/>
  <c r="G31" i="11"/>
  <c r="G28" i="12"/>
  <c r="R2" i="19"/>
  <c r="H43" i="11"/>
  <c r="H40" i="12"/>
  <c r="AD3" i="19"/>
  <c r="H23" i="11"/>
  <c r="H20" i="12"/>
  <c r="J3" i="19"/>
  <c r="G27" i="11"/>
  <c r="G24" i="12"/>
  <c r="N2" i="19"/>
  <c r="L43" i="11"/>
  <c r="L40" i="12"/>
  <c r="AD7" i="19"/>
  <c r="L27" i="11"/>
  <c r="L24" i="12"/>
  <c r="N7" i="19"/>
  <c r="K47" i="11"/>
  <c r="K44" i="12"/>
  <c r="AH6" i="19"/>
  <c r="K31" i="11"/>
  <c r="K28" i="12"/>
  <c r="R6" i="19"/>
  <c r="K15" i="11"/>
  <c r="K12" i="12"/>
  <c r="B6" i="19"/>
  <c r="J35" i="11"/>
  <c r="J32" i="12"/>
  <c r="V5" i="19"/>
  <c r="J19" i="11"/>
  <c r="J16" i="12"/>
  <c r="F5" i="19"/>
  <c r="I39" i="11"/>
  <c r="I36" i="12"/>
  <c r="Z4" i="19"/>
  <c r="I23" i="11"/>
  <c r="I20" i="12"/>
  <c r="J4" i="19"/>
  <c r="L44" i="11"/>
  <c r="L41" i="12"/>
  <c r="AE7" i="19"/>
  <c r="L28" i="11"/>
  <c r="L25" i="12"/>
  <c r="O7" i="19"/>
  <c r="AI6" i="19"/>
  <c r="K32" i="11"/>
  <c r="K29" i="12"/>
  <c r="S6" i="19"/>
  <c r="K16" i="11"/>
  <c r="K13" i="12"/>
  <c r="C6" i="19"/>
  <c r="J36" i="11"/>
  <c r="J33" i="12"/>
  <c r="W5" i="19"/>
  <c r="J20" i="11"/>
  <c r="J17" i="12"/>
  <c r="G5" i="19"/>
  <c r="I40" i="11"/>
  <c r="I37" i="12"/>
  <c r="AA4" i="19"/>
  <c r="I24" i="11"/>
  <c r="I21" i="12"/>
  <c r="K4" i="19"/>
  <c r="H44" i="11"/>
  <c r="H41" i="12"/>
  <c r="AE3" i="19"/>
  <c r="H28" i="11"/>
  <c r="H25" i="12"/>
  <c r="O3" i="19"/>
  <c r="AI2" i="19"/>
  <c r="J30" i="11"/>
  <c r="J27" i="12"/>
  <c r="Q5" i="19"/>
  <c r="D60" i="8"/>
  <c r="C69" i="1"/>
  <c r="AN6" i="11"/>
  <c r="AO6" i="11"/>
  <c r="AN4" i="11"/>
  <c r="AO4" i="11"/>
  <c r="AN3" i="11"/>
  <c r="AO3" i="11"/>
  <c r="D69" i="1"/>
  <c r="AN7" i="11"/>
  <c r="AO7" i="11"/>
  <c r="AN5" i="11"/>
  <c r="AO5" i="11"/>
  <c r="C60" i="10"/>
  <c r="D60" i="10"/>
  <c r="D60" i="9"/>
  <c r="C60" i="8"/>
  <c r="L51" i="12"/>
  <c r="L54" i="12"/>
  <c r="K51" i="12"/>
  <c r="K54" i="12"/>
  <c r="H51" i="12"/>
  <c r="I51" i="12"/>
  <c r="I54" i="12"/>
  <c r="AO9" i="11"/>
  <c r="H52" i="11"/>
  <c r="H53" i="11"/>
  <c r="G54" i="12"/>
  <c r="G52" i="11"/>
  <c r="G53" i="11"/>
  <c r="L52" i="11"/>
  <c r="L53" i="11"/>
  <c r="K52" i="11"/>
  <c r="K53" i="11"/>
  <c r="M52" i="11"/>
  <c r="M53" i="11"/>
  <c r="J52" i="11"/>
  <c r="J53" i="11"/>
  <c r="I52" i="11"/>
  <c r="I53" i="11"/>
  <c r="BB16" i="11"/>
  <c r="BA16" i="11"/>
  <c r="H54" i="12"/>
  <c r="J50" i="12"/>
  <c r="J54" i="12"/>
  <c r="M54" i="11"/>
  <c r="M54" i="12"/>
  <c r="J55" i="12"/>
</calcChain>
</file>

<file path=xl/sharedStrings.xml><?xml version="1.0" encoding="utf-8"?>
<sst xmlns="http://schemas.openxmlformats.org/spreadsheetml/2006/main" count="1295" uniqueCount="160">
  <si>
    <t>Oriente</t>
  </si>
  <si>
    <t>Poniente</t>
  </si>
  <si>
    <t>Nor Oriente</t>
  </si>
  <si>
    <t>Nor central</t>
  </si>
  <si>
    <t>Nor Poniente</t>
  </si>
  <si>
    <t>Central</t>
  </si>
  <si>
    <t>J</t>
  </si>
  <si>
    <t>H</t>
  </si>
  <si>
    <t>Total</t>
  </si>
  <si>
    <t>Alimento ( sacos)</t>
  </si>
  <si>
    <t>Sacos</t>
  </si>
  <si>
    <t>Kg</t>
  </si>
  <si>
    <t>Lunes</t>
  </si>
  <si>
    <r>
      <rPr>
        <sz val="9"/>
        <color theme="1"/>
        <rFont val="Calibri (Cuerpo)"/>
        <charset val="134"/>
      </rPr>
      <t>3</t>
    </r>
    <r>
      <rPr>
        <sz val="9"/>
        <color theme="1"/>
        <rFont val="Calibri"/>
        <family val="2"/>
        <scheme val="minor"/>
      </rPr>
      <t xml:space="preserve"> mm progress ex</t>
    </r>
  </si>
  <si>
    <t xml:space="preserve">4,5 mm metabólica </t>
  </si>
  <si>
    <t xml:space="preserve">6 mm metabólica </t>
  </si>
  <si>
    <t xml:space="preserve">6 mm Sturgeon Rep. </t>
  </si>
  <si>
    <t xml:space="preserve">8 mm Sturgeon Rep. </t>
  </si>
  <si>
    <t>Martes</t>
  </si>
  <si>
    <t>Miércoles</t>
  </si>
  <si>
    <t>Jueves</t>
  </si>
  <si>
    <t>Viernes</t>
  </si>
  <si>
    <t xml:space="preserve">  </t>
  </si>
  <si>
    <t>Tallassa</t>
  </si>
  <si>
    <t>Sábado/Domingo</t>
  </si>
  <si>
    <t>Total Retiro Diario</t>
  </si>
  <si>
    <t>Fecha</t>
  </si>
  <si>
    <t>Mes</t>
  </si>
  <si>
    <t>Folio</t>
  </si>
  <si>
    <t>Sábado Domingo</t>
  </si>
  <si>
    <t>Total :</t>
  </si>
  <si>
    <t xml:space="preserve">Plan de Alimentación Sacos </t>
  </si>
  <si>
    <t>Nor Central</t>
  </si>
  <si>
    <t>Plan de Alimentación</t>
  </si>
  <si>
    <r>
      <rPr>
        <sz val="8"/>
        <color theme="1"/>
        <rFont val="Calibri (Cuerpo)"/>
        <charset val="134"/>
      </rPr>
      <t>3</t>
    </r>
    <r>
      <rPr>
        <sz val="8"/>
        <color theme="1"/>
        <rFont val="Calibri"/>
        <family val="2"/>
        <scheme val="minor"/>
      </rPr>
      <t xml:space="preserve"> mm progress ex</t>
    </r>
  </si>
  <si>
    <t>Alimento</t>
  </si>
  <si>
    <t>SO1</t>
  </si>
  <si>
    <t>SO2</t>
  </si>
  <si>
    <t>SO3</t>
  </si>
  <si>
    <t>SO4</t>
  </si>
  <si>
    <t>SO5</t>
  </si>
  <si>
    <t>SO6</t>
  </si>
  <si>
    <t>SP1</t>
  </si>
  <si>
    <t>SP2</t>
  </si>
  <si>
    <t>SP3</t>
  </si>
  <si>
    <t>SP4</t>
  </si>
  <si>
    <t>SP5</t>
  </si>
  <si>
    <t>SP6</t>
  </si>
  <si>
    <t>NO1</t>
  </si>
  <si>
    <t>NO2</t>
  </si>
  <si>
    <t>NO3</t>
  </si>
  <si>
    <t>NO4</t>
  </si>
  <si>
    <t>NO5</t>
  </si>
  <si>
    <t>NO6</t>
  </si>
  <si>
    <t>NC1</t>
  </si>
  <si>
    <t>NC2</t>
  </si>
  <si>
    <t>NC3</t>
  </si>
  <si>
    <t>NC4</t>
  </si>
  <si>
    <t>NC5</t>
  </si>
  <si>
    <t>NC6</t>
  </si>
  <si>
    <t>NP1</t>
  </si>
  <si>
    <t>NP2</t>
  </si>
  <si>
    <t>NP3</t>
  </si>
  <si>
    <t>NP4</t>
  </si>
  <si>
    <t>NP5</t>
  </si>
  <si>
    <t>NP6</t>
  </si>
  <si>
    <t>C1</t>
  </si>
  <si>
    <t>C2</t>
  </si>
  <si>
    <t>C3</t>
  </si>
  <si>
    <t>C4</t>
  </si>
  <si>
    <t>Alimentacion Consumida Mensual</t>
  </si>
  <si>
    <t>Ubicación</t>
  </si>
  <si>
    <t>Origen</t>
  </si>
  <si>
    <t>Lag. Sur Oriente</t>
  </si>
  <si>
    <t>Iberia</t>
  </si>
  <si>
    <t>Fátima</t>
  </si>
  <si>
    <t>Oscetra</t>
  </si>
  <si>
    <t>Lag. Sur Poniente</t>
  </si>
  <si>
    <t>Rosario</t>
  </si>
  <si>
    <t>Guadalupe</t>
  </si>
  <si>
    <t>Del Carmen</t>
  </si>
  <si>
    <t>Lag Nor Oriente</t>
  </si>
  <si>
    <t>Laguna Nor Central</t>
  </si>
  <si>
    <t>Laguna Nor Poniente</t>
  </si>
  <si>
    <t>Laguna Central</t>
  </si>
  <si>
    <t>Dolores</t>
  </si>
  <si>
    <t>Pilar</t>
  </si>
  <si>
    <t>Hatchery sala Alevinaje</t>
  </si>
  <si>
    <t>Victoria</t>
  </si>
  <si>
    <t>Candelaria</t>
  </si>
  <si>
    <t>Hatchery sala Incubación</t>
  </si>
  <si>
    <t>Rosa</t>
  </si>
  <si>
    <t>Registro</t>
  </si>
  <si>
    <t>PC 01.1</t>
  </si>
  <si>
    <t>Programa de Crianza</t>
  </si>
  <si>
    <t>Versión:</t>
  </si>
  <si>
    <t>0.24</t>
  </si>
  <si>
    <t>Fecha:</t>
  </si>
  <si>
    <t>RESUMEN MENSUAL EXISTENCIAS</t>
  </si>
  <si>
    <t>Elaborado Por:</t>
  </si>
  <si>
    <t>A - Vial</t>
  </si>
  <si>
    <t>Modificado por:</t>
  </si>
  <si>
    <t>R - Gatica</t>
  </si>
  <si>
    <t>Aprobado Por</t>
  </si>
  <si>
    <t>Acuícola Alas S.A., Ruta 5 sur, Km 338, VII región, Parral</t>
  </si>
  <si>
    <t>Hojas:</t>
  </si>
  <si>
    <t>1 de 3</t>
  </si>
  <si>
    <t>Total:</t>
  </si>
  <si>
    <t>Total consumido</t>
  </si>
  <si>
    <t>Inicial mensual</t>
  </si>
  <si>
    <t>Ingresos</t>
  </si>
  <si>
    <t>Final Mensual</t>
  </si>
  <si>
    <t>Total disponible</t>
  </si>
  <si>
    <t xml:space="preserve">                                                                                                       </t>
  </si>
  <si>
    <t xml:space="preserve"> </t>
  </si>
  <si>
    <t>Registro:</t>
  </si>
  <si>
    <t>PC 02.1</t>
  </si>
  <si>
    <t>Retiro de Alimentación Piscinas exteriores</t>
  </si>
  <si>
    <t>Elaborado por:</t>
  </si>
  <si>
    <t>Revisado por:</t>
  </si>
  <si>
    <t>A -Vial</t>
  </si>
  <si>
    <t>Folio:</t>
  </si>
  <si>
    <t>Aprobado por:</t>
  </si>
  <si>
    <t>Nombre quien retira:</t>
  </si>
  <si>
    <t>Supervisor:</t>
  </si>
  <si>
    <t>Firma:</t>
  </si>
  <si>
    <t>8 mm Progress</t>
  </si>
  <si>
    <t>C5</t>
  </si>
  <si>
    <t xml:space="preserve">Centrales </t>
  </si>
  <si>
    <t>C6</t>
  </si>
  <si>
    <t>Agosto</t>
  </si>
  <si>
    <t xml:space="preserve"> 6 mm Progress</t>
  </si>
  <si>
    <t>6 mm Progress</t>
  </si>
  <si>
    <t>4.5 mm Progress</t>
  </si>
  <si>
    <t>6 mm Metabolica</t>
  </si>
  <si>
    <t>7 mm Metabolica</t>
  </si>
  <si>
    <t>0.2 Infa</t>
  </si>
  <si>
    <t>0.4 infa</t>
  </si>
  <si>
    <t>1.3 thalassa</t>
  </si>
  <si>
    <t>c8</t>
  </si>
  <si>
    <t>b8</t>
  </si>
  <si>
    <t>d8</t>
  </si>
  <si>
    <t>8 mm Reproductor</t>
  </si>
  <si>
    <t>Caridad</t>
  </si>
  <si>
    <t>Rosa/Lourdes</t>
  </si>
  <si>
    <t>Noviembre</t>
  </si>
  <si>
    <t>Ocetra</t>
  </si>
  <si>
    <t>pilar</t>
  </si>
  <si>
    <t>Del carmen</t>
  </si>
  <si>
    <t>Etiquetas de fila</t>
  </si>
  <si>
    <t>(en blanco)</t>
  </si>
  <si>
    <t>Total general</t>
  </si>
  <si>
    <t>Suma de 8 mm Reproductor</t>
  </si>
  <si>
    <t>Suma de 8 mm Progress</t>
  </si>
  <si>
    <t>Suma de 6 mm Progress</t>
  </si>
  <si>
    <t>Suma de 6 mm Metabolica</t>
  </si>
  <si>
    <t>Suma de 4.5 mm Progress</t>
  </si>
  <si>
    <t xml:space="preserve">Suma de 4,5 mm metabólica </t>
  </si>
  <si>
    <t>Suma de 3 mm progress ex</t>
  </si>
  <si>
    <t>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</si>
</sst>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mmmm\-yyyy"/>
  </numFmts>
  <fonts count="3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 (Cuerpo)"/>
      <charset val="134"/>
    </font>
    <font>
      <sz val="8"/>
      <color theme="1"/>
      <name val="Calibri (Cuerpo)"/>
      <charset val="134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3">
    <border>
      <left/>
      <right/>
      <top/>
      <bottom/>
      <diagonal/>
    </border>
    <border>
      <left/>
      <right style="double">
        <color theme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/>
      <diagonal/>
    </border>
    <border>
      <left/>
      <right/>
      <top style="double">
        <color theme="2" tint="-0.249977111117893"/>
      </top>
      <bottom/>
      <diagonal/>
    </border>
    <border>
      <left style="double">
        <color theme="2" tint="-0.249977111117893"/>
      </left>
      <right/>
      <top/>
      <bottom/>
      <diagonal/>
    </border>
    <border>
      <left style="double">
        <color theme="2" tint="-0.249977111117893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double">
        <color theme="2" tint="-0.249977111117893"/>
      </left>
      <right/>
      <top/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 style="double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/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1"/>
      </right>
      <top/>
      <bottom style="hair">
        <color auto="1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2" tint="-0.249977111117893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double">
        <color theme="2" tint="-0.499984740745262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double">
        <color auto="1"/>
      </right>
      <top/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 style="double">
        <color theme="2" tint="-0.499984740745262"/>
      </left>
      <right/>
      <top/>
      <bottom/>
      <diagonal/>
    </border>
    <border>
      <left style="double">
        <color theme="2" tint="-0.499984740745262"/>
      </left>
      <right style="hair">
        <color auto="1"/>
      </right>
      <top/>
      <bottom/>
      <diagonal/>
    </border>
    <border>
      <left style="double">
        <color theme="2" tint="-0.499984740745262"/>
      </left>
      <right style="hair">
        <color auto="1"/>
      </right>
      <top/>
      <bottom style="hair">
        <color auto="1"/>
      </bottom>
      <diagonal/>
    </border>
    <border>
      <left style="double">
        <color theme="2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/>
      <bottom/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double">
        <color indexed="64"/>
      </right>
      <top style="hair">
        <color auto="1"/>
      </top>
      <bottom/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/>
      <right/>
      <top/>
      <bottom style="thin">
        <color theme="2" tint="-0.249977111117893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0" fillId="0" borderId="0" xfId="0" applyAlignment="1">
      <alignment textRotation="90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>
      <alignment horizontal="center" vertical="center" wrapText="1"/>
    </xf>
    <xf numFmtId="0" fontId="13" fillId="2" borderId="0" xfId="0" applyFont="1" applyFill="1" applyAlignment="1">
      <alignment vertical="center"/>
    </xf>
    <xf numFmtId="0" fontId="15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top"/>
    </xf>
    <xf numFmtId="0" fontId="14" fillId="0" borderId="0" xfId="0" applyFont="1"/>
    <xf numFmtId="0" fontId="20" fillId="5" borderId="0" xfId="0" applyFont="1" applyFill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0" fontId="15" fillId="3" borderId="21" xfId="0" applyFont="1" applyFill="1" applyBorder="1" applyAlignment="1">
      <alignment horizontal="center" vertical="center" wrapText="1"/>
    </xf>
    <xf numFmtId="0" fontId="15" fillId="3" borderId="22" xfId="0" applyFont="1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/>
    </xf>
    <xf numFmtId="0" fontId="15" fillId="3" borderId="24" xfId="0" applyFont="1" applyFill="1" applyBorder="1" applyAlignment="1">
      <alignment horizontal="center" vertical="center" wrapText="1"/>
    </xf>
    <xf numFmtId="0" fontId="15" fillId="3" borderId="25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/>
    </xf>
    <xf numFmtId="0" fontId="15" fillId="3" borderId="28" xfId="0" applyFont="1" applyFill="1" applyBorder="1" applyAlignment="1">
      <alignment horizontal="center" vertical="center" wrapText="1"/>
    </xf>
    <xf numFmtId="0" fontId="0" fillId="4" borderId="29" xfId="0" applyFill="1" applyBorder="1" applyAlignment="1">
      <alignment horizontal="center" vertical="center"/>
    </xf>
    <xf numFmtId="0" fontId="13" fillId="2" borderId="30" xfId="0" applyFont="1" applyFill="1" applyBorder="1" applyAlignment="1">
      <alignment vertical="center" wrapText="1"/>
    </xf>
    <xf numFmtId="0" fontId="18" fillId="3" borderId="31" xfId="0" applyFont="1" applyFill="1" applyBorder="1" applyAlignment="1">
      <alignment vertical="center" wrapText="1"/>
    </xf>
    <xf numFmtId="0" fontId="18" fillId="3" borderId="32" xfId="0" applyFont="1" applyFill="1" applyBorder="1" applyAlignment="1">
      <alignment vertical="center" wrapText="1"/>
    </xf>
    <xf numFmtId="0" fontId="0" fillId="4" borderId="33" xfId="0" applyFill="1" applyBorder="1" applyAlignment="1">
      <alignment vertical="center"/>
    </xf>
    <xf numFmtId="0" fontId="0" fillId="4" borderId="33" xfId="0" applyFill="1" applyBorder="1" applyAlignment="1">
      <alignment horizontal="center" vertical="center"/>
    </xf>
    <xf numFmtId="0" fontId="13" fillId="2" borderId="5" xfId="0" applyFont="1" applyFill="1" applyBorder="1" applyAlignment="1">
      <alignment vertical="center" wrapText="1"/>
    </xf>
    <xf numFmtId="0" fontId="18" fillId="3" borderId="22" xfId="0" applyFont="1" applyFill="1" applyBorder="1" applyAlignment="1">
      <alignment vertical="center" wrapText="1"/>
    </xf>
    <xf numFmtId="0" fontId="18" fillId="3" borderId="34" xfId="0" applyFont="1" applyFill="1" applyBorder="1" applyAlignment="1">
      <alignment vertical="center" wrapText="1"/>
    </xf>
    <xf numFmtId="0" fontId="0" fillId="4" borderId="23" xfId="0" applyFill="1" applyBorder="1" applyAlignment="1">
      <alignment vertical="center"/>
    </xf>
    <xf numFmtId="0" fontId="15" fillId="0" borderId="0" xfId="0" applyFont="1" applyAlignment="1">
      <alignment vertical="center" textRotation="90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0" fillId="7" borderId="39" xfId="0" applyFont="1" applyFill="1" applyBorder="1" applyAlignment="1">
      <alignment horizontal="center"/>
    </xf>
    <xf numFmtId="0" fontId="20" fillId="7" borderId="40" xfId="0" applyFont="1" applyFill="1" applyBorder="1" applyAlignment="1">
      <alignment horizontal="center"/>
    </xf>
    <xf numFmtId="0" fontId="20" fillId="7" borderId="41" xfId="0" applyFont="1" applyFill="1" applyBorder="1" applyAlignment="1">
      <alignment horizontal="center"/>
    </xf>
    <xf numFmtId="0" fontId="19" fillId="3" borderId="38" xfId="0" applyFont="1" applyFill="1" applyBorder="1" applyAlignment="1">
      <alignment horizontal="left" vertical="center"/>
    </xf>
    <xf numFmtId="0" fontId="0" fillId="4" borderId="2" xfId="0" applyFill="1" applyBorder="1"/>
    <xf numFmtId="0" fontId="0" fillId="4" borderId="42" xfId="0" applyFill="1" applyBorder="1"/>
    <xf numFmtId="0" fontId="0" fillId="4" borderId="43" xfId="0" applyFill="1" applyBorder="1"/>
    <xf numFmtId="0" fontId="19" fillId="3" borderId="44" xfId="0" applyFont="1" applyFill="1" applyBorder="1" applyAlignment="1">
      <alignment horizontal="left" vertical="center"/>
    </xf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19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9" fillId="3" borderId="51" xfId="0" applyFont="1" applyFill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4" fillId="4" borderId="0" xfId="0" applyFont="1" applyFill="1" applyAlignment="1">
      <alignment horizontal="center" vertical="center" textRotation="90"/>
    </xf>
    <xf numFmtId="0" fontId="0" fillId="4" borderId="0" xfId="0" applyFill="1" applyAlignment="1">
      <alignment horizontal="left" vertical="center"/>
    </xf>
    <xf numFmtId="0" fontId="25" fillId="0" borderId="0" xfId="0" applyFont="1" applyAlignment="1">
      <alignment vertical="center" wrapText="1"/>
    </xf>
    <xf numFmtId="0" fontId="0" fillId="4" borderId="50" xfId="0" applyFill="1" applyBorder="1" applyAlignment="1">
      <alignment vertical="center"/>
    </xf>
    <xf numFmtId="0" fontId="0" fillId="4" borderId="51" xfId="0" applyFill="1" applyBorder="1" applyAlignment="1">
      <alignment vertical="center"/>
    </xf>
    <xf numFmtId="0" fontId="0" fillId="0" borderId="0" xfId="0" applyAlignment="1">
      <alignment vertical="center"/>
    </xf>
    <xf numFmtId="0" fontId="19" fillId="4" borderId="48" xfId="0" applyFont="1" applyFill="1" applyBorder="1" applyAlignment="1">
      <alignment vertical="center"/>
    </xf>
    <xf numFmtId="0" fontId="20" fillId="7" borderId="50" xfId="0" applyFont="1" applyFill="1" applyBorder="1"/>
    <xf numFmtId="0" fontId="20" fillId="7" borderId="38" xfId="0" applyFont="1" applyFill="1" applyBorder="1" applyAlignment="1">
      <alignment horizontal="center"/>
    </xf>
    <xf numFmtId="0" fontId="26" fillId="7" borderId="38" xfId="0" applyFont="1" applyFill="1" applyBorder="1" applyAlignment="1">
      <alignment horizontal="center"/>
    </xf>
    <xf numFmtId="0" fontId="20" fillId="0" borderId="0" xfId="0" applyFont="1"/>
    <xf numFmtId="0" fontId="0" fillId="4" borderId="43" xfId="0" applyFill="1" applyBorder="1" applyAlignment="1">
      <alignment horizontal="center" vertical="center"/>
    </xf>
    <xf numFmtId="0" fontId="0" fillId="4" borderId="45" xfId="0" applyFill="1" applyBorder="1" applyAlignment="1">
      <alignment horizontal="center" vertical="center"/>
    </xf>
    <xf numFmtId="0" fontId="0" fillId="4" borderId="47" xfId="0" applyFill="1" applyBorder="1" applyAlignment="1">
      <alignment horizontal="center" vertical="center"/>
    </xf>
    <xf numFmtId="0" fontId="0" fillId="0" borderId="44" xfId="0" applyBorder="1"/>
    <xf numFmtId="0" fontId="0" fillId="0" borderId="0" xfId="0" applyAlignment="1">
      <alignment horizontal="center"/>
    </xf>
    <xf numFmtId="0" fontId="25" fillId="6" borderId="0" xfId="0" applyFont="1" applyFill="1"/>
    <xf numFmtId="0" fontId="28" fillId="2" borderId="59" xfId="0" applyFont="1" applyFill="1" applyBorder="1" applyAlignment="1">
      <alignment horizontal="center"/>
    </xf>
    <xf numFmtId="0" fontId="29" fillId="2" borderId="40" xfId="0" applyFont="1" applyFill="1" applyBorder="1" applyAlignment="1">
      <alignment horizontal="center"/>
    </xf>
    <xf numFmtId="0" fontId="0" fillId="5" borderId="2" xfId="0" applyFill="1" applyBorder="1"/>
    <xf numFmtId="0" fontId="0" fillId="5" borderId="50" xfId="0" applyFill="1" applyBorder="1" applyAlignment="1">
      <alignment horizontal="center" vertical="center"/>
    </xf>
    <xf numFmtId="0" fontId="0" fillId="9" borderId="60" xfId="0" applyFill="1" applyBorder="1"/>
    <xf numFmtId="0" fontId="0" fillId="3" borderId="42" xfId="0" applyFill="1" applyBorder="1"/>
    <xf numFmtId="0" fontId="0" fillId="5" borderId="45" xfId="0" applyFill="1" applyBorder="1"/>
    <xf numFmtId="0" fontId="0" fillId="5" borderId="51" xfId="0" applyFill="1" applyBorder="1" applyAlignment="1">
      <alignment horizontal="center" vertical="center"/>
    </xf>
    <xf numFmtId="0" fontId="0" fillId="5" borderId="0" xfId="0" applyFill="1"/>
    <xf numFmtId="0" fontId="0" fillId="5" borderId="47" xfId="0" applyFill="1" applyBorder="1" applyAlignment="1">
      <alignment horizontal="center" vertical="center"/>
    </xf>
    <xf numFmtId="0" fontId="0" fillId="5" borderId="44" xfId="0" applyFill="1" applyBorder="1"/>
    <xf numFmtId="0" fontId="0" fillId="9" borderId="61" xfId="0" applyFill="1" applyBorder="1"/>
    <xf numFmtId="0" fontId="0" fillId="4" borderId="0" xfId="0" applyFill="1"/>
    <xf numFmtId="0" fontId="20" fillId="3" borderId="0" xfId="0" applyFont="1" applyFill="1" applyAlignment="1">
      <alignment horizontal="center" vertical="center"/>
    </xf>
    <xf numFmtId="0" fontId="20" fillId="3" borderId="39" xfId="0" applyFont="1" applyFill="1" applyBorder="1" applyAlignment="1">
      <alignment horizontal="center"/>
    </xf>
    <xf numFmtId="0" fontId="20" fillId="3" borderId="40" xfId="0" applyFont="1" applyFill="1" applyBorder="1" applyAlignment="1">
      <alignment horizontal="center"/>
    </xf>
    <xf numFmtId="0" fontId="20" fillId="3" borderId="62" xfId="0" applyFont="1" applyFill="1" applyBorder="1" applyAlignment="1">
      <alignment horizontal="center"/>
    </xf>
    <xf numFmtId="0" fontId="18" fillId="3" borderId="0" xfId="0" applyFont="1" applyFill="1" applyAlignment="1">
      <alignment horizontal="left" vertical="center"/>
    </xf>
    <xf numFmtId="0" fontId="0" fillId="4" borderId="63" xfId="0" applyFill="1" applyBorder="1" applyAlignment="1">
      <alignment horizontal="center" vertical="center"/>
    </xf>
    <xf numFmtId="0" fontId="22" fillId="0" borderId="0" xfId="0" applyFont="1"/>
    <xf numFmtId="0" fontId="0" fillId="0" borderId="0" xfId="0" applyAlignment="1">
      <alignment horizontal="center" vertical="center" textRotation="90"/>
    </xf>
    <xf numFmtId="0" fontId="18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textRotation="90" wrapText="1"/>
    </xf>
    <xf numFmtId="0" fontId="0" fillId="4" borderId="64" xfId="0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3" borderId="0" xfId="0" applyFont="1" applyFill="1" applyAlignment="1">
      <alignment horizontal="center"/>
    </xf>
    <xf numFmtId="0" fontId="24" fillId="3" borderId="65" xfId="0" applyFont="1" applyFill="1" applyBorder="1" applyAlignment="1">
      <alignment horizontal="center"/>
    </xf>
    <xf numFmtId="0" fontId="0" fillId="3" borderId="66" xfId="0" applyFill="1" applyBorder="1" applyAlignment="1">
      <alignment horizontal="center" vertical="center"/>
    </xf>
    <xf numFmtId="0" fontId="20" fillId="0" borderId="0" xfId="0" applyFont="1" applyAlignment="1">
      <alignment vertical="center" textRotation="90"/>
    </xf>
    <xf numFmtId="0" fontId="20" fillId="0" borderId="0" xfId="0" applyFont="1" applyAlignment="1">
      <alignment vertical="center"/>
    </xf>
    <xf numFmtId="0" fontId="0" fillId="0" borderId="67" xfId="0" applyBorder="1"/>
    <xf numFmtId="0" fontId="0" fillId="4" borderId="69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18" fillId="3" borderId="65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 textRotation="90" wrapText="1"/>
    </xf>
    <xf numFmtId="0" fontId="19" fillId="10" borderId="44" xfId="0" applyFont="1" applyFill="1" applyBorder="1" applyAlignment="1">
      <alignment horizontal="left" vertical="center"/>
    </xf>
    <xf numFmtId="0" fontId="0" fillId="10" borderId="45" xfId="0" applyFill="1" applyBorder="1"/>
    <xf numFmtId="0" fontId="0" fillId="10" borderId="46" xfId="0" applyFill="1" applyBorder="1"/>
    <xf numFmtId="0" fontId="0" fillId="10" borderId="47" xfId="0" applyFill="1" applyBorder="1"/>
    <xf numFmtId="0" fontId="0" fillId="10" borderId="45" xfId="0" applyFill="1" applyBorder="1" applyAlignment="1">
      <alignment horizontal="center" vertical="center"/>
    </xf>
    <xf numFmtId="0" fontId="0" fillId="10" borderId="47" xfId="0" applyFill="1" applyBorder="1" applyAlignment="1">
      <alignment horizontal="center" vertical="center"/>
    </xf>
    <xf numFmtId="0" fontId="0" fillId="10" borderId="51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9" borderId="2" xfId="0" applyFill="1" applyBorder="1"/>
    <xf numFmtId="0" fontId="0" fillId="5" borderId="46" xfId="0" applyFill="1" applyBorder="1" applyAlignment="1">
      <alignment horizontal="center" vertical="center"/>
    </xf>
    <xf numFmtId="0" fontId="0" fillId="4" borderId="46" xfId="0" applyFill="1" applyBorder="1" applyAlignment="1">
      <alignment horizontal="center" vertical="center"/>
    </xf>
    <xf numFmtId="0" fontId="0" fillId="9" borderId="45" xfId="0" applyFill="1" applyBorder="1"/>
    <xf numFmtId="0" fontId="0" fillId="3" borderId="46" xfId="0" applyFill="1" applyBorder="1"/>
    <xf numFmtId="0" fontId="0" fillId="0" borderId="60" xfId="0" applyBorder="1"/>
    <xf numFmtId="0" fontId="0" fillId="0" borderId="42" xfId="0" applyBorder="1"/>
    <xf numFmtId="0" fontId="0" fillId="0" borderId="59" xfId="0" applyBorder="1"/>
    <xf numFmtId="0" fontId="0" fillId="0" borderId="40" xfId="0" applyBorder="1"/>
    <xf numFmtId="0" fontId="0" fillId="4" borderId="50" xfId="0" applyFill="1" applyBorder="1"/>
    <xf numFmtId="0" fontId="0" fillId="4" borderId="51" xfId="0" applyFill="1" applyBorder="1"/>
    <xf numFmtId="0" fontId="20" fillId="3" borderId="49" xfId="0" applyFont="1" applyFill="1" applyBorder="1" applyAlignment="1">
      <alignment horizontal="center"/>
    </xf>
    <xf numFmtId="0" fontId="15" fillId="3" borderId="80" xfId="0" applyFont="1" applyFill="1" applyBorder="1" applyAlignment="1">
      <alignment horizontal="center" vertical="center" wrapText="1"/>
    </xf>
    <xf numFmtId="0" fontId="0" fillId="4" borderId="81" xfId="0" applyFill="1" applyBorder="1" applyAlignment="1">
      <alignment horizontal="center" vertical="center"/>
    </xf>
    <xf numFmtId="0" fontId="2" fillId="4" borderId="45" xfId="0" applyFont="1" applyFill="1" applyBorder="1" applyAlignment="1">
      <alignment horizontal="center" vertical="center"/>
    </xf>
    <xf numFmtId="0" fontId="2" fillId="4" borderId="46" xfId="0" applyFont="1" applyFill="1" applyBorder="1"/>
    <xf numFmtId="0" fontId="2" fillId="4" borderId="51" xfId="0" applyFont="1" applyFill="1" applyBorder="1"/>
    <xf numFmtId="0" fontId="18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8" fillId="3" borderId="0" xfId="0" applyFont="1" applyFill="1" applyAlignment="1">
      <alignment vertical="center" wrapText="1"/>
    </xf>
    <xf numFmtId="0" fontId="15" fillId="3" borderId="0" xfId="0" applyFont="1" applyFill="1" applyAlignment="1">
      <alignment vertical="center" wrapText="1"/>
    </xf>
    <xf numFmtId="0" fontId="0" fillId="0" borderId="0" xfId="0" pivotButton="1" applyAlignment="1">
      <alignment horizontal="center" vertical="center" wrapText="1"/>
    </xf>
    <xf numFmtId="0" fontId="27" fillId="6" borderId="0" xfId="0" applyFont="1" applyFill="1" applyAlignment="1">
      <alignment horizontal="center" vertical="center"/>
    </xf>
    <xf numFmtId="0" fontId="20" fillId="5" borderId="58" xfId="0" applyFont="1" applyFill="1" applyBorder="1" applyAlignment="1">
      <alignment horizontal="center"/>
    </xf>
    <xf numFmtId="0" fontId="20" fillId="5" borderId="0" xfId="0" applyFont="1" applyFill="1" applyAlignment="1">
      <alignment horizontal="center"/>
    </xf>
    <xf numFmtId="0" fontId="20" fillId="5" borderId="53" xfId="0" applyFont="1" applyFill="1" applyBorder="1" applyAlignment="1">
      <alignment horizontal="center"/>
    </xf>
    <xf numFmtId="0" fontId="0" fillId="5" borderId="53" xfId="0" applyFill="1" applyBorder="1" applyAlignment="1">
      <alignment horizontal="center"/>
    </xf>
    <xf numFmtId="0" fontId="25" fillId="6" borderId="0" xfId="0" applyFont="1" applyFill="1" applyAlignment="1">
      <alignment horizontal="center" vertical="center" wrapText="1"/>
    </xf>
    <xf numFmtId="0" fontId="0" fillId="3" borderId="52" xfId="0" applyFill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48" xfId="0" applyFont="1" applyFill="1" applyBorder="1" applyAlignment="1">
      <alignment horizontal="center" vertical="center" textRotation="90"/>
    </xf>
    <xf numFmtId="0" fontId="23" fillId="6" borderId="49" xfId="0" applyFont="1" applyFill="1" applyBorder="1" applyAlignment="1">
      <alignment horizontal="center" vertical="center" textRotation="90"/>
    </xf>
    <xf numFmtId="0" fontId="23" fillId="6" borderId="50" xfId="0" applyFont="1" applyFill="1" applyBorder="1" applyAlignment="1">
      <alignment horizontal="center" vertical="center" textRotation="90"/>
    </xf>
    <xf numFmtId="0" fontId="19" fillId="4" borderId="0" xfId="0" applyFont="1" applyFill="1" applyAlignment="1">
      <alignment horizontal="center" vertical="center" textRotation="90"/>
    </xf>
    <xf numFmtId="0" fontId="0" fillId="5" borderId="0" xfId="0" applyFill="1" applyAlignment="1">
      <alignment horizontal="center"/>
    </xf>
    <xf numFmtId="0" fontId="23" fillId="6" borderId="0" xfId="0" applyFont="1" applyFill="1" applyAlignment="1">
      <alignment horizontal="center" vertical="center" textRotation="90"/>
    </xf>
    <xf numFmtId="0" fontId="14" fillId="8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/>
    </xf>
    <xf numFmtId="17" fontId="3" fillId="3" borderId="52" xfId="0" applyNumberFormat="1" applyFont="1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19" fillId="0" borderId="70" xfId="0" applyFont="1" applyBorder="1" applyAlignment="1">
      <alignment horizontal="left" vertical="center"/>
    </xf>
    <xf numFmtId="0" fontId="19" fillId="0" borderId="71" xfId="0" applyFont="1" applyBorder="1" applyAlignment="1">
      <alignment horizontal="left" vertical="center"/>
    </xf>
    <xf numFmtId="0" fontId="19" fillId="0" borderId="72" xfId="0" applyFont="1" applyBorder="1" applyAlignment="1">
      <alignment horizontal="left" vertical="center"/>
    </xf>
    <xf numFmtId="0" fontId="19" fillId="0" borderId="73" xfId="0" applyFont="1" applyBorder="1" applyAlignment="1">
      <alignment horizontal="left" vertical="center"/>
    </xf>
    <xf numFmtId="0" fontId="32" fillId="0" borderId="73" xfId="0" applyFont="1" applyBorder="1" applyAlignment="1">
      <alignment horizontal="center" vertical="center" wrapText="1"/>
    </xf>
    <xf numFmtId="14" fontId="19" fillId="0" borderId="72" xfId="0" applyNumberFormat="1" applyFont="1" applyBorder="1" applyAlignment="1">
      <alignment horizontal="left" vertical="center"/>
    </xf>
    <xf numFmtId="14" fontId="19" fillId="0" borderId="73" xfId="0" applyNumberFormat="1" applyFont="1" applyBorder="1" applyAlignment="1">
      <alignment horizontal="left" vertical="center"/>
    </xf>
    <xf numFmtId="0" fontId="0" fillId="0" borderId="73" xfId="0" applyBorder="1" applyAlignment="1">
      <alignment horizontal="center" vertical="center" wrapText="1"/>
    </xf>
    <xf numFmtId="0" fontId="0" fillId="0" borderId="73" xfId="0" applyBorder="1" applyAlignment="1">
      <alignment horizontal="left" vertical="top"/>
    </xf>
    <xf numFmtId="0" fontId="0" fillId="0" borderId="74" xfId="0" applyBorder="1" applyAlignment="1">
      <alignment horizontal="left" vertical="top"/>
    </xf>
    <xf numFmtId="0" fontId="0" fillId="0" borderId="75" xfId="0" applyBorder="1" applyAlignment="1">
      <alignment horizontal="left" vertical="top"/>
    </xf>
    <xf numFmtId="0" fontId="4" fillId="0" borderId="75" xfId="0" applyFont="1" applyBorder="1" applyAlignment="1">
      <alignment horizontal="left" vertical="center"/>
    </xf>
    <xf numFmtId="0" fontId="33" fillId="0" borderId="75" xfId="0" applyFont="1" applyBorder="1" applyAlignment="1">
      <alignment horizontal="center" vertical="center"/>
    </xf>
    <xf numFmtId="0" fontId="33" fillId="0" borderId="78" xfId="0" applyFont="1" applyBorder="1" applyAlignment="1">
      <alignment horizontal="center" vertical="center"/>
    </xf>
    <xf numFmtId="0" fontId="32" fillId="0" borderId="75" xfId="0" applyFont="1" applyBorder="1" applyAlignment="1">
      <alignment horizontal="center" vertical="center" wrapText="1"/>
    </xf>
    <xf numFmtId="0" fontId="32" fillId="0" borderId="78" xfId="0" applyFont="1" applyBorder="1" applyAlignment="1">
      <alignment horizontal="center" vertical="center" wrapText="1"/>
    </xf>
    <xf numFmtId="0" fontId="32" fillId="0" borderId="76" xfId="0" applyFont="1" applyBorder="1" applyAlignment="1">
      <alignment horizontal="center" vertical="center" wrapText="1"/>
    </xf>
    <xf numFmtId="0" fontId="32" fillId="0" borderId="79" xfId="0" applyFont="1" applyBorder="1" applyAlignment="1">
      <alignment horizontal="center" vertical="center" wrapText="1"/>
    </xf>
    <xf numFmtId="0" fontId="0" fillId="0" borderId="77" xfId="0" applyBorder="1" applyAlignment="1">
      <alignment horizontal="left" vertical="top"/>
    </xf>
    <xf numFmtId="0" fontId="0" fillId="0" borderId="78" xfId="0" applyBorder="1" applyAlignment="1">
      <alignment horizontal="left" vertical="top"/>
    </xf>
    <xf numFmtId="0" fontId="14" fillId="2" borderId="3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textRotation="90" wrapText="1"/>
    </xf>
    <xf numFmtId="0" fontId="21" fillId="2" borderId="0" xfId="0" applyFont="1" applyFill="1" applyAlignment="1">
      <alignment horizontal="center" vertical="center" textRotation="90" wrapText="1"/>
    </xf>
    <xf numFmtId="0" fontId="21" fillId="2" borderId="82" xfId="0" applyFont="1" applyFill="1" applyBorder="1" applyAlignment="1">
      <alignment horizontal="center" vertical="center" textRotation="90" wrapText="1"/>
    </xf>
    <xf numFmtId="0" fontId="21" fillId="2" borderId="36" xfId="0" applyFont="1" applyFill="1" applyBorder="1" applyAlignment="1">
      <alignment horizontal="center" vertical="center" textRotation="90" wrapText="1"/>
    </xf>
    <xf numFmtId="0" fontId="21" fillId="2" borderId="37" xfId="0" applyFont="1" applyFill="1" applyBorder="1" applyAlignment="1">
      <alignment horizontal="center" vertical="center" textRotation="90" wrapText="1"/>
    </xf>
    <xf numFmtId="0" fontId="35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  <xf numFmtId="0" fontId="20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3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/>
    <xf numFmtId="165" fontId="10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13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2CB6FB3D-B1D6-42D6-87A9-2534D9B672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06F3D225-FB85-402C-9BBD-C55114B8B12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3FA739C5-25CE-411B-80F0-9359248E46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86FED927-DC55-43E1-8438-8BACE94E320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4" name="image1.png">
          <a:extLst>
            <a:ext uri="{FF2B5EF4-FFF2-40B4-BE49-F238E27FC236}">
              <a16:creationId xmlns:a16="http://schemas.microsoft.com/office/drawing/2014/main" id="{AE0F39C9-8C9A-4B95-A551-DC1107E7AF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1485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5" name="image2.jpg">
          <a:extLst>
            <a:ext uri="{FF2B5EF4-FFF2-40B4-BE49-F238E27FC236}">
              <a16:creationId xmlns:a16="http://schemas.microsoft.com/office/drawing/2014/main" id="{3B41F9AD-E333-4A13-AF56-129C1727980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133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0C98E8C9-7E75-4A96-8034-03FD53B6B1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A142752A-9CC5-4830-BA9D-DE59B719F7E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4" name="image1.png">
          <a:extLst>
            <a:ext uri="{FF2B5EF4-FFF2-40B4-BE49-F238E27FC236}">
              <a16:creationId xmlns:a16="http://schemas.microsoft.com/office/drawing/2014/main" id="{B2B71880-4DB9-4F39-B019-F9F8FCE0E9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1485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5" name="image2.jpg">
          <a:extLst>
            <a:ext uri="{FF2B5EF4-FFF2-40B4-BE49-F238E27FC236}">
              <a16:creationId xmlns:a16="http://schemas.microsoft.com/office/drawing/2014/main" id="{6DC339CC-BAA6-4D15-848C-11E85496C01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133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B20BB1A0-B1DD-4DAD-9084-D7466410C1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F8326169-8E7D-4533-8AA8-56A545FE179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4" name="image1.png">
          <a:extLst>
            <a:ext uri="{FF2B5EF4-FFF2-40B4-BE49-F238E27FC236}">
              <a16:creationId xmlns:a16="http://schemas.microsoft.com/office/drawing/2014/main" id="{D03420FF-8283-4336-BAD4-607AAB7F52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1485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5" name="image2.jpg">
          <a:extLst>
            <a:ext uri="{FF2B5EF4-FFF2-40B4-BE49-F238E27FC236}">
              <a16:creationId xmlns:a16="http://schemas.microsoft.com/office/drawing/2014/main" id="{1BAB791B-C5F6-4E58-B914-85F0D92F04D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133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B6C1397C-C65E-41E1-9816-73A0D93F6B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34817F8E-D8EE-4D93-B5F8-7CD83584F50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4" name="image1.png">
          <a:extLst>
            <a:ext uri="{FF2B5EF4-FFF2-40B4-BE49-F238E27FC236}">
              <a16:creationId xmlns:a16="http://schemas.microsoft.com/office/drawing/2014/main" id="{B6869442-74E4-4021-8B58-5788AE2120B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1485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5" name="image2.jpg">
          <a:extLst>
            <a:ext uri="{FF2B5EF4-FFF2-40B4-BE49-F238E27FC236}">
              <a16:creationId xmlns:a16="http://schemas.microsoft.com/office/drawing/2014/main" id="{3800FDF2-4EE2-42C8-B8C7-2431D5F5C73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133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900A8749-DFA6-433A-96F9-B6024D6D42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387E7ADE-87C2-4F75-9329-5979A160944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4" name="image1.png">
          <a:extLst>
            <a:ext uri="{FF2B5EF4-FFF2-40B4-BE49-F238E27FC236}">
              <a16:creationId xmlns:a16="http://schemas.microsoft.com/office/drawing/2014/main" id="{5CB5209F-0F8C-4EC6-9554-4116DD8917F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1485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5" name="image2.jpg">
          <a:extLst>
            <a:ext uri="{FF2B5EF4-FFF2-40B4-BE49-F238E27FC236}">
              <a16:creationId xmlns:a16="http://schemas.microsoft.com/office/drawing/2014/main" id="{D1406893-DF7F-45AD-B48E-F196122E6FE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133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16C581C2-EC26-4F17-BAE0-A9F62B7870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1485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B6904CCC-42E7-4157-B8F4-B6EE015396E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133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28575</xdr:colOff>
      <xdr:row>0</xdr:row>
      <xdr:rowOff>95249</xdr:rowOff>
    </xdr:from>
    <xdr:ext cx="581025" cy="3905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48275" y="94615"/>
          <a:ext cx="5810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0</xdr:row>
      <xdr:rowOff>133349</xdr:rowOff>
    </xdr:from>
    <xdr:ext cx="962025" cy="2381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34075" y="132715"/>
          <a:ext cx="962025" cy="238125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rdo Gatica" refreshedDate="45716.701308912037" createdVersion="8" refreshedVersion="8" minRefreshableVersion="3" recordCount="37" xr:uid="{B9A87A7A-D9DC-4AA2-BE09-D8D8FB0A4A9A}">
  <cacheSource type="worksheet">
    <worksheetSource ref="C11:M48" sheet="Total Consumo Mensual"/>
  </cacheSource>
  <cacheFields count="11">
    <cacheField name="Origen" numFmtId="0">
      <sharedItems containsBlank="1" count="10">
        <s v="Ocetra"/>
        <s v="Rosario"/>
        <s v="Candelaria"/>
        <s v="Victoria"/>
        <s v="Del Carmen"/>
        <s v="pilar"/>
        <s v="Dolores"/>
        <s v="Rosa/Lourdes"/>
        <m/>
        <s v="Caridad"/>
      </sharedItems>
    </cacheField>
    <cacheField name="0.2 Infa" numFmtId="0">
      <sharedItems containsString="0" containsBlank="1" containsNumber="1" containsInteger="1" minValue="20" maxValue="20"/>
    </cacheField>
    <cacheField name="0.4 infa" numFmtId="0">
      <sharedItems containsString="0" containsBlank="1" containsNumber="1" containsInteger="1" minValue="20" maxValue="20"/>
    </cacheField>
    <cacheField name="1.3 thalassa" numFmtId="0">
      <sharedItems containsString="0" containsBlank="1" containsNumber="1" containsInteger="1" minValue="560" maxValue="560"/>
    </cacheField>
    <cacheField name="3 mm progress ex" numFmtId="0">
      <sharedItems containsSemiMixedTypes="0" containsString="0" containsNumber="1" containsInteger="1" minValue="0" maxValue="275"/>
    </cacheField>
    <cacheField name="4,5 mm metabólica " numFmtId="0">
      <sharedItems containsSemiMixedTypes="0" containsString="0" containsNumber="1" containsInteger="1" minValue="0" maxValue="0"/>
    </cacheField>
    <cacheField name="4.5 mm Progress" numFmtId="0">
      <sharedItems containsSemiMixedTypes="0" containsString="0" containsNumber="1" containsInteger="1" minValue="0" maxValue="325"/>
    </cacheField>
    <cacheField name="6 mm Metabolica" numFmtId="0">
      <sharedItems containsSemiMixedTypes="0" containsString="0" containsNumber="1" containsInteger="1" minValue="0" maxValue="0"/>
    </cacheField>
    <cacheField name="6 mm Progress" numFmtId="0">
      <sharedItems containsSemiMixedTypes="0" containsString="0" containsNumber="1" containsInteger="1" minValue="0" maxValue="500"/>
    </cacheField>
    <cacheField name="8 mm Progress" numFmtId="0">
      <sharedItems containsSemiMixedTypes="0" containsString="0" containsNumber="1" containsInteger="1" minValue="0" maxValue="200"/>
    </cacheField>
    <cacheField name="8 mm Reproductor" numFmtId="0">
      <sharedItems containsSemiMixedTypes="0" containsString="0" containsNumber="1" containsInteger="1" minValue="0" maxValue="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m/>
    <m/>
    <m/>
    <n v="0"/>
    <n v="0"/>
    <n v="0"/>
    <n v="0"/>
    <n v="0"/>
    <n v="0"/>
    <n v="0"/>
  </r>
  <r>
    <x v="0"/>
    <m/>
    <m/>
    <m/>
    <n v="0"/>
    <n v="0"/>
    <n v="0"/>
    <n v="0"/>
    <n v="0"/>
    <n v="0"/>
    <n v="0"/>
  </r>
  <r>
    <x v="0"/>
    <m/>
    <m/>
    <m/>
    <n v="0"/>
    <n v="0"/>
    <n v="0"/>
    <n v="0"/>
    <n v="0"/>
    <n v="0"/>
    <n v="0"/>
  </r>
  <r>
    <x v="0"/>
    <m/>
    <m/>
    <m/>
    <n v="0"/>
    <n v="0"/>
    <n v="0"/>
    <n v="0"/>
    <n v="0"/>
    <n v="0"/>
    <n v="0"/>
  </r>
  <r>
    <x v="0"/>
    <m/>
    <m/>
    <m/>
    <n v="0"/>
    <n v="0"/>
    <n v="0"/>
    <n v="0"/>
    <n v="0"/>
    <n v="0"/>
    <n v="0"/>
  </r>
  <r>
    <x v="0"/>
    <m/>
    <m/>
    <m/>
    <n v="0"/>
    <n v="0"/>
    <n v="0"/>
    <n v="0"/>
    <n v="0"/>
    <n v="0"/>
    <n v="0"/>
  </r>
  <r>
    <x v="1"/>
    <m/>
    <m/>
    <m/>
    <n v="0"/>
    <n v="0"/>
    <n v="0"/>
    <n v="0"/>
    <n v="0"/>
    <n v="0"/>
    <n v="0"/>
  </r>
  <r>
    <x v="0"/>
    <m/>
    <m/>
    <m/>
    <n v="0"/>
    <n v="0"/>
    <n v="0"/>
    <n v="0"/>
    <n v="0"/>
    <n v="0"/>
    <n v="0"/>
  </r>
  <r>
    <x v="2"/>
    <m/>
    <m/>
    <m/>
    <n v="275"/>
    <n v="0"/>
    <n v="25"/>
    <n v="0"/>
    <n v="0"/>
    <n v="0"/>
    <n v="0"/>
  </r>
  <r>
    <x v="3"/>
    <m/>
    <m/>
    <m/>
    <n v="250"/>
    <n v="0"/>
    <n v="25"/>
    <n v="0"/>
    <n v="0"/>
    <n v="0"/>
    <n v="0"/>
  </r>
  <r>
    <x v="0"/>
    <m/>
    <m/>
    <m/>
    <n v="0"/>
    <n v="0"/>
    <n v="0"/>
    <n v="0"/>
    <n v="0"/>
    <n v="0"/>
    <n v="0"/>
  </r>
  <r>
    <x v="4"/>
    <m/>
    <m/>
    <m/>
    <n v="0"/>
    <n v="0"/>
    <n v="0"/>
    <n v="0"/>
    <n v="0"/>
    <n v="0"/>
    <n v="0"/>
  </r>
  <r>
    <x v="1"/>
    <m/>
    <m/>
    <m/>
    <n v="0"/>
    <n v="0"/>
    <n v="75"/>
    <n v="0"/>
    <n v="500"/>
    <n v="0"/>
    <n v="0"/>
  </r>
  <r>
    <x v="5"/>
    <m/>
    <m/>
    <m/>
    <n v="0"/>
    <n v="0"/>
    <n v="325"/>
    <n v="0"/>
    <n v="25"/>
    <n v="0"/>
    <n v="0"/>
  </r>
  <r>
    <x v="5"/>
    <m/>
    <m/>
    <m/>
    <n v="0"/>
    <n v="0"/>
    <n v="325"/>
    <n v="0"/>
    <n v="0"/>
    <n v="0"/>
    <n v="0"/>
  </r>
  <r>
    <x v="4"/>
    <m/>
    <m/>
    <m/>
    <n v="0"/>
    <n v="0"/>
    <n v="0"/>
    <n v="0"/>
    <n v="175"/>
    <n v="75"/>
    <n v="150"/>
  </r>
  <r>
    <x v="4"/>
    <m/>
    <m/>
    <m/>
    <n v="0"/>
    <n v="0"/>
    <n v="0"/>
    <n v="0"/>
    <n v="225"/>
    <n v="125"/>
    <n v="225"/>
  </r>
  <r>
    <x v="1"/>
    <m/>
    <m/>
    <m/>
    <n v="0"/>
    <n v="0"/>
    <n v="50"/>
    <n v="0"/>
    <n v="75"/>
    <n v="75"/>
    <n v="0"/>
  </r>
  <r>
    <x v="0"/>
    <m/>
    <m/>
    <m/>
    <n v="0"/>
    <n v="0"/>
    <n v="0"/>
    <n v="0"/>
    <n v="150"/>
    <n v="125"/>
    <n v="250"/>
  </r>
  <r>
    <x v="0"/>
    <m/>
    <m/>
    <m/>
    <n v="0"/>
    <n v="0"/>
    <n v="0"/>
    <n v="0"/>
    <n v="225"/>
    <n v="175"/>
    <n v="325"/>
  </r>
  <r>
    <x v="0"/>
    <m/>
    <m/>
    <m/>
    <n v="0"/>
    <n v="0"/>
    <n v="0"/>
    <n v="0"/>
    <n v="25"/>
    <n v="200"/>
    <n v="300"/>
  </r>
  <r>
    <x v="0"/>
    <m/>
    <m/>
    <m/>
    <n v="0"/>
    <n v="0"/>
    <n v="0"/>
    <n v="0"/>
    <n v="25"/>
    <n v="200"/>
    <n v="400"/>
  </r>
  <r>
    <x v="0"/>
    <m/>
    <m/>
    <m/>
    <n v="0"/>
    <n v="0"/>
    <n v="0"/>
    <n v="0"/>
    <n v="25"/>
    <n v="125"/>
    <n v="225"/>
  </r>
  <r>
    <x v="0"/>
    <m/>
    <m/>
    <m/>
    <n v="0"/>
    <n v="0"/>
    <n v="0"/>
    <n v="0"/>
    <n v="25"/>
    <n v="125"/>
    <n v="275"/>
  </r>
  <r>
    <x v="0"/>
    <m/>
    <m/>
    <m/>
    <n v="0"/>
    <n v="0"/>
    <n v="0"/>
    <n v="0"/>
    <n v="0"/>
    <n v="200"/>
    <n v="300"/>
  </r>
  <r>
    <x v="0"/>
    <m/>
    <m/>
    <m/>
    <n v="0"/>
    <n v="0"/>
    <n v="0"/>
    <n v="0"/>
    <n v="0"/>
    <n v="200"/>
    <n v="225"/>
  </r>
  <r>
    <x v="0"/>
    <m/>
    <m/>
    <m/>
    <n v="0"/>
    <n v="0"/>
    <n v="0"/>
    <n v="0"/>
    <n v="0"/>
    <n v="100"/>
    <n v="250"/>
  </r>
  <r>
    <x v="0"/>
    <m/>
    <m/>
    <m/>
    <n v="0"/>
    <n v="0"/>
    <n v="0"/>
    <n v="0"/>
    <n v="0"/>
    <n v="100"/>
    <n v="225"/>
  </r>
  <r>
    <x v="0"/>
    <m/>
    <m/>
    <m/>
    <n v="0"/>
    <n v="0"/>
    <n v="0"/>
    <n v="0"/>
    <n v="0"/>
    <n v="75"/>
    <n v="175"/>
  </r>
  <r>
    <x v="0"/>
    <m/>
    <m/>
    <m/>
    <n v="0"/>
    <n v="0"/>
    <n v="0"/>
    <n v="0"/>
    <n v="0"/>
    <n v="0"/>
    <n v="25"/>
  </r>
  <r>
    <x v="6"/>
    <m/>
    <m/>
    <m/>
    <n v="0"/>
    <n v="0"/>
    <n v="0"/>
    <n v="0"/>
    <n v="0"/>
    <n v="75"/>
    <n v="150"/>
  </r>
  <r>
    <x v="6"/>
    <m/>
    <m/>
    <m/>
    <n v="0"/>
    <n v="0"/>
    <n v="0"/>
    <n v="0"/>
    <n v="0"/>
    <n v="0"/>
    <n v="0"/>
  </r>
  <r>
    <x v="0"/>
    <m/>
    <m/>
    <m/>
    <n v="0"/>
    <n v="0"/>
    <n v="0"/>
    <n v="0"/>
    <n v="0"/>
    <n v="75"/>
    <n v="150"/>
  </r>
  <r>
    <x v="0"/>
    <m/>
    <m/>
    <m/>
    <n v="0"/>
    <n v="0"/>
    <n v="0"/>
    <n v="0"/>
    <n v="0"/>
    <n v="125"/>
    <n v="150"/>
  </r>
  <r>
    <x v="7"/>
    <m/>
    <m/>
    <m/>
    <n v="200"/>
    <n v="0"/>
    <n v="225"/>
    <n v="0"/>
    <n v="0"/>
    <n v="0"/>
    <n v="0"/>
  </r>
  <r>
    <x v="8"/>
    <m/>
    <m/>
    <m/>
    <n v="0"/>
    <n v="0"/>
    <n v="0"/>
    <n v="0"/>
    <n v="0"/>
    <n v="0"/>
    <n v="0"/>
  </r>
  <r>
    <x v="9"/>
    <n v="20"/>
    <n v="20"/>
    <n v="560"/>
    <n v="15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26C18A-9C01-4496-B03A-DAD7FE18ABF1}" name="TablaDinámica12" cacheId="8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14" firstHeaderRow="0" firstDataRow="1" firstDataCol="1"/>
  <pivotFields count="11">
    <pivotField axis="axisRow" showAll="0">
      <items count="11">
        <item x="2"/>
        <item x="4"/>
        <item x="6"/>
        <item x="0"/>
        <item x="5"/>
        <item x="7"/>
        <item x="1"/>
        <item x="3"/>
        <item x="8"/>
        <item x="9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a de 8 mm Reproductor" fld="10" baseField="0" baseItem="0"/>
    <dataField name="Suma de 3 mm progress ex" fld="4" baseField="0" baseItem="0"/>
    <dataField name="Suma de 4,5 mm metabólica " fld="5" baseField="0" baseItem="0"/>
    <dataField name="Suma de 4.5 mm Progress" fld="6" baseField="0" baseItem="0"/>
    <dataField name="Suma de 6 mm Metabolica" fld="7" baseField="0" baseItem="0"/>
    <dataField name="Suma de 6 mm Progress" fld="8" baseField="0" baseItem="0"/>
    <dataField name="Suma de 8 mm Progress" fld="9" baseField="0" baseItem="0"/>
  </dataFields>
  <formats count="18">
    <format dxfId="133">
      <pivotArea type="all" dataOnly="0" outline="0" fieldPosition="0"/>
    </format>
    <format dxfId="132">
      <pivotArea outline="0" collapsedLevelsAreSubtotals="1" fieldPosition="0"/>
    </format>
    <format dxfId="131">
      <pivotArea field="0" type="button" dataOnly="0" labelOnly="1" outline="0" axis="axisRow" fieldPosition="0"/>
    </format>
    <format dxfId="130">
      <pivotArea dataOnly="0" labelOnly="1" fieldPosition="0">
        <references count="1">
          <reference field="0" count="0"/>
        </references>
      </pivotArea>
    </format>
    <format dxfId="129">
      <pivotArea dataOnly="0" labelOnly="1" grandRow="1" outline="0" fieldPosition="0"/>
    </format>
    <format dxfId="128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0" type="button" dataOnly="0" labelOnly="1" outline="0" axis="axisRow" fieldPosition="0"/>
    </format>
    <format dxfId="124">
      <pivotArea dataOnly="0" labelOnly="1" fieldPosition="0">
        <references count="1">
          <reference field="0" count="0"/>
        </references>
      </pivotArea>
    </format>
    <format dxfId="123">
      <pivotArea dataOnly="0" labelOnly="1" grandRow="1" outline="0" fieldPosition="0"/>
    </format>
    <format dxfId="122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0" type="button" dataOnly="0" labelOnly="1" outline="0" axis="axisRow" fieldPosition="0"/>
    </format>
    <format dxfId="118">
      <pivotArea dataOnly="0" labelOnly="1" fieldPosition="0">
        <references count="1">
          <reference field="0" count="0"/>
        </references>
      </pivotArea>
    </format>
    <format dxfId="117">
      <pivotArea dataOnly="0" labelOnly="1" grandRow="1" outline="0" fieldPosition="0"/>
    </format>
    <format dxfId="116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9"/>
  <dimension ref="A1:AT123"/>
  <sheetViews>
    <sheetView topLeftCell="A40" zoomScaleNormal="100" workbookViewId="0">
      <selection activeCell="C19" sqref="C19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81" t="s">
        <v>115</v>
      </c>
      <c r="B1" s="182"/>
      <c r="C1" s="183" t="s">
        <v>116</v>
      </c>
      <c r="D1" s="184"/>
      <c r="E1" s="184"/>
      <c r="F1" s="185" t="s">
        <v>94</v>
      </c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</row>
    <row r="2" spans="1:42">
      <c r="A2" s="181" t="s">
        <v>95</v>
      </c>
      <c r="B2" s="182"/>
      <c r="C2" s="183">
        <v>2.2000000000000002</v>
      </c>
      <c r="D2" s="184"/>
      <c r="E2" s="184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</row>
    <row r="3" spans="1:42">
      <c r="A3" s="181" t="s">
        <v>97</v>
      </c>
      <c r="B3" s="182"/>
      <c r="C3" s="186">
        <v>44589</v>
      </c>
      <c r="D3" s="187"/>
      <c r="E3" s="187"/>
      <c r="F3" s="188" t="s">
        <v>117</v>
      </c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</row>
    <row r="4" spans="1:42">
      <c r="A4" s="181" t="s">
        <v>118</v>
      </c>
      <c r="B4" s="182"/>
      <c r="C4" s="183" t="s">
        <v>102</v>
      </c>
      <c r="D4" s="184"/>
      <c r="E4" s="184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</row>
    <row r="5" spans="1:42">
      <c r="A5" s="181" t="s">
        <v>119</v>
      </c>
      <c r="B5" s="182"/>
      <c r="C5" s="183" t="s">
        <v>120</v>
      </c>
      <c r="D5" s="184"/>
      <c r="E5" s="184"/>
      <c r="F5" s="188" t="s">
        <v>104</v>
      </c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9" t="s">
        <v>121</v>
      </c>
      <c r="AD5" s="189"/>
      <c r="AE5" s="189"/>
      <c r="AF5" s="189"/>
      <c r="AG5" s="189"/>
      <c r="AH5" s="189"/>
      <c r="AI5" s="189"/>
      <c r="AJ5" s="189"/>
      <c r="AK5" s="189"/>
      <c r="AL5" s="189"/>
      <c r="AM5" s="189"/>
      <c r="AN5" s="189"/>
      <c r="AO5" s="189"/>
    </row>
    <row r="6" spans="1:42">
      <c r="A6" s="181" t="s">
        <v>122</v>
      </c>
      <c r="B6" s="182"/>
      <c r="C6" s="183" t="s">
        <v>120</v>
      </c>
      <c r="D6" s="184"/>
      <c r="E6" s="184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9"/>
      <c r="AD6" s="189"/>
      <c r="AE6" s="189"/>
      <c r="AF6" s="189"/>
      <c r="AG6" s="189"/>
      <c r="AH6" s="189"/>
      <c r="AI6" s="189"/>
      <c r="AJ6" s="189"/>
      <c r="AK6" s="189"/>
      <c r="AL6" s="189"/>
      <c r="AM6" s="189"/>
      <c r="AN6" s="189"/>
      <c r="AO6" s="189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>
      <c r="A8" s="190" t="s">
        <v>123</v>
      </c>
      <c r="B8" s="191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2" t="s">
        <v>124</v>
      </c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3" t="s">
        <v>159</v>
      </c>
      <c r="AC8" s="193"/>
      <c r="AD8" s="193"/>
      <c r="AE8" s="193"/>
      <c r="AF8" s="193"/>
      <c r="AG8" s="193"/>
      <c r="AH8" s="195">
        <v>1</v>
      </c>
      <c r="AI8" s="195"/>
      <c r="AJ8" s="195"/>
      <c r="AK8" s="195"/>
      <c r="AL8" s="195"/>
      <c r="AM8" s="195">
        <v>5</v>
      </c>
      <c r="AN8" s="195"/>
      <c r="AO8" s="197"/>
    </row>
    <row r="9" spans="1:42">
      <c r="A9" s="199" t="s">
        <v>125</v>
      </c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 t="s">
        <v>125</v>
      </c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194"/>
      <c r="AC9" s="194"/>
      <c r="AD9" s="194"/>
      <c r="AE9" s="194"/>
      <c r="AF9" s="194"/>
      <c r="AG9" s="194"/>
      <c r="AH9" s="196"/>
      <c r="AI9" s="196"/>
      <c r="AJ9" s="196"/>
      <c r="AK9" s="196"/>
      <c r="AL9" s="196"/>
      <c r="AM9" s="196"/>
      <c r="AN9" s="196"/>
      <c r="AO9" s="198"/>
    </row>
    <row r="10" spans="1:42" ht="7.5" customHeight="1"/>
    <row r="11" spans="1:42">
      <c r="C11" s="169" t="s">
        <v>0</v>
      </c>
      <c r="D11" s="169"/>
      <c r="E11" s="169"/>
      <c r="F11" s="169"/>
      <c r="G11" s="169"/>
      <c r="H11" s="169"/>
      <c r="I11" s="169" t="s">
        <v>1</v>
      </c>
      <c r="J11" s="169"/>
      <c r="K11" s="169"/>
      <c r="L11" s="169"/>
      <c r="M11" s="169"/>
      <c r="N11" s="169"/>
      <c r="O11" s="169" t="s">
        <v>2</v>
      </c>
      <c r="P11" s="169"/>
      <c r="Q11" s="169"/>
      <c r="R11" s="169"/>
      <c r="S11" s="169"/>
      <c r="T11" s="169"/>
      <c r="U11" s="169" t="s">
        <v>3</v>
      </c>
      <c r="V11" s="169"/>
      <c r="W11" s="169"/>
      <c r="X11" s="169"/>
      <c r="Y11" s="169"/>
      <c r="Z11" s="169"/>
      <c r="AA11" s="169" t="s">
        <v>4</v>
      </c>
      <c r="AB11" s="169"/>
      <c r="AC11" s="169"/>
      <c r="AD11" s="169"/>
      <c r="AE11" s="169"/>
      <c r="AF11" s="169"/>
      <c r="AG11" s="169" t="s">
        <v>5</v>
      </c>
      <c r="AH11" s="169"/>
      <c r="AI11" s="169"/>
      <c r="AJ11" s="169"/>
      <c r="AK11" s="169"/>
      <c r="AL11" s="169"/>
      <c r="AM11" s="160" t="s">
        <v>6</v>
      </c>
      <c r="AN11" s="160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60"/>
      <c r="AN12" s="160"/>
      <c r="AO12" s="88" t="s">
        <v>10</v>
      </c>
      <c r="AP12" s="89" t="s">
        <v>11</v>
      </c>
    </row>
    <row r="13" spans="1:42" ht="14.25" customHeight="1">
      <c r="A13" s="175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/>
      <c r="L13" s="60"/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>
        <v>1</v>
      </c>
      <c r="AM13" s="90"/>
      <c r="AN13" s="91"/>
      <c r="AO13" s="92">
        <f t="shared" ref="AO13:AO19" si="0">SUM(C13:AN13)</f>
        <v>1</v>
      </c>
      <c r="AP13" s="93">
        <f>AO13*25</f>
        <v>25</v>
      </c>
    </row>
    <row r="14" spans="1:42" ht="14.25" customHeight="1">
      <c r="A14" s="175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0</v>
      </c>
      <c r="AP14" s="93">
        <f t="shared" ref="AP14:AP58" si="1">AO14*25</f>
        <v>0</v>
      </c>
    </row>
    <row r="15" spans="1:42" ht="14.25" customHeight="1">
      <c r="A15" s="175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>
        <v>1</v>
      </c>
      <c r="Q15" s="64">
        <v>1</v>
      </c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>
        <v>1</v>
      </c>
      <c r="AM15" s="94"/>
      <c r="AN15" s="95"/>
      <c r="AO15" s="92">
        <f t="shared" si="0"/>
        <v>3</v>
      </c>
      <c r="AP15" s="93">
        <f t="shared" si="1"/>
        <v>75</v>
      </c>
    </row>
    <row r="16" spans="1:42" ht="14.25" customHeight="1">
      <c r="A16" s="175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0</v>
      </c>
      <c r="AP16" s="93">
        <f t="shared" si="1"/>
        <v>0</v>
      </c>
    </row>
    <row r="17" spans="1:42" ht="14.25" customHeight="1">
      <c r="A17" s="175"/>
      <c r="B17" s="62" t="s">
        <v>132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>
        <v>1</v>
      </c>
      <c r="P17" s="64"/>
      <c r="Q17" s="64"/>
      <c r="R17" s="64">
        <v>1</v>
      </c>
      <c r="S17" s="64">
        <v>1</v>
      </c>
      <c r="T17" s="84"/>
      <c r="U17" s="83">
        <v>1</v>
      </c>
      <c r="V17" s="64">
        <v>1</v>
      </c>
      <c r="W17" s="64">
        <v>1</v>
      </c>
      <c r="X17" s="64">
        <v>1</v>
      </c>
      <c r="Y17" s="64">
        <v>1</v>
      </c>
      <c r="Z17" s="84">
        <v>1</v>
      </c>
      <c r="AA17" s="83"/>
      <c r="AB17" s="64"/>
      <c r="AC17" s="64"/>
      <c r="AD17" s="64"/>
      <c r="AE17" s="64"/>
      <c r="AF17" s="84"/>
      <c r="AG17" s="149"/>
      <c r="AH17" s="149"/>
      <c r="AI17" s="149"/>
      <c r="AJ17" s="149"/>
      <c r="AK17" s="149"/>
      <c r="AL17" s="149"/>
      <c r="AM17" s="63"/>
      <c r="AN17" s="134"/>
      <c r="AO17" s="92">
        <f t="shared" si="0"/>
        <v>9</v>
      </c>
      <c r="AP17" s="93">
        <f t="shared" si="1"/>
        <v>225</v>
      </c>
    </row>
    <row r="18" spans="1:42" ht="14.25" customHeight="1">
      <c r="A18" s="175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149"/>
      <c r="AH18" s="149"/>
      <c r="AI18" s="149"/>
      <c r="AJ18" s="149"/>
      <c r="AK18" s="149"/>
      <c r="AL18" s="149"/>
      <c r="AM18" s="94"/>
      <c r="AN18" s="95"/>
      <c r="AO18" s="92">
        <f t="shared" si="0"/>
        <v>0</v>
      </c>
      <c r="AP18" s="93">
        <f t="shared" si="1"/>
        <v>0</v>
      </c>
    </row>
    <row r="19" spans="1:42" ht="14.25" customHeight="1">
      <c r="A19" s="175"/>
      <c r="B19" s="62" t="s">
        <v>142</v>
      </c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/>
      <c r="S19" s="64">
        <v>1</v>
      </c>
      <c r="T19" s="84"/>
      <c r="U19" s="83">
        <v>1</v>
      </c>
      <c r="V19" s="64">
        <v>1</v>
      </c>
      <c r="W19" s="64">
        <v>1</v>
      </c>
      <c r="X19" s="64">
        <v>1</v>
      </c>
      <c r="Y19" s="64">
        <v>1</v>
      </c>
      <c r="Z19" s="84">
        <v>1</v>
      </c>
      <c r="AA19" s="83">
        <v>1</v>
      </c>
      <c r="AB19" s="64">
        <v>0</v>
      </c>
      <c r="AC19" s="64">
        <v>1</v>
      </c>
      <c r="AD19" s="64">
        <v>1</v>
      </c>
      <c r="AE19" s="64"/>
      <c r="AF19" s="84"/>
      <c r="AG19" s="149"/>
      <c r="AH19" s="149"/>
      <c r="AI19" s="149"/>
      <c r="AJ19" s="149"/>
      <c r="AK19" s="149"/>
      <c r="AL19" s="149"/>
      <c r="AM19" s="94"/>
      <c r="AN19" s="95"/>
      <c r="AO19" s="92">
        <f t="shared" si="0"/>
        <v>10</v>
      </c>
      <c r="AP19" s="93">
        <f t="shared" si="1"/>
        <v>250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70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71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71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71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71"/>
      <c r="B25" s="62" t="s">
        <v>132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71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72"/>
      <c r="B27" s="62" t="s">
        <v>142</v>
      </c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70" t="s">
        <v>19</v>
      </c>
      <c r="B29" s="58" t="s">
        <v>13</v>
      </c>
      <c r="C29" s="59"/>
      <c r="D29" s="60"/>
      <c r="E29" s="60"/>
      <c r="F29" s="60"/>
      <c r="G29" s="60"/>
      <c r="H29" s="61"/>
      <c r="I29" s="17"/>
      <c r="J29" s="60"/>
      <c r="K29" s="60"/>
      <c r="L29" s="60"/>
      <c r="M29" s="60"/>
      <c r="N29" s="82"/>
      <c r="O29" s="17"/>
      <c r="P29" s="60"/>
      <c r="Q29" s="60"/>
      <c r="R29" s="60"/>
      <c r="S29" s="60"/>
      <c r="T29" s="82"/>
      <c r="U29" s="17"/>
      <c r="V29" s="60"/>
      <c r="W29" s="60"/>
      <c r="X29" s="60"/>
      <c r="Y29" s="60"/>
      <c r="Z29" s="82"/>
      <c r="AA29" s="17"/>
      <c r="AB29" s="60"/>
      <c r="AC29" s="60"/>
      <c r="AD29" s="60"/>
      <c r="AE29" s="60"/>
      <c r="AF29" s="82"/>
      <c r="AG29" s="17"/>
      <c r="AH29" s="60"/>
      <c r="AI29" s="60"/>
      <c r="AJ29" s="144"/>
      <c r="AK29" s="144"/>
      <c r="AL29" s="61"/>
      <c r="AM29" s="90"/>
      <c r="AN29" s="91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71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149"/>
      <c r="AH30" s="150"/>
      <c r="AI30" s="150"/>
      <c r="AJ30" s="151"/>
      <c r="AK30" s="149"/>
      <c r="AL30" s="150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71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149"/>
      <c r="AH31" s="149"/>
      <c r="AI31" s="149"/>
      <c r="AJ31" s="149"/>
      <c r="AK31" s="149"/>
      <c r="AL31" s="149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71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149"/>
      <c r="AH32" s="149"/>
      <c r="AI32" s="149"/>
      <c r="AJ32" s="149"/>
      <c r="AK32" s="149"/>
      <c r="AL32" s="149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71"/>
      <c r="B33" s="62" t="s">
        <v>132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149"/>
      <c r="AH33" s="149"/>
      <c r="AI33" s="149"/>
      <c r="AJ33" s="149"/>
      <c r="AK33" s="149"/>
      <c r="AL33" s="149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71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149"/>
      <c r="AH34" s="149"/>
      <c r="AI34" s="149"/>
      <c r="AJ34" s="149"/>
      <c r="AK34" s="149"/>
      <c r="AL34" s="149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72"/>
      <c r="B35" s="62" t="s">
        <v>142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149"/>
      <c r="AH35" s="149"/>
      <c r="AI35" s="149"/>
      <c r="AJ35" s="149"/>
      <c r="AK35" s="149"/>
      <c r="AL35" s="149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70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71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71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71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71"/>
      <c r="B41" s="62" t="s">
        <v>132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71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.75" customHeight="1">
      <c r="A43" s="172"/>
      <c r="B43" s="62" t="s">
        <v>142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70" t="s">
        <v>21</v>
      </c>
      <c r="B44" s="58" t="s">
        <v>13</v>
      </c>
      <c r="C44" s="59"/>
      <c r="D44" s="60"/>
      <c r="E44" s="60"/>
      <c r="F44" s="60"/>
      <c r="G44" s="60"/>
      <c r="H44" s="61"/>
      <c r="I44" s="17"/>
      <c r="J44" s="60"/>
      <c r="K44" s="60"/>
      <c r="L44" s="60"/>
      <c r="M44" s="60"/>
      <c r="N44" s="82"/>
      <c r="O44" s="17"/>
      <c r="P44" s="60"/>
      <c r="Q44" s="60"/>
      <c r="R44" s="60"/>
      <c r="S44" s="60"/>
      <c r="T44" s="82"/>
      <c r="U44" s="17"/>
      <c r="V44" s="60"/>
      <c r="W44" s="60"/>
      <c r="X44" s="60"/>
      <c r="Y44" s="60"/>
      <c r="Z44" s="82"/>
      <c r="AA44" s="17"/>
      <c r="AB44" s="60"/>
      <c r="AC44" s="60"/>
      <c r="AD44" s="60"/>
      <c r="AE44" s="60"/>
      <c r="AF44" s="82"/>
      <c r="AG44" s="17"/>
      <c r="AH44" s="60"/>
      <c r="AI44" s="60"/>
      <c r="AJ44" s="144"/>
      <c r="AK44" s="144"/>
      <c r="AL44" s="61">
        <v>1</v>
      </c>
      <c r="AM44" s="90"/>
      <c r="AN44" s="91"/>
      <c r="AO44" s="99">
        <f t="shared" si="4"/>
        <v>1</v>
      </c>
      <c r="AP44" s="139">
        <f t="shared" si="1"/>
        <v>25</v>
      </c>
    </row>
    <row r="45" spans="1:42" ht="14.25" customHeight="1">
      <c r="A45" s="171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149"/>
      <c r="AH45" s="150"/>
      <c r="AI45" s="150"/>
      <c r="AJ45" s="151"/>
      <c r="AK45" s="149"/>
      <c r="AL45" s="150"/>
      <c r="AM45" s="94"/>
      <c r="AN45" s="95"/>
      <c r="AO45" s="92">
        <f t="shared" si="4"/>
        <v>0</v>
      </c>
      <c r="AP45" s="93">
        <f t="shared" si="1"/>
        <v>0</v>
      </c>
    </row>
    <row r="46" spans="1:42" ht="14.25" customHeight="1">
      <c r="A46" s="171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>
        <v>1</v>
      </c>
      <c r="P46" s="64">
        <v>1</v>
      </c>
      <c r="Q46" s="64">
        <v>1</v>
      </c>
      <c r="R46" s="64"/>
      <c r="S46" s="64"/>
      <c r="T46" s="84">
        <v>1</v>
      </c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149"/>
      <c r="AH46" s="149"/>
      <c r="AI46" s="149"/>
      <c r="AJ46" s="149"/>
      <c r="AK46" s="149"/>
      <c r="AL46" s="149">
        <v>1</v>
      </c>
      <c r="AM46" s="94"/>
      <c r="AN46" s="95"/>
      <c r="AO46" s="92">
        <f t="shared" si="4"/>
        <v>5</v>
      </c>
      <c r="AP46" s="93">
        <f t="shared" si="1"/>
        <v>125</v>
      </c>
    </row>
    <row r="47" spans="1:42" ht="14.25" customHeight="1">
      <c r="A47" s="171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149"/>
      <c r="AH47" s="149"/>
      <c r="AI47" s="149"/>
      <c r="AJ47" s="149"/>
      <c r="AK47" s="149"/>
      <c r="AL47" s="149"/>
      <c r="AM47" s="94"/>
      <c r="AN47" s="95"/>
      <c r="AO47" s="92">
        <f t="shared" si="4"/>
        <v>0</v>
      </c>
      <c r="AP47" s="93">
        <f t="shared" si="1"/>
        <v>0</v>
      </c>
    </row>
    <row r="48" spans="1:42" ht="14.25" customHeight="1">
      <c r="A48" s="171"/>
      <c r="B48" s="62" t="s">
        <v>132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>
        <v>2</v>
      </c>
      <c r="P48" s="64">
        <v>1</v>
      </c>
      <c r="Q48" s="64"/>
      <c r="R48" s="64"/>
      <c r="S48" s="64"/>
      <c r="T48" s="84">
        <v>1</v>
      </c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149"/>
      <c r="AH48" s="149"/>
      <c r="AI48" s="149"/>
      <c r="AJ48" s="149"/>
      <c r="AK48" s="149"/>
      <c r="AL48" s="149"/>
      <c r="AM48" s="63"/>
      <c r="AN48" s="134"/>
      <c r="AO48" s="92">
        <f t="shared" si="4"/>
        <v>4</v>
      </c>
      <c r="AP48" s="93">
        <f t="shared" si="1"/>
        <v>100</v>
      </c>
    </row>
    <row r="49" spans="1:46" ht="14.25" customHeight="1">
      <c r="A49" s="171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>
        <v>1</v>
      </c>
      <c r="S49" s="64">
        <v>2</v>
      </c>
      <c r="T49" s="84"/>
      <c r="U49" s="83">
        <v>1</v>
      </c>
      <c r="V49" s="64">
        <v>2</v>
      </c>
      <c r="W49" s="64">
        <v>2</v>
      </c>
      <c r="X49" s="64">
        <v>2</v>
      </c>
      <c r="Y49" s="64">
        <v>1</v>
      </c>
      <c r="Z49" s="84">
        <v>1</v>
      </c>
      <c r="AA49" s="83">
        <v>2</v>
      </c>
      <c r="AB49" s="64">
        <v>2</v>
      </c>
      <c r="AC49" s="64">
        <v>1</v>
      </c>
      <c r="AD49" s="64">
        <v>1</v>
      </c>
      <c r="AE49" s="64">
        <v>1</v>
      </c>
      <c r="AF49" s="84"/>
      <c r="AG49" s="149">
        <v>1</v>
      </c>
      <c r="AH49" s="149"/>
      <c r="AI49" s="149">
        <v>1</v>
      </c>
      <c r="AJ49" s="149">
        <v>2</v>
      </c>
      <c r="AK49" s="149"/>
      <c r="AL49" s="149"/>
      <c r="AM49" s="94"/>
      <c r="AN49" s="95"/>
      <c r="AO49" s="92">
        <f t="shared" si="4"/>
        <v>23</v>
      </c>
      <c r="AP49" s="93">
        <f t="shared" si="1"/>
        <v>575</v>
      </c>
      <c r="AT49" t="s">
        <v>22</v>
      </c>
    </row>
    <row r="50" spans="1:46" ht="14.25" customHeight="1">
      <c r="A50" s="172"/>
      <c r="B50" s="62" t="s">
        <v>142</v>
      </c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>
        <v>1</v>
      </c>
      <c r="S50" s="64">
        <v>1</v>
      </c>
      <c r="T50" s="84"/>
      <c r="U50" s="83">
        <v>1</v>
      </c>
      <c r="V50" s="64">
        <v>1</v>
      </c>
      <c r="W50" s="64">
        <v>1</v>
      </c>
      <c r="X50" s="64">
        <v>2</v>
      </c>
      <c r="Y50" s="64">
        <v>1</v>
      </c>
      <c r="Z50" s="84">
        <v>1</v>
      </c>
      <c r="AA50" s="83">
        <v>2</v>
      </c>
      <c r="AB50" s="64">
        <v>1</v>
      </c>
      <c r="AC50" s="64">
        <v>1</v>
      </c>
      <c r="AD50" s="64">
        <v>1</v>
      </c>
      <c r="AE50" s="64">
        <v>1</v>
      </c>
      <c r="AF50" s="84"/>
      <c r="AG50" s="149">
        <v>1</v>
      </c>
      <c r="AH50" s="149"/>
      <c r="AI50" s="149">
        <v>1</v>
      </c>
      <c r="AJ50" s="149">
        <v>1</v>
      </c>
      <c r="AK50" s="149"/>
      <c r="AL50" s="149"/>
      <c r="AM50" s="94"/>
      <c r="AN50" s="95"/>
      <c r="AO50" s="92">
        <f t="shared" si="4"/>
        <v>18</v>
      </c>
      <c r="AP50" s="93">
        <f>AO50*20</f>
        <v>360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70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71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71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71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71"/>
      <c r="B56" s="62" t="s">
        <v>132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71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72"/>
      <c r="B58" s="62" t="s">
        <v>142</v>
      </c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65" t="s">
        <v>25</v>
      </c>
      <c r="C61" s="165"/>
      <c r="D61" s="165"/>
      <c r="E61" s="73"/>
      <c r="F61" s="176" t="s">
        <v>26</v>
      </c>
      <c r="G61" s="176"/>
      <c r="H61" s="176"/>
      <c r="I61" s="176"/>
      <c r="J61" s="176"/>
      <c r="K61" s="176"/>
      <c r="L61" s="176"/>
      <c r="M61" s="176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65"/>
      <c r="C62" s="165"/>
      <c r="D62" s="165"/>
      <c r="E62" s="73"/>
      <c r="F62" s="177" t="s">
        <v>27</v>
      </c>
      <c r="G62" s="177"/>
      <c r="H62" s="177"/>
      <c r="I62" s="177"/>
      <c r="J62" s="177" t="s">
        <v>28</v>
      </c>
      <c r="K62" s="177"/>
      <c r="L62" s="177"/>
      <c r="M62" s="177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23</v>
      </c>
      <c r="D63" s="52">
        <f>SUM(AP13:AP19)</f>
        <v>575</v>
      </c>
      <c r="E63" s="68"/>
      <c r="F63" s="178"/>
      <c r="G63" s="166"/>
      <c r="H63" s="166"/>
      <c r="I63" s="166"/>
      <c r="J63" s="179"/>
      <c r="K63" s="179"/>
      <c r="L63" s="179"/>
      <c r="M63" s="180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66"/>
      <c r="G64" s="166"/>
      <c r="H64" s="166"/>
      <c r="I64" s="166"/>
      <c r="J64" s="167"/>
      <c r="K64" s="168"/>
      <c r="L64" s="168"/>
      <c r="M64" s="168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51</v>
      </c>
      <c r="D67" s="52">
        <f>SUM(AP44:AP50)</f>
        <v>1185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74</v>
      </c>
      <c r="D69" s="80">
        <f>SUM(D63:D68)</f>
        <v>1760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69" t="s">
        <v>31</v>
      </c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  <c r="AL71" s="169"/>
      <c r="AM71" s="169"/>
      <c r="AN71" s="169"/>
      <c r="AO71" s="169"/>
      <c r="AP71" s="169"/>
    </row>
    <row r="72" spans="1:42">
      <c r="C72" s="162" t="s">
        <v>0</v>
      </c>
      <c r="D72" s="162"/>
      <c r="E72" s="162"/>
      <c r="F72" s="162"/>
      <c r="G72" s="162"/>
      <c r="H72" s="163"/>
      <c r="I72" s="162" t="s">
        <v>1</v>
      </c>
      <c r="J72" s="162"/>
      <c r="K72" s="162"/>
      <c r="L72" s="162"/>
      <c r="M72" s="162"/>
      <c r="N72" s="163"/>
      <c r="O72" s="161" t="s">
        <v>2</v>
      </c>
      <c r="P72" s="162"/>
      <c r="Q72" s="162"/>
      <c r="R72" s="162"/>
      <c r="S72" s="162"/>
      <c r="T72" s="163"/>
      <c r="U72" s="162" t="s">
        <v>32</v>
      </c>
      <c r="V72" s="162"/>
      <c r="W72" s="162"/>
      <c r="X72" s="162"/>
      <c r="Y72" s="162"/>
      <c r="Z72" s="163"/>
      <c r="AA72" s="162" t="s">
        <v>4</v>
      </c>
      <c r="AB72" s="162"/>
      <c r="AC72" s="162"/>
      <c r="AD72" s="162"/>
      <c r="AE72" s="162"/>
      <c r="AF72" s="163"/>
      <c r="AG72" s="162" t="s">
        <v>5</v>
      </c>
      <c r="AH72" s="162"/>
      <c r="AI72" s="162"/>
      <c r="AJ72" s="162"/>
      <c r="AK72" s="162"/>
      <c r="AL72" s="163"/>
      <c r="AM72" s="174" t="s">
        <v>6</v>
      </c>
      <c r="AN72" s="164" t="s">
        <v>7</v>
      </c>
      <c r="AO72" s="96"/>
      <c r="AP72" s="96"/>
    </row>
    <row r="73" spans="1:42">
      <c r="A73" s="173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174"/>
      <c r="AN73" s="164"/>
      <c r="AO73" s="116" t="s">
        <v>10</v>
      </c>
      <c r="AP73" s="117" t="s">
        <v>11</v>
      </c>
    </row>
    <row r="74" spans="1:42" ht="15" customHeight="1">
      <c r="A74" s="173"/>
      <c r="B74" s="105" t="str">
        <f>B13</f>
        <v>3 mm progress ex</v>
      </c>
      <c r="C74" s="17">
        <f t="shared" ref="C74:AN74" si="5">SUM(C13+C21+C29+C37+C44+C52)</f>
        <v>0</v>
      </c>
      <c r="D74" s="17">
        <f t="shared" si="5"/>
        <v>0</v>
      </c>
      <c r="E74" s="17">
        <f t="shared" si="5"/>
        <v>0</v>
      </c>
      <c r="F74" s="17">
        <f t="shared" si="5"/>
        <v>0</v>
      </c>
      <c r="G74" s="17">
        <f t="shared" si="5"/>
        <v>0</v>
      </c>
      <c r="H74" s="106">
        <f t="shared" si="5"/>
        <v>0</v>
      </c>
      <c r="I74" s="17">
        <f t="shared" si="5"/>
        <v>0</v>
      </c>
      <c r="J74" s="17">
        <f t="shared" si="5"/>
        <v>0</v>
      </c>
      <c r="K74" s="17">
        <f t="shared" si="5"/>
        <v>0</v>
      </c>
      <c r="L74" s="17">
        <f t="shared" si="5"/>
        <v>0</v>
      </c>
      <c r="M74" s="17">
        <f t="shared" si="5"/>
        <v>0</v>
      </c>
      <c r="N74" s="114">
        <f t="shared" si="5"/>
        <v>0</v>
      </c>
      <c r="O74" s="17">
        <f t="shared" si="5"/>
        <v>0</v>
      </c>
      <c r="P74" s="17">
        <f t="shared" si="5"/>
        <v>0</v>
      </c>
      <c r="Q74" s="17">
        <f t="shared" si="5"/>
        <v>0</v>
      </c>
      <c r="R74" s="17">
        <f t="shared" si="5"/>
        <v>0</v>
      </c>
      <c r="S74" s="17">
        <f t="shared" si="5"/>
        <v>0</v>
      </c>
      <c r="T74" s="114">
        <f t="shared" si="5"/>
        <v>0</v>
      </c>
      <c r="U74" s="17">
        <f t="shared" si="5"/>
        <v>0</v>
      </c>
      <c r="V74" s="17">
        <f t="shared" si="5"/>
        <v>0</v>
      </c>
      <c r="W74" s="17">
        <f t="shared" si="5"/>
        <v>0</v>
      </c>
      <c r="X74" s="17">
        <f t="shared" si="5"/>
        <v>0</v>
      </c>
      <c r="Y74" s="17">
        <f t="shared" si="5"/>
        <v>0</v>
      </c>
      <c r="Z74" s="114">
        <f t="shared" si="5"/>
        <v>0</v>
      </c>
      <c r="AA74" s="17">
        <f t="shared" si="5"/>
        <v>0</v>
      </c>
      <c r="AB74" s="17">
        <f t="shared" si="5"/>
        <v>0</v>
      </c>
      <c r="AC74" s="17">
        <f t="shared" si="5"/>
        <v>0</v>
      </c>
      <c r="AD74" s="17">
        <f t="shared" si="5"/>
        <v>0</v>
      </c>
      <c r="AE74" s="17">
        <f t="shared" si="5"/>
        <v>0</v>
      </c>
      <c r="AF74" s="114">
        <f t="shared" si="5"/>
        <v>0</v>
      </c>
      <c r="AG74" s="17">
        <f t="shared" si="5"/>
        <v>0</v>
      </c>
      <c r="AH74" s="17">
        <f t="shared" si="5"/>
        <v>0</v>
      </c>
      <c r="AI74" s="17">
        <f t="shared" si="5"/>
        <v>0</v>
      </c>
      <c r="AJ74" s="17">
        <f t="shared" si="5"/>
        <v>0</v>
      </c>
      <c r="AK74" s="17">
        <f t="shared" si="5"/>
        <v>0</v>
      </c>
      <c r="AL74" s="17">
        <f t="shared" si="5"/>
        <v>2</v>
      </c>
      <c r="AM74" s="17">
        <f t="shared" si="5"/>
        <v>0</v>
      </c>
      <c r="AN74" s="114">
        <f t="shared" si="5"/>
        <v>0</v>
      </c>
      <c r="AO74" s="52">
        <f>SUM(C74:AN74)</f>
        <v>2</v>
      </c>
      <c r="AP74" s="118">
        <f>AO74*25</f>
        <v>50</v>
      </c>
    </row>
    <row r="75" spans="1:42">
      <c r="A75" s="173"/>
      <c r="B75" s="105" t="str">
        <f t="shared" ref="B75:B79" si="6">B14</f>
        <v xml:space="preserve">4,5 mm metabólica </v>
      </c>
      <c r="C75" s="17">
        <f t="shared" ref="C75:AN75" si="7">SUM(C14+C22+C30+C38+C45+C53)</f>
        <v>0</v>
      </c>
      <c r="D75" s="17">
        <f t="shared" si="7"/>
        <v>0</v>
      </c>
      <c r="E75" s="17">
        <f t="shared" si="7"/>
        <v>0</v>
      </c>
      <c r="F75" s="17">
        <f t="shared" si="7"/>
        <v>0</v>
      </c>
      <c r="G75" s="17">
        <f t="shared" si="7"/>
        <v>0</v>
      </c>
      <c r="H75" s="106">
        <f t="shared" si="7"/>
        <v>0</v>
      </c>
      <c r="I75" s="17">
        <f t="shared" si="7"/>
        <v>0</v>
      </c>
      <c r="J75" s="17">
        <f t="shared" si="7"/>
        <v>0</v>
      </c>
      <c r="K75" s="17">
        <f t="shared" si="7"/>
        <v>0</v>
      </c>
      <c r="L75" s="17">
        <f t="shared" si="7"/>
        <v>0</v>
      </c>
      <c r="M75" s="17">
        <f t="shared" si="7"/>
        <v>0</v>
      </c>
      <c r="N75" s="114">
        <f t="shared" si="7"/>
        <v>0</v>
      </c>
      <c r="O75" s="17">
        <f t="shared" si="7"/>
        <v>0</v>
      </c>
      <c r="P75" s="17">
        <f t="shared" si="7"/>
        <v>0</v>
      </c>
      <c r="Q75" s="17">
        <f t="shared" si="7"/>
        <v>0</v>
      </c>
      <c r="R75" s="17">
        <f t="shared" si="7"/>
        <v>0</v>
      </c>
      <c r="S75" s="17">
        <f t="shared" si="7"/>
        <v>0</v>
      </c>
      <c r="T75" s="114">
        <f t="shared" si="7"/>
        <v>0</v>
      </c>
      <c r="U75" s="17">
        <f t="shared" si="7"/>
        <v>0</v>
      </c>
      <c r="V75" s="17">
        <f t="shared" si="7"/>
        <v>0</v>
      </c>
      <c r="W75" s="17">
        <f t="shared" si="7"/>
        <v>0</v>
      </c>
      <c r="X75" s="17">
        <f t="shared" si="7"/>
        <v>0</v>
      </c>
      <c r="Y75" s="17">
        <f t="shared" si="7"/>
        <v>0</v>
      </c>
      <c r="Z75" s="114">
        <f t="shared" si="7"/>
        <v>0</v>
      </c>
      <c r="AA75" s="17">
        <f t="shared" si="7"/>
        <v>0</v>
      </c>
      <c r="AB75" s="17">
        <f t="shared" si="7"/>
        <v>0</v>
      </c>
      <c r="AC75" s="17">
        <f t="shared" si="7"/>
        <v>0</v>
      </c>
      <c r="AD75" s="17">
        <f t="shared" si="7"/>
        <v>0</v>
      </c>
      <c r="AE75" s="17">
        <f t="shared" si="7"/>
        <v>0</v>
      </c>
      <c r="AF75" s="114">
        <f t="shared" si="7"/>
        <v>0</v>
      </c>
      <c r="AG75" s="17">
        <f t="shared" si="7"/>
        <v>0</v>
      </c>
      <c r="AH75" s="17">
        <f t="shared" si="7"/>
        <v>0</v>
      </c>
      <c r="AI75" s="17">
        <f t="shared" si="7"/>
        <v>0</v>
      </c>
      <c r="AJ75" s="17">
        <f t="shared" si="7"/>
        <v>0</v>
      </c>
      <c r="AK75" s="17">
        <f t="shared" si="7"/>
        <v>0</v>
      </c>
      <c r="AL75" s="17">
        <f t="shared" si="7"/>
        <v>0</v>
      </c>
      <c r="AM75" s="17">
        <f t="shared" si="7"/>
        <v>0</v>
      </c>
      <c r="AN75" s="114">
        <f t="shared" si="7"/>
        <v>0</v>
      </c>
      <c r="AO75" s="52">
        <f t="shared" ref="AO75:AO80" si="8">SUM(C75:AN75)</f>
        <v>0</v>
      </c>
      <c r="AP75" s="118">
        <f t="shared" ref="AP75:AP79" si="9">AO75*25</f>
        <v>0</v>
      </c>
    </row>
    <row r="76" spans="1:42">
      <c r="A76" s="173"/>
      <c r="B76" s="105" t="str">
        <f t="shared" si="6"/>
        <v>4.5 mm Progress</v>
      </c>
      <c r="C76" s="17">
        <f t="shared" ref="C76:AN76" si="10">SUM(C15+C23+C31+C39+C46+C54)</f>
        <v>0</v>
      </c>
      <c r="D76" s="17">
        <f t="shared" si="10"/>
        <v>0</v>
      </c>
      <c r="E76" s="17">
        <f t="shared" si="10"/>
        <v>0</v>
      </c>
      <c r="F76" s="17">
        <f t="shared" si="10"/>
        <v>0</v>
      </c>
      <c r="G76" s="17">
        <f t="shared" si="10"/>
        <v>0</v>
      </c>
      <c r="H76" s="106">
        <f t="shared" si="10"/>
        <v>0</v>
      </c>
      <c r="I76" s="17">
        <f t="shared" si="10"/>
        <v>0</v>
      </c>
      <c r="J76" s="17">
        <f t="shared" si="10"/>
        <v>0</v>
      </c>
      <c r="K76" s="17">
        <f t="shared" si="10"/>
        <v>0</v>
      </c>
      <c r="L76" s="17">
        <f t="shared" si="10"/>
        <v>0</v>
      </c>
      <c r="M76" s="17">
        <f t="shared" si="10"/>
        <v>0</v>
      </c>
      <c r="N76" s="114">
        <f t="shared" si="10"/>
        <v>0</v>
      </c>
      <c r="O76" s="17">
        <f t="shared" si="10"/>
        <v>1</v>
      </c>
      <c r="P76" s="17">
        <f t="shared" si="10"/>
        <v>2</v>
      </c>
      <c r="Q76" s="17">
        <f t="shared" si="10"/>
        <v>2</v>
      </c>
      <c r="R76" s="17">
        <f t="shared" si="10"/>
        <v>0</v>
      </c>
      <c r="S76" s="17">
        <f t="shared" si="10"/>
        <v>0</v>
      </c>
      <c r="T76" s="114">
        <f t="shared" si="10"/>
        <v>1</v>
      </c>
      <c r="U76" s="17">
        <f t="shared" si="10"/>
        <v>0</v>
      </c>
      <c r="V76" s="17">
        <f t="shared" si="10"/>
        <v>0</v>
      </c>
      <c r="W76" s="17">
        <f t="shared" si="10"/>
        <v>0</v>
      </c>
      <c r="X76" s="17">
        <f t="shared" si="10"/>
        <v>0</v>
      </c>
      <c r="Y76" s="17">
        <f t="shared" si="10"/>
        <v>0</v>
      </c>
      <c r="Z76" s="114">
        <f t="shared" si="10"/>
        <v>0</v>
      </c>
      <c r="AA76" s="17">
        <f t="shared" si="10"/>
        <v>0</v>
      </c>
      <c r="AB76" s="17">
        <f t="shared" si="10"/>
        <v>0</v>
      </c>
      <c r="AC76" s="17">
        <f t="shared" si="10"/>
        <v>0</v>
      </c>
      <c r="AD76" s="17">
        <f t="shared" si="10"/>
        <v>0</v>
      </c>
      <c r="AE76" s="17">
        <f t="shared" si="10"/>
        <v>0</v>
      </c>
      <c r="AF76" s="114">
        <f t="shared" si="10"/>
        <v>0</v>
      </c>
      <c r="AG76" s="17">
        <f t="shared" si="10"/>
        <v>0</v>
      </c>
      <c r="AH76" s="17">
        <f t="shared" si="10"/>
        <v>0</v>
      </c>
      <c r="AI76" s="17">
        <f t="shared" si="10"/>
        <v>0</v>
      </c>
      <c r="AJ76" s="17">
        <f t="shared" si="10"/>
        <v>0</v>
      </c>
      <c r="AK76" s="17">
        <f t="shared" si="10"/>
        <v>0</v>
      </c>
      <c r="AL76" s="17">
        <f t="shared" si="10"/>
        <v>2</v>
      </c>
      <c r="AM76" s="17">
        <f t="shared" si="10"/>
        <v>0</v>
      </c>
      <c r="AN76" s="114">
        <f t="shared" si="10"/>
        <v>0</v>
      </c>
      <c r="AO76" s="52">
        <f t="shared" si="8"/>
        <v>8</v>
      </c>
      <c r="AP76" s="118">
        <f t="shared" si="9"/>
        <v>200</v>
      </c>
    </row>
    <row r="77" spans="1:42">
      <c r="A77" s="173"/>
      <c r="B77" s="105" t="str">
        <f t="shared" si="6"/>
        <v>6 mm Metabolica</v>
      </c>
      <c r="C77" s="17">
        <f t="shared" ref="C77:AN77" si="11">SUM(C16+C24+C32+C40+C47+C55)</f>
        <v>0</v>
      </c>
      <c r="D77" s="17">
        <f t="shared" si="11"/>
        <v>0</v>
      </c>
      <c r="E77" s="17">
        <f t="shared" si="11"/>
        <v>0</v>
      </c>
      <c r="F77" s="17">
        <f t="shared" si="11"/>
        <v>0</v>
      </c>
      <c r="G77" s="17">
        <f t="shared" si="11"/>
        <v>0</v>
      </c>
      <c r="H77" s="106">
        <f t="shared" si="11"/>
        <v>0</v>
      </c>
      <c r="I77" s="17">
        <f t="shared" si="11"/>
        <v>0</v>
      </c>
      <c r="J77" s="17">
        <f t="shared" si="11"/>
        <v>0</v>
      </c>
      <c r="K77" s="17">
        <f t="shared" si="11"/>
        <v>0</v>
      </c>
      <c r="L77" s="17">
        <f t="shared" si="11"/>
        <v>0</v>
      </c>
      <c r="M77" s="17">
        <f t="shared" si="11"/>
        <v>0</v>
      </c>
      <c r="N77" s="114">
        <f t="shared" si="11"/>
        <v>0</v>
      </c>
      <c r="O77" s="17">
        <f t="shared" si="11"/>
        <v>0</v>
      </c>
      <c r="P77" s="17">
        <f t="shared" si="11"/>
        <v>0</v>
      </c>
      <c r="Q77" s="17">
        <f t="shared" si="11"/>
        <v>0</v>
      </c>
      <c r="R77" s="17">
        <f t="shared" si="11"/>
        <v>0</v>
      </c>
      <c r="S77" s="17">
        <f t="shared" si="11"/>
        <v>0</v>
      </c>
      <c r="T77" s="114">
        <f t="shared" si="11"/>
        <v>0</v>
      </c>
      <c r="U77" s="17">
        <f t="shared" si="11"/>
        <v>0</v>
      </c>
      <c r="V77" s="17">
        <f t="shared" si="11"/>
        <v>0</v>
      </c>
      <c r="W77" s="17">
        <f t="shared" si="11"/>
        <v>0</v>
      </c>
      <c r="X77" s="17">
        <f t="shared" si="11"/>
        <v>0</v>
      </c>
      <c r="Y77" s="17">
        <f t="shared" si="11"/>
        <v>0</v>
      </c>
      <c r="Z77" s="114">
        <f t="shared" si="11"/>
        <v>0</v>
      </c>
      <c r="AA77" s="17">
        <f t="shared" si="11"/>
        <v>0</v>
      </c>
      <c r="AB77" s="17">
        <f t="shared" si="11"/>
        <v>0</v>
      </c>
      <c r="AC77" s="17">
        <f t="shared" si="11"/>
        <v>0</v>
      </c>
      <c r="AD77" s="17">
        <f t="shared" si="11"/>
        <v>0</v>
      </c>
      <c r="AE77" s="17">
        <f t="shared" si="11"/>
        <v>0</v>
      </c>
      <c r="AF77" s="114">
        <f t="shared" si="11"/>
        <v>0</v>
      </c>
      <c r="AG77" s="17">
        <f t="shared" si="11"/>
        <v>0</v>
      </c>
      <c r="AH77" s="17">
        <f t="shared" si="11"/>
        <v>0</v>
      </c>
      <c r="AI77" s="17">
        <f t="shared" si="11"/>
        <v>0</v>
      </c>
      <c r="AJ77" s="17">
        <f t="shared" si="11"/>
        <v>0</v>
      </c>
      <c r="AK77" s="17">
        <f t="shared" si="11"/>
        <v>0</v>
      </c>
      <c r="AL77" s="17">
        <f t="shared" si="11"/>
        <v>0</v>
      </c>
      <c r="AM77" s="17">
        <f t="shared" si="11"/>
        <v>0</v>
      </c>
      <c r="AN77" s="114">
        <f t="shared" si="11"/>
        <v>0</v>
      </c>
      <c r="AO77" s="52">
        <f t="shared" si="8"/>
        <v>0</v>
      </c>
      <c r="AP77" s="118">
        <f t="shared" si="9"/>
        <v>0</v>
      </c>
    </row>
    <row r="78" spans="1:42">
      <c r="A78" s="173"/>
      <c r="B78" s="105" t="str">
        <f t="shared" si="6"/>
        <v>6 mm Progress</v>
      </c>
      <c r="C78" s="17">
        <f t="shared" ref="C78:AN78" si="12">SUM(C17+C25+C33+C41+C48+C56)</f>
        <v>0</v>
      </c>
      <c r="D78" s="17">
        <f t="shared" si="12"/>
        <v>0</v>
      </c>
      <c r="E78" s="17">
        <f t="shared" si="12"/>
        <v>0</v>
      </c>
      <c r="F78" s="17">
        <f t="shared" si="12"/>
        <v>0</v>
      </c>
      <c r="G78" s="17">
        <f t="shared" si="12"/>
        <v>0</v>
      </c>
      <c r="H78" s="106">
        <f t="shared" si="12"/>
        <v>0</v>
      </c>
      <c r="I78" s="17">
        <f t="shared" si="12"/>
        <v>0</v>
      </c>
      <c r="J78" s="17">
        <f t="shared" si="12"/>
        <v>0</v>
      </c>
      <c r="K78" s="17">
        <f t="shared" si="12"/>
        <v>0</v>
      </c>
      <c r="L78" s="17">
        <f t="shared" si="12"/>
        <v>0</v>
      </c>
      <c r="M78" s="17">
        <f t="shared" si="12"/>
        <v>0</v>
      </c>
      <c r="N78" s="114">
        <f t="shared" si="12"/>
        <v>0</v>
      </c>
      <c r="O78" s="17">
        <f t="shared" si="12"/>
        <v>3</v>
      </c>
      <c r="P78" s="17">
        <f t="shared" si="12"/>
        <v>1</v>
      </c>
      <c r="Q78" s="17">
        <f t="shared" si="12"/>
        <v>0</v>
      </c>
      <c r="R78" s="17">
        <f t="shared" si="12"/>
        <v>1</v>
      </c>
      <c r="S78" s="17">
        <f t="shared" si="12"/>
        <v>1</v>
      </c>
      <c r="T78" s="114">
        <f t="shared" si="12"/>
        <v>1</v>
      </c>
      <c r="U78" s="17">
        <f t="shared" si="12"/>
        <v>1</v>
      </c>
      <c r="V78" s="17">
        <f t="shared" si="12"/>
        <v>1</v>
      </c>
      <c r="W78" s="17">
        <f t="shared" si="12"/>
        <v>1</v>
      </c>
      <c r="X78" s="17">
        <f t="shared" si="12"/>
        <v>1</v>
      </c>
      <c r="Y78" s="17">
        <f t="shared" si="12"/>
        <v>1</v>
      </c>
      <c r="Z78" s="114">
        <f t="shared" si="12"/>
        <v>1</v>
      </c>
      <c r="AA78" s="17">
        <f t="shared" si="12"/>
        <v>0</v>
      </c>
      <c r="AB78" s="17">
        <f t="shared" si="12"/>
        <v>0</v>
      </c>
      <c r="AC78" s="17">
        <f t="shared" si="12"/>
        <v>0</v>
      </c>
      <c r="AD78" s="17">
        <f t="shared" si="12"/>
        <v>0</v>
      </c>
      <c r="AE78" s="17">
        <f t="shared" si="12"/>
        <v>0</v>
      </c>
      <c r="AF78" s="114">
        <f t="shared" si="12"/>
        <v>0</v>
      </c>
      <c r="AG78" s="17">
        <f t="shared" si="12"/>
        <v>0</v>
      </c>
      <c r="AH78" s="17">
        <f t="shared" si="12"/>
        <v>0</v>
      </c>
      <c r="AI78" s="17">
        <f t="shared" si="12"/>
        <v>0</v>
      </c>
      <c r="AJ78" s="17">
        <f t="shared" si="12"/>
        <v>0</v>
      </c>
      <c r="AK78" s="17">
        <f t="shared" si="12"/>
        <v>0</v>
      </c>
      <c r="AL78" s="17">
        <f t="shared" si="12"/>
        <v>0</v>
      </c>
      <c r="AM78" s="17">
        <f t="shared" si="12"/>
        <v>0</v>
      </c>
      <c r="AN78" s="114">
        <f t="shared" si="12"/>
        <v>0</v>
      </c>
      <c r="AO78" s="52">
        <f t="shared" si="8"/>
        <v>13</v>
      </c>
      <c r="AP78" s="118">
        <f t="shared" si="9"/>
        <v>325</v>
      </c>
    </row>
    <row r="79" spans="1:42">
      <c r="A79" s="173"/>
      <c r="B79" s="105" t="str">
        <f t="shared" si="6"/>
        <v>8 mm Progress</v>
      </c>
      <c r="C79" s="17">
        <f t="shared" ref="C79:AN79" si="13">SUM(C18+C26+C34+C42+C49+C57)</f>
        <v>0</v>
      </c>
      <c r="D79" s="17">
        <f t="shared" si="13"/>
        <v>0</v>
      </c>
      <c r="E79" s="17">
        <f t="shared" si="13"/>
        <v>0</v>
      </c>
      <c r="F79" s="17">
        <f t="shared" si="13"/>
        <v>0</v>
      </c>
      <c r="G79" s="17">
        <f t="shared" si="13"/>
        <v>0</v>
      </c>
      <c r="H79" s="106">
        <f t="shared" si="13"/>
        <v>0</v>
      </c>
      <c r="I79" s="17">
        <f t="shared" si="13"/>
        <v>0</v>
      </c>
      <c r="J79" s="17">
        <f t="shared" si="13"/>
        <v>0</v>
      </c>
      <c r="K79" s="17">
        <f t="shared" si="13"/>
        <v>0</v>
      </c>
      <c r="L79" s="17">
        <f t="shared" si="13"/>
        <v>0</v>
      </c>
      <c r="M79" s="17">
        <f t="shared" si="13"/>
        <v>0</v>
      </c>
      <c r="N79" s="114">
        <f t="shared" si="13"/>
        <v>0</v>
      </c>
      <c r="O79" s="17">
        <f t="shared" si="13"/>
        <v>0</v>
      </c>
      <c r="P79" s="17">
        <f t="shared" si="13"/>
        <v>0</v>
      </c>
      <c r="Q79" s="17">
        <f t="shared" si="13"/>
        <v>0</v>
      </c>
      <c r="R79" s="17">
        <f t="shared" si="13"/>
        <v>1</v>
      </c>
      <c r="S79" s="17">
        <f t="shared" si="13"/>
        <v>2</v>
      </c>
      <c r="T79" s="114">
        <f t="shared" si="13"/>
        <v>0</v>
      </c>
      <c r="U79" s="17">
        <f t="shared" si="13"/>
        <v>1</v>
      </c>
      <c r="V79" s="17">
        <f t="shared" si="13"/>
        <v>2</v>
      </c>
      <c r="W79" s="17">
        <f t="shared" si="13"/>
        <v>2</v>
      </c>
      <c r="X79" s="17">
        <f t="shared" si="13"/>
        <v>2</v>
      </c>
      <c r="Y79" s="17">
        <f t="shared" si="13"/>
        <v>1</v>
      </c>
      <c r="Z79" s="114">
        <f t="shared" si="13"/>
        <v>1</v>
      </c>
      <c r="AA79" s="17">
        <f t="shared" si="13"/>
        <v>2</v>
      </c>
      <c r="AB79" s="17">
        <f t="shared" si="13"/>
        <v>2</v>
      </c>
      <c r="AC79" s="17">
        <f t="shared" si="13"/>
        <v>1</v>
      </c>
      <c r="AD79" s="17">
        <f t="shared" si="13"/>
        <v>1</v>
      </c>
      <c r="AE79" s="17">
        <f t="shared" si="13"/>
        <v>1</v>
      </c>
      <c r="AF79" s="114">
        <f t="shared" si="13"/>
        <v>0</v>
      </c>
      <c r="AG79" s="17">
        <f t="shared" si="13"/>
        <v>1</v>
      </c>
      <c r="AH79" s="17">
        <f t="shared" si="13"/>
        <v>0</v>
      </c>
      <c r="AI79" s="17">
        <f t="shared" si="13"/>
        <v>1</v>
      </c>
      <c r="AJ79" s="17">
        <f t="shared" si="13"/>
        <v>2</v>
      </c>
      <c r="AK79" s="17">
        <f t="shared" si="13"/>
        <v>0</v>
      </c>
      <c r="AL79" s="17">
        <f t="shared" si="13"/>
        <v>0</v>
      </c>
      <c r="AM79" s="17">
        <f t="shared" si="13"/>
        <v>0</v>
      </c>
      <c r="AN79" s="114">
        <f t="shared" si="13"/>
        <v>0</v>
      </c>
      <c r="AO79" s="52">
        <f t="shared" si="8"/>
        <v>23</v>
      </c>
      <c r="AP79" s="118">
        <f t="shared" si="9"/>
        <v>575</v>
      </c>
    </row>
    <row r="80" spans="1:42">
      <c r="A80" s="173"/>
      <c r="B80" s="105" t="s">
        <v>23</v>
      </c>
      <c r="C80" s="17">
        <f t="shared" ref="C80:AN80" si="14">SUM(C19+C27+C35+C43+C50+C58)</f>
        <v>0</v>
      </c>
      <c r="D80" s="17">
        <f t="shared" si="14"/>
        <v>0</v>
      </c>
      <c r="E80" s="17">
        <f t="shared" si="14"/>
        <v>0</v>
      </c>
      <c r="F80" s="17">
        <f t="shared" si="14"/>
        <v>0</v>
      </c>
      <c r="G80" s="17">
        <f t="shared" si="14"/>
        <v>0</v>
      </c>
      <c r="H80" s="122">
        <f t="shared" si="14"/>
        <v>0</v>
      </c>
      <c r="I80" s="17">
        <f t="shared" si="14"/>
        <v>0</v>
      </c>
      <c r="J80" s="17">
        <f t="shared" si="14"/>
        <v>0</v>
      </c>
      <c r="K80" s="17">
        <f t="shared" si="14"/>
        <v>0</v>
      </c>
      <c r="L80" s="17">
        <f t="shared" si="14"/>
        <v>0</v>
      </c>
      <c r="M80" s="17">
        <f t="shared" si="14"/>
        <v>0</v>
      </c>
      <c r="N80" s="114">
        <f t="shared" si="14"/>
        <v>0</v>
      </c>
      <c r="O80" s="17">
        <f t="shared" si="14"/>
        <v>0</v>
      </c>
      <c r="P80" s="17">
        <f t="shared" si="14"/>
        <v>0</v>
      </c>
      <c r="Q80" s="17">
        <f t="shared" si="14"/>
        <v>0</v>
      </c>
      <c r="R80" s="17">
        <f t="shared" si="14"/>
        <v>1</v>
      </c>
      <c r="S80" s="17">
        <f t="shared" si="14"/>
        <v>2</v>
      </c>
      <c r="T80" s="114">
        <f t="shared" si="14"/>
        <v>0</v>
      </c>
      <c r="U80" s="17">
        <f t="shared" si="14"/>
        <v>2</v>
      </c>
      <c r="V80" s="17">
        <f t="shared" si="14"/>
        <v>2</v>
      </c>
      <c r="W80" s="17">
        <f t="shared" si="14"/>
        <v>2</v>
      </c>
      <c r="X80" s="17">
        <f t="shared" si="14"/>
        <v>3</v>
      </c>
      <c r="Y80" s="17">
        <f t="shared" si="14"/>
        <v>2</v>
      </c>
      <c r="Z80" s="114">
        <f t="shared" si="14"/>
        <v>2</v>
      </c>
      <c r="AA80" s="17">
        <f t="shared" si="14"/>
        <v>3</v>
      </c>
      <c r="AB80" s="17">
        <f t="shared" si="14"/>
        <v>1</v>
      </c>
      <c r="AC80" s="17">
        <f t="shared" si="14"/>
        <v>2</v>
      </c>
      <c r="AD80" s="17">
        <f t="shared" si="14"/>
        <v>2</v>
      </c>
      <c r="AE80" s="17">
        <f t="shared" si="14"/>
        <v>1</v>
      </c>
      <c r="AF80" s="114">
        <f t="shared" si="14"/>
        <v>0</v>
      </c>
      <c r="AG80" s="17">
        <f t="shared" si="14"/>
        <v>1</v>
      </c>
      <c r="AH80" s="17">
        <f t="shared" si="14"/>
        <v>0</v>
      </c>
      <c r="AI80" s="17">
        <f t="shared" si="14"/>
        <v>1</v>
      </c>
      <c r="AJ80" s="17">
        <f t="shared" si="14"/>
        <v>1</v>
      </c>
      <c r="AK80" s="17">
        <f t="shared" si="14"/>
        <v>0</v>
      </c>
      <c r="AL80" s="17">
        <f t="shared" si="14"/>
        <v>0</v>
      </c>
      <c r="AM80" s="17">
        <f t="shared" si="14"/>
        <v>0</v>
      </c>
      <c r="AN80" s="114">
        <f t="shared" si="14"/>
        <v>0</v>
      </c>
      <c r="AO80" s="52">
        <f t="shared" si="8"/>
        <v>28</v>
      </c>
      <c r="AP80" s="118">
        <f>AO80*20</f>
        <v>560</v>
      </c>
    </row>
    <row r="81" spans="1:42" ht="17.25" customHeight="1">
      <c r="C81" s="11">
        <f>SUM(C74:C80)</f>
        <v>0</v>
      </c>
      <c r="D81" s="11">
        <f t="shared" ref="D81:AN81" si="15">SUM(D74:D80)</f>
        <v>0</v>
      </c>
      <c r="E81" s="11">
        <f t="shared" si="15"/>
        <v>0</v>
      </c>
      <c r="F81" s="11">
        <f t="shared" si="15"/>
        <v>0</v>
      </c>
      <c r="G81" s="11">
        <f t="shared" si="15"/>
        <v>0</v>
      </c>
      <c r="H81" s="123">
        <f t="shared" si="15"/>
        <v>0</v>
      </c>
      <c r="I81" s="11">
        <f t="shared" si="15"/>
        <v>0</v>
      </c>
      <c r="J81" s="11">
        <f t="shared" si="15"/>
        <v>0</v>
      </c>
      <c r="K81" s="11">
        <f t="shared" si="15"/>
        <v>0</v>
      </c>
      <c r="L81" s="11">
        <f t="shared" si="15"/>
        <v>0</v>
      </c>
      <c r="M81" s="11">
        <f t="shared" si="15"/>
        <v>0</v>
      </c>
      <c r="N81" s="124">
        <f t="shared" si="15"/>
        <v>0</v>
      </c>
      <c r="O81" s="11">
        <f t="shared" si="15"/>
        <v>4</v>
      </c>
      <c r="P81" s="11">
        <f t="shared" si="15"/>
        <v>3</v>
      </c>
      <c r="Q81" s="11">
        <f t="shared" si="15"/>
        <v>2</v>
      </c>
      <c r="R81" s="11">
        <f t="shared" si="15"/>
        <v>3</v>
      </c>
      <c r="S81" s="11">
        <f t="shared" si="15"/>
        <v>5</v>
      </c>
      <c r="T81" s="124">
        <f t="shared" si="15"/>
        <v>2</v>
      </c>
      <c r="U81" s="11">
        <f t="shared" si="15"/>
        <v>4</v>
      </c>
      <c r="V81" s="11">
        <f t="shared" si="15"/>
        <v>5</v>
      </c>
      <c r="W81" s="11">
        <f t="shared" si="15"/>
        <v>5</v>
      </c>
      <c r="X81" s="11">
        <f t="shared" si="15"/>
        <v>6</v>
      </c>
      <c r="Y81" s="11">
        <f t="shared" si="15"/>
        <v>4</v>
      </c>
      <c r="Z81" s="124">
        <f t="shared" si="15"/>
        <v>4</v>
      </c>
      <c r="AA81" s="11">
        <f t="shared" si="15"/>
        <v>5</v>
      </c>
      <c r="AB81" s="11">
        <f t="shared" si="15"/>
        <v>3</v>
      </c>
      <c r="AC81" s="11">
        <f t="shared" si="15"/>
        <v>3</v>
      </c>
      <c r="AD81" s="11">
        <f t="shared" si="15"/>
        <v>3</v>
      </c>
      <c r="AE81" s="11">
        <f t="shared" si="15"/>
        <v>2</v>
      </c>
      <c r="AF81" s="124">
        <f t="shared" si="15"/>
        <v>0</v>
      </c>
      <c r="AG81" s="11">
        <f t="shared" si="15"/>
        <v>2</v>
      </c>
      <c r="AH81" s="11">
        <f t="shared" si="15"/>
        <v>0</v>
      </c>
      <c r="AI81" s="11">
        <f t="shared" si="15"/>
        <v>2</v>
      </c>
      <c r="AJ81" s="11"/>
      <c r="AK81" s="11"/>
      <c r="AL81" s="124">
        <f t="shared" si="15"/>
        <v>4</v>
      </c>
      <c r="AM81" s="11">
        <f t="shared" si="15"/>
        <v>0</v>
      </c>
      <c r="AN81" s="124">
        <f t="shared" si="15"/>
        <v>0</v>
      </c>
      <c r="AP81" s="125">
        <f>SUM(AP74:AP80)</f>
        <v>1710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8:O8"/>
    <mergeCell ref="P8:AA8"/>
    <mergeCell ref="AB8:AG9"/>
    <mergeCell ref="AH8:AL9"/>
    <mergeCell ref="AM8:AO9"/>
    <mergeCell ref="A9:O9"/>
    <mergeCell ref="P9:AA9"/>
    <mergeCell ref="A5:B5"/>
    <mergeCell ref="C5:E5"/>
    <mergeCell ref="F5:AB6"/>
    <mergeCell ref="AC5:AO6"/>
    <mergeCell ref="A6:B6"/>
    <mergeCell ref="C6:E6"/>
    <mergeCell ref="A1:B1"/>
    <mergeCell ref="C1:E1"/>
    <mergeCell ref="F1:AB2"/>
    <mergeCell ref="AC1:AO4"/>
    <mergeCell ref="A2:B2"/>
    <mergeCell ref="C2:E2"/>
    <mergeCell ref="A3:B3"/>
    <mergeCell ref="C3:E3"/>
    <mergeCell ref="F3:AB4"/>
    <mergeCell ref="A4:B4"/>
    <mergeCell ref="C4:E4"/>
    <mergeCell ref="C72:H72"/>
    <mergeCell ref="I72:N72"/>
    <mergeCell ref="C11:H11"/>
    <mergeCell ref="I11:N11"/>
    <mergeCell ref="O11:T11"/>
    <mergeCell ref="F63:I63"/>
    <mergeCell ref="J63:M63"/>
    <mergeCell ref="U11:Z11"/>
    <mergeCell ref="AA11:AF11"/>
    <mergeCell ref="F61:M61"/>
    <mergeCell ref="F62:I62"/>
    <mergeCell ref="J62:M62"/>
    <mergeCell ref="A13:A19"/>
    <mergeCell ref="A21:A27"/>
    <mergeCell ref="A29:A35"/>
    <mergeCell ref="A37:A43"/>
    <mergeCell ref="A44:A50"/>
    <mergeCell ref="AM11:AM12"/>
    <mergeCell ref="O72:T72"/>
    <mergeCell ref="AN11:AN12"/>
    <mergeCell ref="AN72:AN73"/>
    <mergeCell ref="B61:D62"/>
    <mergeCell ref="F64:G64"/>
    <mergeCell ref="H64:I64"/>
    <mergeCell ref="J64:M64"/>
    <mergeCell ref="A71:AP71"/>
    <mergeCell ref="AA72:AF72"/>
    <mergeCell ref="A52:A58"/>
    <mergeCell ref="A73:A80"/>
    <mergeCell ref="U72:Z72"/>
    <mergeCell ref="AM72:AM73"/>
    <mergeCell ref="AG72:AL72"/>
    <mergeCell ref="AG11:AL11"/>
  </mergeCells>
  <phoneticPr fontId="16" type="noConversion"/>
  <conditionalFormatting sqref="B13:B19">
    <cfRule type="cellIs" dxfId="115" priority="47" operator="equal">
      <formula>0</formula>
    </cfRule>
  </conditionalFormatting>
  <conditionalFormatting sqref="B21:B35">
    <cfRule type="cellIs" dxfId="114" priority="4" operator="equal">
      <formula>0</formula>
    </cfRule>
  </conditionalFormatting>
  <conditionalFormatting sqref="B37:B50">
    <cfRule type="cellIs" dxfId="113" priority="2" operator="equal">
      <formula>0</formula>
    </cfRule>
  </conditionalFormatting>
  <conditionalFormatting sqref="B52:B58">
    <cfRule type="cellIs" dxfId="112" priority="1" operator="equal">
      <formula>0</formula>
    </cfRule>
  </conditionalFormatting>
  <conditionalFormatting sqref="B74:B80">
    <cfRule type="cellIs" dxfId="111" priority="46" operator="equal">
      <formula>0</formula>
    </cfRule>
  </conditionalFormatting>
  <conditionalFormatting sqref="B108:B109">
    <cfRule type="cellIs" dxfId="110" priority="39" operator="equal">
      <formula>0</formula>
    </cfRule>
  </conditionalFormatting>
  <conditionalFormatting sqref="B111:B116">
    <cfRule type="cellIs" dxfId="109" priority="38" operator="equal">
      <formula>0</formula>
    </cfRule>
  </conditionalFormatting>
  <conditionalFormatting sqref="B118:B123">
    <cfRule type="cellIs" dxfId="108" priority="37" operator="equal">
      <formula>0</formula>
    </cfRule>
  </conditionalFormatting>
  <conditionalFormatting sqref="C85:H85">
    <cfRule type="cellIs" dxfId="107" priority="45" operator="equal">
      <formula>0</formula>
    </cfRule>
  </conditionalFormatting>
  <conditionalFormatting sqref="C74:AN80">
    <cfRule type="cellIs" dxfId="106" priority="35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26F8-CBFA-4431-84BD-52A4197738B6}">
  <dimension ref="A1:AT123"/>
  <sheetViews>
    <sheetView topLeftCell="A13" zoomScaleNormal="100" workbookViewId="0">
      <selection activeCell="AB26" sqref="AB26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81" t="s">
        <v>115</v>
      </c>
      <c r="B1" s="182"/>
      <c r="C1" s="183" t="s">
        <v>116</v>
      </c>
      <c r="D1" s="184"/>
      <c r="E1" s="184"/>
      <c r="F1" s="185" t="s">
        <v>94</v>
      </c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</row>
    <row r="2" spans="1:42">
      <c r="A2" s="181" t="s">
        <v>95</v>
      </c>
      <c r="B2" s="182"/>
      <c r="C2" s="183">
        <v>2.2000000000000002</v>
      </c>
      <c r="D2" s="184"/>
      <c r="E2" s="184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</row>
    <row r="3" spans="1:42">
      <c r="A3" s="181" t="s">
        <v>97</v>
      </c>
      <c r="B3" s="182"/>
      <c r="C3" s="186">
        <v>44589</v>
      </c>
      <c r="D3" s="187"/>
      <c r="E3" s="187"/>
      <c r="F3" s="188" t="s">
        <v>117</v>
      </c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</row>
    <row r="4" spans="1:42">
      <c r="A4" s="181" t="s">
        <v>118</v>
      </c>
      <c r="B4" s="182"/>
      <c r="C4" s="183" t="s">
        <v>102</v>
      </c>
      <c r="D4" s="184"/>
      <c r="E4" s="184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</row>
    <row r="5" spans="1:42">
      <c r="A5" s="181" t="s">
        <v>119</v>
      </c>
      <c r="B5" s="182"/>
      <c r="C5" s="183" t="s">
        <v>120</v>
      </c>
      <c r="D5" s="184"/>
      <c r="E5" s="184"/>
      <c r="F5" s="188" t="s">
        <v>104</v>
      </c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9" t="s">
        <v>121</v>
      </c>
      <c r="AD5" s="189"/>
      <c r="AE5" s="189"/>
      <c r="AF5" s="189"/>
      <c r="AG5" s="189"/>
      <c r="AH5" s="189"/>
      <c r="AI5" s="189"/>
      <c r="AJ5" s="189"/>
      <c r="AK5" s="189"/>
      <c r="AL5" s="189"/>
      <c r="AM5" s="189"/>
      <c r="AN5" s="189"/>
      <c r="AO5" s="189"/>
    </row>
    <row r="6" spans="1:42">
      <c r="A6" s="181" t="s">
        <v>122</v>
      </c>
      <c r="B6" s="182"/>
      <c r="C6" s="183" t="s">
        <v>120</v>
      </c>
      <c r="D6" s="184"/>
      <c r="E6" s="184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9"/>
      <c r="AD6" s="189"/>
      <c r="AE6" s="189"/>
      <c r="AF6" s="189"/>
      <c r="AG6" s="189"/>
      <c r="AH6" s="189"/>
      <c r="AI6" s="189"/>
      <c r="AJ6" s="189"/>
      <c r="AK6" s="189"/>
      <c r="AL6" s="189"/>
      <c r="AM6" s="189"/>
      <c r="AN6" s="189"/>
      <c r="AO6" s="189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 ht="15" customHeight="1">
      <c r="A8" s="190" t="s">
        <v>123</v>
      </c>
      <c r="B8" s="191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2" t="s">
        <v>124</v>
      </c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3" t="s">
        <v>159</v>
      </c>
      <c r="AC8" s="193"/>
      <c r="AD8" s="193"/>
      <c r="AE8" s="193"/>
      <c r="AF8" s="193"/>
      <c r="AG8" s="193"/>
      <c r="AH8" s="195">
        <v>6</v>
      </c>
      <c r="AI8" s="195"/>
      <c r="AJ8" s="195"/>
      <c r="AK8" s="195"/>
      <c r="AL8" s="195"/>
      <c r="AM8" s="195">
        <v>12</v>
      </c>
      <c r="AN8" s="195"/>
      <c r="AO8" s="197"/>
    </row>
    <row r="9" spans="1:42" ht="15" customHeight="1">
      <c r="A9" s="199" t="s">
        <v>125</v>
      </c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 t="s">
        <v>125</v>
      </c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194"/>
      <c r="AC9" s="194"/>
      <c r="AD9" s="194"/>
      <c r="AE9" s="194"/>
      <c r="AF9" s="194"/>
      <c r="AG9" s="194"/>
      <c r="AH9" s="196"/>
      <c r="AI9" s="196"/>
      <c r="AJ9" s="196"/>
      <c r="AK9" s="196"/>
      <c r="AL9" s="196"/>
      <c r="AM9" s="196"/>
      <c r="AN9" s="196"/>
      <c r="AO9" s="198"/>
    </row>
    <row r="10" spans="1:42" ht="7.5" customHeight="1"/>
    <row r="11" spans="1:42">
      <c r="C11" s="169" t="s">
        <v>0</v>
      </c>
      <c r="D11" s="169"/>
      <c r="E11" s="169"/>
      <c r="F11" s="169"/>
      <c r="G11" s="169"/>
      <c r="H11" s="169"/>
      <c r="I11" s="169" t="s">
        <v>1</v>
      </c>
      <c r="J11" s="169"/>
      <c r="K11" s="169"/>
      <c r="L11" s="169"/>
      <c r="M11" s="169"/>
      <c r="N11" s="169"/>
      <c r="O11" s="169" t="s">
        <v>2</v>
      </c>
      <c r="P11" s="169"/>
      <c r="Q11" s="169"/>
      <c r="R11" s="169"/>
      <c r="S11" s="169"/>
      <c r="T11" s="169"/>
      <c r="U11" s="169" t="s">
        <v>3</v>
      </c>
      <c r="V11" s="169"/>
      <c r="W11" s="169"/>
      <c r="X11" s="169"/>
      <c r="Y11" s="169"/>
      <c r="Z11" s="169"/>
      <c r="AA11" s="169" t="s">
        <v>4</v>
      </c>
      <c r="AB11" s="169"/>
      <c r="AC11" s="169"/>
      <c r="AD11" s="169"/>
      <c r="AE11" s="169"/>
      <c r="AF11" s="169"/>
      <c r="AG11" s="169" t="s">
        <v>5</v>
      </c>
      <c r="AH11" s="169"/>
      <c r="AI11" s="169"/>
      <c r="AJ11" s="169"/>
      <c r="AK11" s="169"/>
      <c r="AL11" s="169"/>
      <c r="AM11" s="160" t="s">
        <v>6</v>
      </c>
      <c r="AN11" s="160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60"/>
      <c r="AN12" s="160"/>
      <c r="AO12" s="88" t="s">
        <v>10</v>
      </c>
      <c r="AP12" s="89" t="s">
        <v>11</v>
      </c>
    </row>
    <row r="13" spans="1:42" ht="14.25" customHeight="1">
      <c r="A13" s="175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/>
      <c r="L13" s="60">
        <v>1</v>
      </c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>
        <v>1</v>
      </c>
      <c r="AM13" s="90"/>
      <c r="AN13" s="91"/>
      <c r="AO13" s="92">
        <f t="shared" ref="AO13:AO19" si="0">SUM(C13:AN13)</f>
        <v>2</v>
      </c>
      <c r="AP13" s="93">
        <f>AO13*25</f>
        <v>50</v>
      </c>
    </row>
    <row r="14" spans="1:42" ht="14.25" customHeight="1">
      <c r="A14" s="175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0</v>
      </c>
      <c r="AP14" s="93">
        <f t="shared" ref="AP14:AP58" si="1">AO14*25</f>
        <v>0</v>
      </c>
    </row>
    <row r="15" spans="1:42" ht="14.25" customHeight="1">
      <c r="A15" s="175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>
        <v>1</v>
      </c>
      <c r="P15" s="64">
        <v>3</v>
      </c>
      <c r="Q15" s="64">
        <v>3</v>
      </c>
      <c r="R15" s="64"/>
      <c r="S15" s="64"/>
      <c r="T15" s="84">
        <v>1</v>
      </c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/>
      <c r="AM15" s="94"/>
      <c r="AN15" s="95"/>
      <c r="AO15" s="92">
        <f t="shared" si="0"/>
        <v>8</v>
      </c>
      <c r="AP15" s="93">
        <f t="shared" si="1"/>
        <v>200</v>
      </c>
    </row>
    <row r="16" spans="1:42" ht="14.25" customHeight="1">
      <c r="A16" s="175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0</v>
      </c>
      <c r="AP16" s="93">
        <f t="shared" si="1"/>
        <v>0</v>
      </c>
    </row>
    <row r="17" spans="1:42" ht="14.25" customHeight="1">
      <c r="A17" s="175"/>
      <c r="B17" s="62" t="s">
        <v>132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>
        <v>2</v>
      </c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149"/>
      <c r="AH17" s="149"/>
      <c r="AI17" s="149"/>
      <c r="AJ17" s="149"/>
      <c r="AK17" s="149"/>
      <c r="AL17" s="149"/>
      <c r="AM17" s="63"/>
      <c r="AN17" s="134"/>
      <c r="AO17" s="92">
        <f t="shared" si="0"/>
        <v>2</v>
      </c>
      <c r="AP17" s="93">
        <f t="shared" si="1"/>
        <v>50</v>
      </c>
    </row>
    <row r="18" spans="1:42" ht="14.25" customHeight="1">
      <c r="A18" s="175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>
        <v>1</v>
      </c>
      <c r="S18" s="64">
        <v>1</v>
      </c>
      <c r="T18" s="84"/>
      <c r="U18" s="83">
        <v>1</v>
      </c>
      <c r="V18" s="64">
        <v>1</v>
      </c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149"/>
      <c r="AH18" s="149"/>
      <c r="AI18" s="149"/>
      <c r="AJ18" s="149"/>
      <c r="AK18" s="149"/>
      <c r="AL18" s="149"/>
      <c r="AM18" s="94"/>
      <c r="AN18" s="95"/>
      <c r="AO18" s="92">
        <f t="shared" si="0"/>
        <v>4</v>
      </c>
      <c r="AP18" s="93">
        <f t="shared" si="1"/>
        <v>100</v>
      </c>
    </row>
    <row r="19" spans="1:42" ht="14.25" customHeight="1">
      <c r="A19" s="175"/>
      <c r="B19" s="62" t="s">
        <v>142</v>
      </c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>
        <v>1</v>
      </c>
      <c r="S19" s="64">
        <v>1</v>
      </c>
      <c r="T19" s="84"/>
      <c r="U19" s="83">
        <v>1</v>
      </c>
      <c r="V19" s="64">
        <v>1</v>
      </c>
      <c r="W19" s="64">
        <v>1</v>
      </c>
      <c r="X19" s="64">
        <v>2</v>
      </c>
      <c r="Y19" s="64">
        <v>1</v>
      </c>
      <c r="Z19" s="84">
        <v>1</v>
      </c>
      <c r="AA19" s="83">
        <v>1</v>
      </c>
      <c r="AB19" s="64">
        <v>1</v>
      </c>
      <c r="AC19" s="64">
        <v>1</v>
      </c>
      <c r="AD19" s="64">
        <v>1</v>
      </c>
      <c r="AE19" s="64">
        <v>1</v>
      </c>
      <c r="AF19" s="84"/>
      <c r="AG19" s="149">
        <v>1</v>
      </c>
      <c r="AH19" s="149"/>
      <c r="AI19" s="149">
        <v>1</v>
      </c>
      <c r="AJ19" s="149">
        <v>1</v>
      </c>
      <c r="AK19" s="149"/>
      <c r="AL19" s="149"/>
      <c r="AM19" s="94"/>
      <c r="AN19" s="95"/>
      <c r="AO19" s="92">
        <f t="shared" si="0"/>
        <v>17</v>
      </c>
      <c r="AP19" s="93">
        <f t="shared" si="1"/>
        <v>425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70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71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71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71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71"/>
      <c r="B25" s="62" t="s">
        <v>132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71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72"/>
      <c r="B27" s="62" t="s">
        <v>142</v>
      </c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70" t="s">
        <v>19</v>
      </c>
      <c r="B29" s="58" t="s">
        <v>13</v>
      </c>
      <c r="C29" s="59"/>
      <c r="D29" s="60"/>
      <c r="E29" s="60"/>
      <c r="F29" s="60"/>
      <c r="G29" s="60"/>
      <c r="H29" s="61"/>
      <c r="I29" s="17"/>
      <c r="J29" s="60"/>
      <c r="K29" s="60"/>
      <c r="L29" s="60"/>
      <c r="M29" s="60"/>
      <c r="N29" s="82"/>
      <c r="O29" s="17"/>
      <c r="P29" s="60"/>
      <c r="Q29" s="60"/>
      <c r="R29" s="60"/>
      <c r="S29" s="60"/>
      <c r="T29" s="82"/>
      <c r="U29" s="17"/>
      <c r="V29" s="60"/>
      <c r="W29" s="60"/>
      <c r="X29" s="60"/>
      <c r="Y29" s="60"/>
      <c r="Z29" s="82"/>
      <c r="AA29" s="17"/>
      <c r="AB29" s="60"/>
      <c r="AC29" s="60"/>
      <c r="AD29" s="60"/>
      <c r="AE29" s="60"/>
      <c r="AF29" s="82"/>
      <c r="AG29" s="17"/>
      <c r="AH29" s="60"/>
      <c r="AI29" s="60"/>
      <c r="AJ29" s="144"/>
      <c r="AK29" s="144"/>
      <c r="AL29" s="61"/>
      <c r="AM29" s="90"/>
      <c r="AN29" s="91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71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149"/>
      <c r="AH30" s="150"/>
      <c r="AI30" s="150"/>
      <c r="AJ30" s="151"/>
      <c r="AK30" s="149"/>
      <c r="AL30" s="150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71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149"/>
      <c r="AH31" s="149"/>
      <c r="AI31" s="149"/>
      <c r="AJ31" s="149"/>
      <c r="AK31" s="149"/>
      <c r="AL31" s="149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71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149"/>
      <c r="AH32" s="149"/>
      <c r="AI32" s="149"/>
      <c r="AJ32" s="149"/>
      <c r="AK32" s="149"/>
      <c r="AL32" s="149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71"/>
      <c r="B33" s="62" t="s">
        <v>132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149"/>
      <c r="AH33" s="149"/>
      <c r="AI33" s="149"/>
      <c r="AJ33" s="149"/>
      <c r="AK33" s="149"/>
      <c r="AL33" s="149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71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149"/>
      <c r="AH34" s="149"/>
      <c r="AI34" s="149"/>
      <c r="AJ34" s="149"/>
      <c r="AK34" s="149"/>
      <c r="AL34" s="149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72"/>
      <c r="B35" s="62" t="s">
        <v>142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149"/>
      <c r="AH35" s="149"/>
      <c r="AI35" s="149"/>
      <c r="AJ35" s="149"/>
      <c r="AK35" s="149"/>
      <c r="AL35" s="149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70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71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71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71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71"/>
      <c r="B41" s="62" t="s">
        <v>132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71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" customHeight="1">
      <c r="A43" s="172"/>
      <c r="B43" s="62" t="s">
        <v>142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70" t="s">
        <v>21</v>
      </c>
      <c r="B44" s="58" t="s">
        <v>13</v>
      </c>
      <c r="C44" s="59"/>
      <c r="D44" s="60"/>
      <c r="E44" s="60"/>
      <c r="F44" s="60"/>
      <c r="G44" s="60"/>
      <c r="H44" s="61"/>
      <c r="I44" s="17"/>
      <c r="J44" s="60"/>
      <c r="K44" s="60">
        <v>1</v>
      </c>
      <c r="L44" s="60">
        <v>1</v>
      </c>
      <c r="M44" s="60"/>
      <c r="N44" s="82"/>
      <c r="O44" s="17"/>
      <c r="P44" s="60"/>
      <c r="Q44" s="60"/>
      <c r="R44" s="60"/>
      <c r="S44" s="60"/>
      <c r="T44" s="82"/>
      <c r="U44" s="17"/>
      <c r="V44" s="60"/>
      <c r="W44" s="60"/>
      <c r="X44" s="60"/>
      <c r="Y44" s="60"/>
      <c r="Z44" s="82"/>
      <c r="AA44" s="17"/>
      <c r="AB44" s="60"/>
      <c r="AC44" s="60"/>
      <c r="AD44" s="60"/>
      <c r="AE44" s="60"/>
      <c r="AF44" s="82"/>
      <c r="AG44" s="17"/>
      <c r="AH44" s="60"/>
      <c r="AI44" s="60"/>
      <c r="AJ44" s="144"/>
      <c r="AK44" s="144"/>
      <c r="AL44" s="61">
        <v>1</v>
      </c>
      <c r="AM44" s="90"/>
      <c r="AN44" s="91"/>
      <c r="AO44" s="99">
        <f t="shared" si="4"/>
        <v>3</v>
      </c>
      <c r="AP44" s="139">
        <f t="shared" si="1"/>
        <v>75</v>
      </c>
    </row>
    <row r="45" spans="1:42" ht="14.25" customHeight="1">
      <c r="A45" s="171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149"/>
      <c r="AH45" s="150"/>
      <c r="AI45" s="150"/>
      <c r="AJ45" s="151"/>
      <c r="AK45" s="149"/>
      <c r="AL45" s="150"/>
      <c r="AM45" s="94"/>
      <c r="AN45" s="95"/>
      <c r="AO45" s="92">
        <f t="shared" si="4"/>
        <v>0</v>
      </c>
      <c r="AP45" s="93">
        <f t="shared" si="1"/>
        <v>0</v>
      </c>
    </row>
    <row r="46" spans="1:42" ht="14.25" customHeight="1">
      <c r="A46" s="171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>
        <v>1</v>
      </c>
      <c r="P46" s="64">
        <v>3</v>
      </c>
      <c r="Q46" s="64">
        <v>3</v>
      </c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149"/>
      <c r="AH46" s="149"/>
      <c r="AI46" s="149"/>
      <c r="AJ46" s="149"/>
      <c r="AK46" s="149"/>
      <c r="AL46" s="149">
        <v>2</v>
      </c>
      <c r="AM46" s="94"/>
      <c r="AN46" s="95"/>
      <c r="AO46" s="92">
        <f t="shared" si="4"/>
        <v>9</v>
      </c>
      <c r="AP46" s="93">
        <f t="shared" si="1"/>
        <v>225</v>
      </c>
    </row>
    <row r="47" spans="1:42" ht="14.25" customHeight="1">
      <c r="A47" s="171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149"/>
      <c r="AH47" s="149"/>
      <c r="AI47" s="149"/>
      <c r="AJ47" s="149"/>
      <c r="AK47" s="149"/>
      <c r="AL47" s="149"/>
      <c r="AM47" s="94"/>
      <c r="AN47" s="95"/>
      <c r="AO47" s="92">
        <f t="shared" si="4"/>
        <v>0</v>
      </c>
      <c r="AP47" s="93">
        <f t="shared" si="1"/>
        <v>0</v>
      </c>
    </row>
    <row r="48" spans="1:42" ht="14.25" customHeight="1">
      <c r="A48" s="171"/>
      <c r="B48" s="62" t="s">
        <v>132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>
        <v>2</v>
      </c>
      <c r="P48" s="64"/>
      <c r="Q48" s="64"/>
      <c r="R48" s="64"/>
      <c r="S48" s="64"/>
      <c r="T48" s="84">
        <v>2</v>
      </c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149"/>
      <c r="AH48" s="149"/>
      <c r="AI48" s="149"/>
      <c r="AJ48" s="149"/>
      <c r="AK48" s="149"/>
      <c r="AL48" s="149"/>
      <c r="AM48" s="63"/>
      <c r="AN48" s="134"/>
      <c r="AO48" s="92">
        <f t="shared" si="4"/>
        <v>4</v>
      </c>
      <c r="AP48" s="93">
        <f t="shared" si="1"/>
        <v>100</v>
      </c>
    </row>
    <row r="49" spans="1:46" ht="14.25" customHeight="1">
      <c r="A49" s="171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>
        <v>1</v>
      </c>
      <c r="V49" s="64"/>
      <c r="W49" s="64"/>
      <c r="X49" s="64"/>
      <c r="Y49" s="64">
        <v>1</v>
      </c>
      <c r="Z49" s="84">
        <v>1</v>
      </c>
      <c r="AA49" s="83"/>
      <c r="AB49" s="64"/>
      <c r="AC49" s="64"/>
      <c r="AD49" s="64"/>
      <c r="AE49" s="64"/>
      <c r="AF49" s="84"/>
      <c r="AG49" s="149"/>
      <c r="AH49" s="149"/>
      <c r="AI49" s="149"/>
      <c r="AJ49" s="149"/>
      <c r="AK49" s="149"/>
      <c r="AL49" s="149"/>
      <c r="AM49" s="94"/>
      <c r="AN49" s="95"/>
      <c r="AO49" s="92">
        <f t="shared" si="4"/>
        <v>3</v>
      </c>
      <c r="AP49" s="93">
        <f t="shared" si="1"/>
        <v>75</v>
      </c>
      <c r="AT49" t="s">
        <v>22</v>
      </c>
    </row>
    <row r="50" spans="1:46" ht="14.25" customHeight="1">
      <c r="A50" s="172"/>
      <c r="B50" s="62" t="s">
        <v>142</v>
      </c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>
        <v>1</v>
      </c>
      <c r="S50" s="64">
        <v>1</v>
      </c>
      <c r="T50" s="84"/>
      <c r="U50" s="83">
        <v>1</v>
      </c>
      <c r="V50" s="64">
        <v>1</v>
      </c>
      <c r="W50" s="64">
        <v>1</v>
      </c>
      <c r="X50" s="64">
        <v>2</v>
      </c>
      <c r="Y50" s="64">
        <v>1</v>
      </c>
      <c r="Z50" s="84">
        <v>1</v>
      </c>
      <c r="AA50" s="83">
        <v>2</v>
      </c>
      <c r="AB50" s="64">
        <v>1</v>
      </c>
      <c r="AC50" s="64">
        <v>1</v>
      </c>
      <c r="AD50" s="64">
        <v>1</v>
      </c>
      <c r="AE50" s="64">
        <v>1</v>
      </c>
      <c r="AF50" s="84"/>
      <c r="AG50" s="149">
        <v>1</v>
      </c>
      <c r="AH50" s="149"/>
      <c r="AI50" s="149">
        <v>1</v>
      </c>
      <c r="AJ50" s="149">
        <v>1</v>
      </c>
      <c r="AK50" s="149"/>
      <c r="AL50" s="149"/>
      <c r="AM50" s="94"/>
      <c r="AN50" s="95"/>
      <c r="AO50" s="92">
        <f t="shared" si="4"/>
        <v>18</v>
      </c>
      <c r="AP50" s="93">
        <f>AO50*20</f>
        <v>360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70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71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71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71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71"/>
      <c r="B56" s="62" t="s">
        <v>132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71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72"/>
      <c r="B58" s="62" t="s">
        <v>142</v>
      </c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65" t="s">
        <v>25</v>
      </c>
      <c r="C61" s="165"/>
      <c r="D61" s="165"/>
      <c r="E61" s="73"/>
      <c r="F61" s="176" t="s">
        <v>26</v>
      </c>
      <c r="G61" s="176"/>
      <c r="H61" s="176"/>
      <c r="I61" s="176"/>
      <c r="J61" s="176"/>
      <c r="K61" s="176"/>
      <c r="L61" s="176"/>
      <c r="M61" s="176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65"/>
      <c r="C62" s="165"/>
      <c r="D62" s="165"/>
      <c r="E62" s="73"/>
      <c r="F62" s="177" t="s">
        <v>27</v>
      </c>
      <c r="G62" s="177"/>
      <c r="H62" s="177"/>
      <c r="I62" s="177"/>
      <c r="J62" s="177" t="s">
        <v>28</v>
      </c>
      <c r="K62" s="177"/>
      <c r="L62" s="177"/>
      <c r="M62" s="177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33</v>
      </c>
      <c r="D63" s="52">
        <f>SUM(AP13:AP19)</f>
        <v>825</v>
      </c>
      <c r="E63" s="68"/>
      <c r="F63" s="178"/>
      <c r="G63" s="166"/>
      <c r="H63" s="166"/>
      <c r="I63" s="166"/>
      <c r="J63" s="179"/>
      <c r="K63" s="179"/>
      <c r="L63" s="179"/>
      <c r="M63" s="180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66"/>
      <c r="G64" s="166"/>
      <c r="H64" s="166"/>
      <c r="I64" s="166"/>
      <c r="J64" s="167"/>
      <c r="K64" s="168"/>
      <c r="L64" s="168"/>
      <c r="M64" s="168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37</v>
      </c>
      <c r="D67" s="52">
        <f>SUM(AP44:AP50)</f>
        <v>835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70</v>
      </c>
      <c r="D69" s="80">
        <f>SUM(D63:D68)</f>
        <v>1660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69" t="s">
        <v>31</v>
      </c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  <c r="AL71" s="169"/>
      <c r="AM71" s="169"/>
      <c r="AN71" s="169"/>
      <c r="AO71" s="169"/>
      <c r="AP71" s="169"/>
    </row>
    <row r="72" spans="1:42">
      <c r="C72" s="162" t="s">
        <v>0</v>
      </c>
      <c r="D72" s="162"/>
      <c r="E72" s="162"/>
      <c r="F72" s="162"/>
      <c r="G72" s="162"/>
      <c r="H72" s="163"/>
      <c r="I72" s="162" t="s">
        <v>1</v>
      </c>
      <c r="J72" s="162"/>
      <c r="K72" s="162"/>
      <c r="L72" s="162"/>
      <c r="M72" s="162"/>
      <c r="N72" s="163"/>
      <c r="O72" s="161" t="s">
        <v>2</v>
      </c>
      <c r="P72" s="162"/>
      <c r="Q72" s="162"/>
      <c r="R72" s="162"/>
      <c r="S72" s="162"/>
      <c r="T72" s="163"/>
      <c r="U72" s="162" t="s">
        <v>32</v>
      </c>
      <c r="V72" s="162"/>
      <c r="W72" s="162"/>
      <c r="X72" s="162"/>
      <c r="Y72" s="162"/>
      <c r="Z72" s="163"/>
      <c r="AA72" s="162" t="s">
        <v>4</v>
      </c>
      <c r="AB72" s="162"/>
      <c r="AC72" s="162"/>
      <c r="AD72" s="162"/>
      <c r="AE72" s="162"/>
      <c r="AF72" s="163"/>
      <c r="AG72" s="162" t="s">
        <v>5</v>
      </c>
      <c r="AH72" s="162"/>
      <c r="AI72" s="162"/>
      <c r="AJ72" s="162"/>
      <c r="AK72" s="162"/>
      <c r="AL72" s="163"/>
      <c r="AM72" s="174" t="s">
        <v>6</v>
      </c>
      <c r="AN72" s="164" t="s">
        <v>7</v>
      </c>
      <c r="AO72" s="96"/>
      <c r="AP72" s="96"/>
    </row>
    <row r="73" spans="1:42">
      <c r="A73" s="173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174"/>
      <c r="AN73" s="164"/>
      <c r="AO73" s="116" t="s">
        <v>10</v>
      </c>
      <c r="AP73" s="117" t="s">
        <v>11</v>
      </c>
    </row>
    <row r="74" spans="1:42" ht="15" customHeight="1">
      <c r="A74" s="173"/>
      <c r="B74" s="105" t="s">
        <v>34</v>
      </c>
      <c r="C74" s="17">
        <f t="shared" ref="C74:AN80" si="5">SUM(C13+C21+C29+C37+C44+C52)</f>
        <v>0</v>
      </c>
      <c r="D74" s="17">
        <f t="shared" si="5"/>
        <v>0</v>
      </c>
      <c r="E74" s="17">
        <f t="shared" si="5"/>
        <v>0</v>
      </c>
      <c r="F74" s="17">
        <f t="shared" si="5"/>
        <v>0</v>
      </c>
      <c r="G74" s="17">
        <f t="shared" si="5"/>
        <v>0</v>
      </c>
      <c r="H74" s="106">
        <f t="shared" si="5"/>
        <v>0</v>
      </c>
      <c r="I74" s="17">
        <f t="shared" si="5"/>
        <v>0</v>
      </c>
      <c r="J74" s="17">
        <f t="shared" si="5"/>
        <v>0</v>
      </c>
      <c r="K74" s="17">
        <f t="shared" si="5"/>
        <v>1</v>
      </c>
      <c r="L74" s="17">
        <f t="shared" si="5"/>
        <v>2</v>
      </c>
      <c r="M74" s="17">
        <f t="shared" si="5"/>
        <v>0</v>
      </c>
      <c r="N74" s="114">
        <f t="shared" si="5"/>
        <v>0</v>
      </c>
      <c r="O74" s="17">
        <f t="shared" si="5"/>
        <v>0</v>
      </c>
      <c r="P74" s="17">
        <f t="shared" si="5"/>
        <v>0</v>
      </c>
      <c r="Q74" s="17">
        <f t="shared" si="5"/>
        <v>0</v>
      </c>
      <c r="R74" s="17">
        <f t="shared" si="5"/>
        <v>0</v>
      </c>
      <c r="S74" s="17">
        <f t="shared" si="5"/>
        <v>0</v>
      </c>
      <c r="T74" s="114">
        <f t="shared" si="5"/>
        <v>0</v>
      </c>
      <c r="U74" s="17">
        <f t="shared" si="5"/>
        <v>0</v>
      </c>
      <c r="V74" s="17">
        <f t="shared" si="5"/>
        <v>0</v>
      </c>
      <c r="W74" s="17">
        <f t="shared" si="5"/>
        <v>0</v>
      </c>
      <c r="X74" s="17">
        <f t="shared" si="5"/>
        <v>0</v>
      </c>
      <c r="Y74" s="17">
        <f t="shared" si="5"/>
        <v>0</v>
      </c>
      <c r="Z74" s="114">
        <f t="shared" si="5"/>
        <v>0</v>
      </c>
      <c r="AA74" s="17">
        <f t="shared" si="5"/>
        <v>0</v>
      </c>
      <c r="AB74" s="17">
        <f t="shared" si="5"/>
        <v>0</v>
      </c>
      <c r="AC74" s="17">
        <f t="shared" si="5"/>
        <v>0</v>
      </c>
      <c r="AD74" s="17">
        <f t="shared" si="5"/>
        <v>0</v>
      </c>
      <c r="AE74" s="17">
        <f t="shared" si="5"/>
        <v>0</v>
      </c>
      <c r="AF74" s="114">
        <f t="shared" si="5"/>
        <v>0</v>
      </c>
      <c r="AG74" s="17">
        <f t="shared" si="5"/>
        <v>0</v>
      </c>
      <c r="AH74" s="17">
        <f t="shared" si="5"/>
        <v>0</v>
      </c>
      <c r="AI74" s="17">
        <f t="shared" si="5"/>
        <v>0</v>
      </c>
      <c r="AJ74" s="17">
        <f t="shared" si="5"/>
        <v>0</v>
      </c>
      <c r="AK74" s="17">
        <f t="shared" si="5"/>
        <v>0</v>
      </c>
      <c r="AL74" s="17">
        <f t="shared" si="5"/>
        <v>2</v>
      </c>
      <c r="AM74" s="17">
        <f t="shared" si="5"/>
        <v>0</v>
      </c>
      <c r="AN74" s="114">
        <f t="shared" si="5"/>
        <v>0</v>
      </c>
      <c r="AO74" s="52">
        <f>SUM(C74:AN74)</f>
        <v>5</v>
      </c>
      <c r="AP74" s="118">
        <f>AO74*25</f>
        <v>125</v>
      </c>
    </row>
    <row r="75" spans="1:42">
      <c r="A75" s="173"/>
      <c r="B75" s="105" t="s">
        <v>14</v>
      </c>
      <c r="C75" s="17">
        <f t="shared" si="5"/>
        <v>0</v>
      </c>
      <c r="D75" s="17">
        <f t="shared" si="5"/>
        <v>0</v>
      </c>
      <c r="E75" s="17">
        <f t="shared" si="5"/>
        <v>0</v>
      </c>
      <c r="F75" s="17">
        <f t="shared" si="5"/>
        <v>0</v>
      </c>
      <c r="G75" s="17">
        <f t="shared" si="5"/>
        <v>0</v>
      </c>
      <c r="H75" s="106">
        <f t="shared" si="5"/>
        <v>0</v>
      </c>
      <c r="I75" s="17">
        <f t="shared" si="5"/>
        <v>0</v>
      </c>
      <c r="J75" s="17">
        <f t="shared" si="5"/>
        <v>0</v>
      </c>
      <c r="K75" s="17">
        <f t="shared" si="5"/>
        <v>0</v>
      </c>
      <c r="L75" s="17">
        <f t="shared" si="5"/>
        <v>0</v>
      </c>
      <c r="M75" s="17">
        <f t="shared" si="5"/>
        <v>0</v>
      </c>
      <c r="N75" s="114">
        <f t="shared" si="5"/>
        <v>0</v>
      </c>
      <c r="O75" s="17">
        <f t="shared" si="5"/>
        <v>0</v>
      </c>
      <c r="P75" s="17">
        <f t="shared" si="5"/>
        <v>0</v>
      </c>
      <c r="Q75" s="17">
        <f t="shared" si="5"/>
        <v>0</v>
      </c>
      <c r="R75" s="17">
        <f t="shared" si="5"/>
        <v>0</v>
      </c>
      <c r="S75" s="17">
        <f t="shared" si="5"/>
        <v>0</v>
      </c>
      <c r="T75" s="114">
        <f t="shared" si="5"/>
        <v>0</v>
      </c>
      <c r="U75" s="17">
        <f t="shared" si="5"/>
        <v>0</v>
      </c>
      <c r="V75" s="17">
        <f t="shared" si="5"/>
        <v>0</v>
      </c>
      <c r="W75" s="17">
        <f t="shared" si="5"/>
        <v>0</v>
      </c>
      <c r="X75" s="17">
        <f t="shared" si="5"/>
        <v>0</v>
      </c>
      <c r="Y75" s="17">
        <f t="shared" si="5"/>
        <v>0</v>
      </c>
      <c r="Z75" s="114">
        <f t="shared" si="5"/>
        <v>0</v>
      </c>
      <c r="AA75" s="17">
        <f t="shared" si="5"/>
        <v>0</v>
      </c>
      <c r="AB75" s="17">
        <f t="shared" si="5"/>
        <v>0</v>
      </c>
      <c r="AC75" s="17">
        <f t="shared" si="5"/>
        <v>0</v>
      </c>
      <c r="AD75" s="17">
        <f t="shared" si="5"/>
        <v>0</v>
      </c>
      <c r="AE75" s="17">
        <f t="shared" si="5"/>
        <v>0</v>
      </c>
      <c r="AF75" s="114">
        <f t="shared" si="5"/>
        <v>0</v>
      </c>
      <c r="AG75" s="17">
        <f t="shared" si="5"/>
        <v>0</v>
      </c>
      <c r="AH75" s="17">
        <f t="shared" si="5"/>
        <v>0</v>
      </c>
      <c r="AI75" s="17">
        <f t="shared" si="5"/>
        <v>0</v>
      </c>
      <c r="AJ75" s="17">
        <f t="shared" si="5"/>
        <v>0</v>
      </c>
      <c r="AK75" s="17">
        <f t="shared" si="5"/>
        <v>0</v>
      </c>
      <c r="AL75" s="17">
        <f t="shared" si="5"/>
        <v>0</v>
      </c>
      <c r="AM75" s="17">
        <f t="shared" si="5"/>
        <v>0</v>
      </c>
      <c r="AN75" s="114">
        <f t="shared" si="5"/>
        <v>0</v>
      </c>
      <c r="AO75" s="52">
        <f t="shared" ref="AO75:AO80" si="6">SUM(C75:AN75)</f>
        <v>0</v>
      </c>
      <c r="AP75" s="118">
        <f t="shared" ref="AP75:AP79" si="7">AO75*25</f>
        <v>0</v>
      </c>
    </row>
    <row r="76" spans="1:42">
      <c r="A76" s="173"/>
      <c r="B76" s="105" t="s">
        <v>15</v>
      </c>
      <c r="C76" s="17">
        <f t="shared" si="5"/>
        <v>0</v>
      </c>
      <c r="D76" s="17">
        <f t="shared" si="5"/>
        <v>0</v>
      </c>
      <c r="E76" s="17">
        <f t="shared" si="5"/>
        <v>0</v>
      </c>
      <c r="F76" s="17">
        <f t="shared" si="5"/>
        <v>0</v>
      </c>
      <c r="G76" s="17">
        <f t="shared" si="5"/>
        <v>0</v>
      </c>
      <c r="H76" s="106">
        <f t="shared" si="5"/>
        <v>0</v>
      </c>
      <c r="I76" s="17">
        <f t="shared" si="5"/>
        <v>0</v>
      </c>
      <c r="J76" s="17">
        <f t="shared" si="5"/>
        <v>0</v>
      </c>
      <c r="K76" s="17">
        <f t="shared" si="5"/>
        <v>0</v>
      </c>
      <c r="L76" s="17">
        <f t="shared" si="5"/>
        <v>0</v>
      </c>
      <c r="M76" s="17">
        <f t="shared" si="5"/>
        <v>0</v>
      </c>
      <c r="N76" s="114">
        <f t="shared" si="5"/>
        <v>0</v>
      </c>
      <c r="O76" s="17">
        <f t="shared" si="5"/>
        <v>2</v>
      </c>
      <c r="P76" s="17">
        <f t="shared" si="5"/>
        <v>6</v>
      </c>
      <c r="Q76" s="17">
        <f t="shared" si="5"/>
        <v>6</v>
      </c>
      <c r="R76" s="17">
        <f t="shared" si="5"/>
        <v>0</v>
      </c>
      <c r="S76" s="17">
        <f t="shared" si="5"/>
        <v>0</v>
      </c>
      <c r="T76" s="114">
        <f t="shared" si="5"/>
        <v>1</v>
      </c>
      <c r="U76" s="17">
        <f t="shared" si="5"/>
        <v>0</v>
      </c>
      <c r="V76" s="17">
        <f t="shared" si="5"/>
        <v>0</v>
      </c>
      <c r="W76" s="17">
        <f t="shared" si="5"/>
        <v>0</v>
      </c>
      <c r="X76" s="17">
        <f t="shared" si="5"/>
        <v>0</v>
      </c>
      <c r="Y76" s="17">
        <f t="shared" si="5"/>
        <v>0</v>
      </c>
      <c r="Z76" s="114">
        <f t="shared" si="5"/>
        <v>0</v>
      </c>
      <c r="AA76" s="17">
        <f t="shared" si="5"/>
        <v>0</v>
      </c>
      <c r="AB76" s="17">
        <f t="shared" si="5"/>
        <v>0</v>
      </c>
      <c r="AC76" s="17">
        <f t="shared" si="5"/>
        <v>0</v>
      </c>
      <c r="AD76" s="17">
        <f t="shared" si="5"/>
        <v>0</v>
      </c>
      <c r="AE76" s="17">
        <f t="shared" si="5"/>
        <v>0</v>
      </c>
      <c r="AF76" s="114">
        <f t="shared" si="5"/>
        <v>0</v>
      </c>
      <c r="AG76" s="17">
        <f t="shared" si="5"/>
        <v>0</v>
      </c>
      <c r="AH76" s="17">
        <f t="shared" si="5"/>
        <v>0</v>
      </c>
      <c r="AI76" s="17">
        <f t="shared" si="5"/>
        <v>0</v>
      </c>
      <c r="AJ76" s="17">
        <f t="shared" si="5"/>
        <v>0</v>
      </c>
      <c r="AK76" s="17">
        <f t="shared" si="5"/>
        <v>0</v>
      </c>
      <c r="AL76" s="17">
        <f t="shared" si="5"/>
        <v>2</v>
      </c>
      <c r="AM76" s="17">
        <f t="shared" si="5"/>
        <v>0</v>
      </c>
      <c r="AN76" s="114">
        <f t="shared" si="5"/>
        <v>0</v>
      </c>
      <c r="AO76" s="52">
        <f t="shared" si="6"/>
        <v>17</v>
      </c>
      <c r="AP76" s="118">
        <f t="shared" si="7"/>
        <v>425</v>
      </c>
    </row>
    <row r="77" spans="1:42">
      <c r="A77" s="173"/>
      <c r="B77" s="105" t="s">
        <v>131</v>
      </c>
      <c r="C77" s="17">
        <f t="shared" si="5"/>
        <v>0</v>
      </c>
      <c r="D77" s="17">
        <f t="shared" si="5"/>
        <v>0</v>
      </c>
      <c r="E77" s="17">
        <f t="shared" si="5"/>
        <v>0</v>
      </c>
      <c r="F77" s="17">
        <f t="shared" si="5"/>
        <v>0</v>
      </c>
      <c r="G77" s="17">
        <f t="shared" si="5"/>
        <v>0</v>
      </c>
      <c r="H77" s="106">
        <f t="shared" si="5"/>
        <v>0</v>
      </c>
      <c r="I77" s="17">
        <f t="shared" si="5"/>
        <v>0</v>
      </c>
      <c r="J77" s="17">
        <f t="shared" si="5"/>
        <v>0</v>
      </c>
      <c r="K77" s="17">
        <f t="shared" si="5"/>
        <v>0</v>
      </c>
      <c r="L77" s="17">
        <f t="shared" si="5"/>
        <v>0</v>
      </c>
      <c r="M77" s="17">
        <f t="shared" si="5"/>
        <v>0</v>
      </c>
      <c r="N77" s="114">
        <f t="shared" si="5"/>
        <v>0</v>
      </c>
      <c r="O77" s="17">
        <f t="shared" si="5"/>
        <v>0</v>
      </c>
      <c r="P77" s="17">
        <f t="shared" si="5"/>
        <v>0</v>
      </c>
      <c r="Q77" s="17">
        <f t="shared" si="5"/>
        <v>0</v>
      </c>
      <c r="R77" s="17">
        <f t="shared" si="5"/>
        <v>0</v>
      </c>
      <c r="S77" s="17">
        <f t="shared" si="5"/>
        <v>0</v>
      </c>
      <c r="T77" s="114">
        <f t="shared" si="5"/>
        <v>0</v>
      </c>
      <c r="U77" s="17">
        <f t="shared" si="5"/>
        <v>0</v>
      </c>
      <c r="V77" s="17">
        <f t="shared" si="5"/>
        <v>0</v>
      </c>
      <c r="W77" s="17">
        <f t="shared" si="5"/>
        <v>0</v>
      </c>
      <c r="X77" s="17">
        <f t="shared" si="5"/>
        <v>0</v>
      </c>
      <c r="Y77" s="17">
        <f t="shared" si="5"/>
        <v>0</v>
      </c>
      <c r="Z77" s="114">
        <f t="shared" si="5"/>
        <v>0</v>
      </c>
      <c r="AA77" s="17">
        <f t="shared" si="5"/>
        <v>0</v>
      </c>
      <c r="AB77" s="17">
        <f t="shared" si="5"/>
        <v>0</v>
      </c>
      <c r="AC77" s="17">
        <f t="shared" si="5"/>
        <v>0</v>
      </c>
      <c r="AD77" s="17">
        <f t="shared" si="5"/>
        <v>0</v>
      </c>
      <c r="AE77" s="17">
        <f t="shared" si="5"/>
        <v>0</v>
      </c>
      <c r="AF77" s="114">
        <f t="shared" si="5"/>
        <v>0</v>
      </c>
      <c r="AG77" s="17">
        <f t="shared" si="5"/>
        <v>0</v>
      </c>
      <c r="AH77" s="17">
        <f t="shared" si="5"/>
        <v>0</v>
      </c>
      <c r="AI77" s="17">
        <f t="shared" si="5"/>
        <v>0</v>
      </c>
      <c r="AJ77" s="17">
        <f t="shared" si="5"/>
        <v>0</v>
      </c>
      <c r="AK77" s="17">
        <f t="shared" si="5"/>
        <v>0</v>
      </c>
      <c r="AL77" s="17">
        <f t="shared" si="5"/>
        <v>0</v>
      </c>
      <c r="AM77" s="17">
        <f t="shared" si="5"/>
        <v>0</v>
      </c>
      <c r="AN77" s="114">
        <f t="shared" si="5"/>
        <v>0</v>
      </c>
      <c r="AO77" s="52">
        <f t="shared" si="6"/>
        <v>0</v>
      </c>
      <c r="AP77" s="118">
        <f t="shared" si="7"/>
        <v>0</v>
      </c>
    </row>
    <row r="78" spans="1:42">
      <c r="A78" s="173"/>
      <c r="B78" s="105" t="s">
        <v>16</v>
      </c>
      <c r="C78" s="17">
        <f t="shared" si="5"/>
        <v>0</v>
      </c>
      <c r="D78" s="17">
        <f t="shared" si="5"/>
        <v>0</v>
      </c>
      <c r="E78" s="17">
        <f t="shared" si="5"/>
        <v>0</v>
      </c>
      <c r="F78" s="17">
        <f t="shared" si="5"/>
        <v>0</v>
      </c>
      <c r="G78" s="17">
        <f t="shared" si="5"/>
        <v>0</v>
      </c>
      <c r="H78" s="106">
        <f t="shared" si="5"/>
        <v>0</v>
      </c>
      <c r="I78" s="17">
        <f t="shared" si="5"/>
        <v>0</v>
      </c>
      <c r="J78" s="17">
        <f t="shared" si="5"/>
        <v>0</v>
      </c>
      <c r="K78" s="17">
        <f t="shared" si="5"/>
        <v>0</v>
      </c>
      <c r="L78" s="17">
        <f t="shared" si="5"/>
        <v>0</v>
      </c>
      <c r="M78" s="17">
        <f t="shared" si="5"/>
        <v>0</v>
      </c>
      <c r="N78" s="114">
        <f t="shared" si="5"/>
        <v>0</v>
      </c>
      <c r="O78" s="17">
        <f t="shared" si="5"/>
        <v>4</v>
      </c>
      <c r="P78" s="17">
        <f t="shared" si="5"/>
        <v>0</v>
      </c>
      <c r="Q78" s="17">
        <f t="shared" si="5"/>
        <v>0</v>
      </c>
      <c r="R78" s="17">
        <f t="shared" si="5"/>
        <v>0</v>
      </c>
      <c r="S78" s="17">
        <f t="shared" si="5"/>
        <v>0</v>
      </c>
      <c r="T78" s="114">
        <f t="shared" si="5"/>
        <v>2</v>
      </c>
      <c r="U78" s="17">
        <f t="shared" si="5"/>
        <v>0</v>
      </c>
      <c r="V78" s="17">
        <f t="shared" si="5"/>
        <v>0</v>
      </c>
      <c r="W78" s="17">
        <f t="shared" si="5"/>
        <v>0</v>
      </c>
      <c r="X78" s="17">
        <f t="shared" si="5"/>
        <v>0</v>
      </c>
      <c r="Y78" s="17">
        <f t="shared" si="5"/>
        <v>0</v>
      </c>
      <c r="Z78" s="114">
        <f t="shared" si="5"/>
        <v>0</v>
      </c>
      <c r="AA78" s="17">
        <f t="shared" si="5"/>
        <v>0</v>
      </c>
      <c r="AB78" s="17">
        <f t="shared" si="5"/>
        <v>0</v>
      </c>
      <c r="AC78" s="17">
        <f t="shared" si="5"/>
        <v>0</v>
      </c>
      <c r="AD78" s="17">
        <f t="shared" si="5"/>
        <v>0</v>
      </c>
      <c r="AE78" s="17">
        <f t="shared" si="5"/>
        <v>0</v>
      </c>
      <c r="AF78" s="114">
        <f t="shared" si="5"/>
        <v>0</v>
      </c>
      <c r="AG78" s="17">
        <f t="shared" si="5"/>
        <v>0</v>
      </c>
      <c r="AH78" s="17">
        <f t="shared" si="5"/>
        <v>0</v>
      </c>
      <c r="AI78" s="17">
        <f t="shared" si="5"/>
        <v>0</v>
      </c>
      <c r="AJ78" s="17">
        <f t="shared" si="5"/>
        <v>0</v>
      </c>
      <c r="AK78" s="17">
        <f t="shared" si="5"/>
        <v>0</v>
      </c>
      <c r="AL78" s="17">
        <f t="shared" si="5"/>
        <v>0</v>
      </c>
      <c r="AM78" s="17">
        <f t="shared" si="5"/>
        <v>0</v>
      </c>
      <c r="AN78" s="114">
        <f t="shared" si="5"/>
        <v>0</v>
      </c>
      <c r="AO78" s="52">
        <f t="shared" si="6"/>
        <v>6</v>
      </c>
      <c r="AP78" s="118">
        <f t="shared" si="7"/>
        <v>150</v>
      </c>
    </row>
    <row r="79" spans="1:42">
      <c r="A79" s="173"/>
      <c r="B79" s="105" t="s">
        <v>17</v>
      </c>
      <c r="C79" s="17">
        <f t="shared" si="5"/>
        <v>0</v>
      </c>
      <c r="D79" s="17">
        <f t="shared" si="5"/>
        <v>0</v>
      </c>
      <c r="E79" s="17">
        <f t="shared" si="5"/>
        <v>0</v>
      </c>
      <c r="F79" s="17">
        <f t="shared" si="5"/>
        <v>0</v>
      </c>
      <c r="G79" s="17">
        <f t="shared" si="5"/>
        <v>0</v>
      </c>
      <c r="H79" s="106">
        <f t="shared" si="5"/>
        <v>0</v>
      </c>
      <c r="I79" s="17">
        <f t="shared" si="5"/>
        <v>0</v>
      </c>
      <c r="J79" s="17">
        <f t="shared" si="5"/>
        <v>0</v>
      </c>
      <c r="K79" s="17">
        <f t="shared" si="5"/>
        <v>0</v>
      </c>
      <c r="L79" s="17">
        <f t="shared" si="5"/>
        <v>0</v>
      </c>
      <c r="M79" s="17">
        <f t="shared" si="5"/>
        <v>0</v>
      </c>
      <c r="N79" s="114">
        <f t="shared" si="5"/>
        <v>0</v>
      </c>
      <c r="O79" s="17">
        <f t="shared" si="5"/>
        <v>0</v>
      </c>
      <c r="P79" s="17">
        <f t="shared" si="5"/>
        <v>0</v>
      </c>
      <c r="Q79" s="17">
        <f t="shared" si="5"/>
        <v>0</v>
      </c>
      <c r="R79" s="17">
        <f t="shared" si="5"/>
        <v>1</v>
      </c>
      <c r="S79" s="17">
        <f t="shared" si="5"/>
        <v>1</v>
      </c>
      <c r="T79" s="114">
        <f t="shared" si="5"/>
        <v>0</v>
      </c>
      <c r="U79" s="17">
        <f t="shared" si="5"/>
        <v>2</v>
      </c>
      <c r="V79" s="17">
        <f t="shared" si="5"/>
        <v>1</v>
      </c>
      <c r="W79" s="17">
        <f t="shared" si="5"/>
        <v>0</v>
      </c>
      <c r="X79" s="17">
        <f t="shared" si="5"/>
        <v>0</v>
      </c>
      <c r="Y79" s="17">
        <f t="shared" si="5"/>
        <v>1</v>
      </c>
      <c r="Z79" s="114">
        <f t="shared" si="5"/>
        <v>1</v>
      </c>
      <c r="AA79" s="17">
        <f t="shared" si="5"/>
        <v>0</v>
      </c>
      <c r="AB79" s="17">
        <f t="shared" si="5"/>
        <v>0</v>
      </c>
      <c r="AC79" s="17">
        <f t="shared" si="5"/>
        <v>0</v>
      </c>
      <c r="AD79" s="17">
        <f t="shared" si="5"/>
        <v>0</v>
      </c>
      <c r="AE79" s="17">
        <f t="shared" si="5"/>
        <v>0</v>
      </c>
      <c r="AF79" s="114">
        <f t="shared" si="5"/>
        <v>0</v>
      </c>
      <c r="AG79" s="17">
        <f t="shared" si="5"/>
        <v>0</v>
      </c>
      <c r="AH79" s="17">
        <f t="shared" si="5"/>
        <v>0</v>
      </c>
      <c r="AI79" s="17">
        <f t="shared" si="5"/>
        <v>0</v>
      </c>
      <c r="AJ79" s="17">
        <f t="shared" si="5"/>
        <v>0</v>
      </c>
      <c r="AK79" s="17">
        <f t="shared" si="5"/>
        <v>0</v>
      </c>
      <c r="AL79" s="17">
        <f t="shared" si="5"/>
        <v>0</v>
      </c>
      <c r="AM79" s="17">
        <f t="shared" si="5"/>
        <v>0</v>
      </c>
      <c r="AN79" s="114">
        <f t="shared" si="5"/>
        <v>0</v>
      </c>
      <c r="AO79" s="52">
        <f t="shared" si="6"/>
        <v>7</v>
      </c>
      <c r="AP79" s="118">
        <f t="shared" si="7"/>
        <v>175</v>
      </c>
    </row>
    <row r="80" spans="1:42">
      <c r="A80" s="173"/>
      <c r="B80" s="105" t="s">
        <v>23</v>
      </c>
      <c r="C80" s="17">
        <f t="shared" si="5"/>
        <v>0</v>
      </c>
      <c r="D80" s="17">
        <f t="shared" si="5"/>
        <v>0</v>
      </c>
      <c r="E80" s="17">
        <f t="shared" si="5"/>
        <v>0</v>
      </c>
      <c r="F80" s="17">
        <f t="shared" si="5"/>
        <v>0</v>
      </c>
      <c r="G80" s="17">
        <f t="shared" si="5"/>
        <v>0</v>
      </c>
      <c r="H80" s="122">
        <f t="shared" si="5"/>
        <v>0</v>
      </c>
      <c r="I80" s="17">
        <f t="shared" si="5"/>
        <v>0</v>
      </c>
      <c r="J80" s="17">
        <f t="shared" si="5"/>
        <v>0</v>
      </c>
      <c r="K80" s="17">
        <f t="shared" si="5"/>
        <v>0</v>
      </c>
      <c r="L80" s="17">
        <f t="shared" si="5"/>
        <v>0</v>
      </c>
      <c r="M80" s="17">
        <f t="shared" si="5"/>
        <v>0</v>
      </c>
      <c r="N80" s="114">
        <f t="shared" si="5"/>
        <v>0</v>
      </c>
      <c r="O80" s="17">
        <f t="shared" si="5"/>
        <v>0</v>
      </c>
      <c r="P80" s="17">
        <f t="shared" si="5"/>
        <v>0</v>
      </c>
      <c r="Q80" s="17">
        <f t="shared" si="5"/>
        <v>0</v>
      </c>
      <c r="R80" s="17">
        <f t="shared" si="5"/>
        <v>2</v>
      </c>
      <c r="S80" s="17">
        <f t="shared" si="5"/>
        <v>2</v>
      </c>
      <c r="T80" s="114">
        <f t="shared" si="5"/>
        <v>0</v>
      </c>
      <c r="U80" s="17">
        <f t="shared" si="5"/>
        <v>2</v>
      </c>
      <c r="V80" s="17">
        <f t="shared" si="5"/>
        <v>2</v>
      </c>
      <c r="W80" s="17">
        <f t="shared" si="5"/>
        <v>2</v>
      </c>
      <c r="X80" s="17">
        <f t="shared" si="5"/>
        <v>4</v>
      </c>
      <c r="Y80" s="17">
        <f t="shared" si="5"/>
        <v>2</v>
      </c>
      <c r="Z80" s="114">
        <f t="shared" si="5"/>
        <v>2</v>
      </c>
      <c r="AA80" s="17">
        <f t="shared" si="5"/>
        <v>3</v>
      </c>
      <c r="AB80" s="17">
        <f t="shared" si="5"/>
        <v>2</v>
      </c>
      <c r="AC80" s="17">
        <f t="shared" si="5"/>
        <v>2</v>
      </c>
      <c r="AD80" s="17">
        <f t="shared" ref="AD80:AN80" si="8">SUM(AD19+AD27+AD35+AD43+AD50+AD58)</f>
        <v>2</v>
      </c>
      <c r="AE80" s="17">
        <f t="shared" si="8"/>
        <v>2</v>
      </c>
      <c r="AF80" s="114">
        <f t="shared" si="8"/>
        <v>0</v>
      </c>
      <c r="AG80" s="17">
        <f t="shared" si="8"/>
        <v>2</v>
      </c>
      <c r="AH80" s="17">
        <f t="shared" si="8"/>
        <v>0</v>
      </c>
      <c r="AI80" s="17">
        <f t="shared" si="8"/>
        <v>2</v>
      </c>
      <c r="AJ80" s="17">
        <f t="shared" si="8"/>
        <v>2</v>
      </c>
      <c r="AK80" s="17">
        <f t="shared" si="8"/>
        <v>0</v>
      </c>
      <c r="AL80" s="17">
        <f t="shared" si="8"/>
        <v>0</v>
      </c>
      <c r="AM80" s="17">
        <f t="shared" si="8"/>
        <v>0</v>
      </c>
      <c r="AN80" s="114">
        <f t="shared" si="8"/>
        <v>0</v>
      </c>
      <c r="AO80" s="52">
        <f t="shared" si="6"/>
        <v>35</v>
      </c>
      <c r="AP80" s="118">
        <f>AO80*20</f>
        <v>700</v>
      </c>
    </row>
    <row r="81" spans="1:42" ht="17.25" customHeight="1">
      <c r="C81" s="11">
        <f>SUM(C74:C80)</f>
        <v>0</v>
      </c>
      <c r="D81" s="11">
        <f t="shared" ref="D81:AN81" si="9">SUM(D74:D80)</f>
        <v>0</v>
      </c>
      <c r="E81" s="11">
        <f t="shared" si="9"/>
        <v>0</v>
      </c>
      <c r="F81" s="11">
        <f t="shared" si="9"/>
        <v>0</v>
      </c>
      <c r="G81" s="11">
        <f t="shared" si="9"/>
        <v>0</v>
      </c>
      <c r="H81" s="123">
        <f t="shared" si="9"/>
        <v>0</v>
      </c>
      <c r="I81" s="11">
        <f t="shared" si="9"/>
        <v>0</v>
      </c>
      <c r="J81" s="11">
        <f t="shared" si="9"/>
        <v>0</v>
      </c>
      <c r="K81" s="11">
        <f t="shared" si="9"/>
        <v>1</v>
      </c>
      <c r="L81" s="11">
        <f t="shared" si="9"/>
        <v>2</v>
      </c>
      <c r="M81" s="11">
        <f t="shared" si="9"/>
        <v>0</v>
      </c>
      <c r="N81" s="124">
        <f t="shared" si="9"/>
        <v>0</v>
      </c>
      <c r="O81" s="11">
        <f t="shared" si="9"/>
        <v>6</v>
      </c>
      <c r="P81" s="11">
        <f t="shared" si="9"/>
        <v>6</v>
      </c>
      <c r="Q81" s="11">
        <f t="shared" si="9"/>
        <v>6</v>
      </c>
      <c r="R81" s="11">
        <f t="shared" si="9"/>
        <v>3</v>
      </c>
      <c r="S81" s="11">
        <f t="shared" si="9"/>
        <v>3</v>
      </c>
      <c r="T81" s="124">
        <f t="shared" si="9"/>
        <v>3</v>
      </c>
      <c r="U81" s="11">
        <f t="shared" si="9"/>
        <v>4</v>
      </c>
      <c r="V81" s="11">
        <f t="shared" si="9"/>
        <v>3</v>
      </c>
      <c r="W81" s="11">
        <f t="shared" si="9"/>
        <v>2</v>
      </c>
      <c r="X81" s="11">
        <f t="shared" si="9"/>
        <v>4</v>
      </c>
      <c r="Y81" s="11">
        <f t="shared" si="9"/>
        <v>3</v>
      </c>
      <c r="Z81" s="124">
        <f t="shared" si="9"/>
        <v>3</v>
      </c>
      <c r="AA81" s="11">
        <f t="shared" si="9"/>
        <v>3</v>
      </c>
      <c r="AB81" s="11">
        <f t="shared" si="9"/>
        <v>2</v>
      </c>
      <c r="AC81" s="11">
        <f t="shared" si="9"/>
        <v>2</v>
      </c>
      <c r="AD81" s="11">
        <f t="shared" si="9"/>
        <v>2</v>
      </c>
      <c r="AE81" s="11">
        <f t="shared" si="9"/>
        <v>2</v>
      </c>
      <c r="AF81" s="124">
        <f t="shared" si="9"/>
        <v>0</v>
      </c>
      <c r="AG81" s="11">
        <f t="shared" si="9"/>
        <v>2</v>
      </c>
      <c r="AH81" s="11">
        <f t="shared" si="9"/>
        <v>0</v>
      </c>
      <c r="AI81" s="11">
        <f t="shared" si="9"/>
        <v>2</v>
      </c>
      <c r="AJ81" s="11"/>
      <c r="AK81" s="11"/>
      <c r="AL81" s="124">
        <f t="shared" si="9"/>
        <v>4</v>
      </c>
      <c r="AM81" s="11">
        <f t="shared" si="9"/>
        <v>0</v>
      </c>
      <c r="AN81" s="124">
        <f t="shared" si="9"/>
        <v>0</v>
      </c>
      <c r="AP81" s="125">
        <f>SUM(AP74:AP80)</f>
        <v>1575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44:A50"/>
    <mergeCell ref="A52:A58"/>
    <mergeCell ref="B61:D62"/>
    <mergeCell ref="F61:M61"/>
    <mergeCell ref="A71:AP71"/>
    <mergeCell ref="F64:G64"/>
    <mergeCell ref="H64:I64"/>
    <mergeCell ref="J64:M64"/>
    <mergeCell ref="F63:I63"/>
    <mergeCell ref="J63:M63"/>
    <mergeCell ref="AG72:AL72"/>
    <mergeCell ref="AM72:AM73"/>
    <mergeCell ref="AN72:AN73"/>
    <mergeCell ref="A73:A80"/>
    <mergeCell ref="C72:H72"/>
    <mergeCell ref="I72:N72"/>
    <mergeCell ref="O72:T72"/>
    <mergeCell ref="U72:Z72"/>
    <mergeCell ref="AA72:AF72"/>
    <mergeCell ref="AM11:AM12"/>
    <mergeCell ref="AN11:AN12"/>
    <mergeCell ref="AA11:AF11"/>
    <mergeCell ref="AG11:AL11"/>
    <mergeCell ref="F62:I62"/>
    <mergeCell ref="J62:M62"/>
    <mergeCell ref="A37:A43"/>
    <mergeCell ref="C11:H11"/>
    <mergeCell ref="I11:N11"/>
    <mergeCell ref="O11:T11"/>
    <mergeCell ref="U11:Z11"/>
    <mergeCell ref="A13:A19"/>
    <mergeCell ref="A21:A27"/>
    <mergeCell ref="A29:A35"/>
    <mergeCell ref="AH8:AL9"/>
    <mergeCell ref="AM8:AO9"/>
    <mergeCell ref="A5:B5"/>
    <mergeCell ref="C5:E5"/>
    <mergeCell ref="F5:AB6"/>
    <mergeCell ref="A6:B6"/>
    <mergeCell ref="C6:E6"/>
    <mergeCell ref="AC5:AO6"/>
    <mergeCell ref="A8:O8"/>
    <mergeCell ref="P8:AA8"/>
    <mergeCell ref="AB8:AG9"/>
    <mergeCell ref="A9:O9"/>
    <mergeCell ref="P9:AA9"/>
    <mergeCell ref="AC1:AO4"/>
    <mergeCell ref="A3:B3"/>
    <mergeCell ref="C3:E3"/>
    <mergeCell ref="F3:AB4"/>
    <mergeCell ref="A4:B4"/>
    <mergeCell ref="C4:E4"/>
    <mergeCell ref="A1:B1"/>
    <mergeCell ref="C1:E1"/>
    <mergeCell ref="F1:AB2"/>
    <mergeCell ref="A2:B2"/>
    <mergeCell ref="C2:E2"/>
  </mergeCells>
  <conditionalFormatting sqref="B13:B19">
    <cfRule type="cellIs" dxfId="105" priority="6" operator="equal">
      <formula>0</formula>
    </cfRule>
  </conditionalFormatting>
  <conditionalFormatting sqref="B21:B35">
    <cfRule type="cellIs" dxfId="104" priority="4" operator="equal">
      <formula>0</formula>
    </cfRule>
  </conditionalFormatting>
  <conditionalFormatting sqref="B37:B50">
    <cfRule type="cellIs" dxfId="103" priority="2" operator="equal">
      <formula>0</formula>
    </cfRule>
  </conditionalFormatting>
  <conditionalFormatting sqref="B52:B58">
    <cfRule type="cellIs" dxfId="102" priority="1" operator="equal">
      <formula>0</formula>
    </cfRule>
  </conditionalFormatting>
  <conditionalFormatting sqref="B74:B80">
    <cfRule type="cellIs" dxfId="101" priority="18" operator="equal">
      <formula>0</formula>
    </cfRule>
  </conditionalFormatting>
  <conditionalFormatting sqref="B108:B109">
    <cfRule type="cellIs" dxfId="100" priority="16" operator="equal">
      <formula>0</formula>
    </cfRule>
  </conditionalFormatting>
  <conditionalFormatting sqref="B111:B116">
    <cfRule type="cellIs" dxfId="99" priority="15" operator="equal">
      <formula>0</formula>
    </cfRule>
  </conditionalFormatting>
  <conditionalFormatting sqref="B118:B123">
    <cfRule type="cellIs" dxfId="98" priority="14" operator="equal">
      <formula>0</formula>
    </cfRule>
  </conditionalFormatting>
  <conditionalFormatting sqref="C85:H85">
    <cfRule type="cellIs" dxfId="97" priority="17" operator="equal">
      <formula>0</formula>
    </cfRule>
  </conditionalFormatting>
  <conditionalFormatting sqref="C74:AN80">
    <cfRule type="cellIs" dxfId="96" priority="13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5647-3839-4B2A-8AEC-6404D1106B0C}">
  <dimension ref="A1:AT123"/>
  <sheetViews>
    <sheetView topLeftCell="A34" zoomScaleNormal="100" workbookViewId="0">
      <selection activeCell="C50" sqref="C50:AN50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81" t="s">
        <v>115</v>
      </c>
      <c r="B1" s="182"/>
      <c r="C1" s="183" t="s">
        <v>116</v>
      </c>
      <c r="D1" s="184"/>
      <c r="E1" s="184"/>
      <c r="F1" s="185" t="s">
        <v>94</v>
      </c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</row>
    <row r="2" spans="1:42">
      <c r="A2" s="181" t="s">
        <v>95</v>
      </c>
      <c r="B2" s="182"/>
      <c r="C2" s="183">
        <v>2.2000000000000002</v>
      </c>
      <c r="D2" s="184"/>
      <c r="E2" s="184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</row>
    <row r="3" spans="1:42">
      <c r="A3" s="181" t="s">
        <v>97</v>
      </c>
      <c r="B3" s="182"/>
      <c r="C3" s="186">
        <v>44589</v>
      </c>
      <c r="D3" s="187"/>
      <c r="E3" s="187"/>
      <c r="F3" s="188" t="s">
        <v>117</v>
      </c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</row>
    <row r="4" spans="1:42">
      <c r="A4" s="181" t="s">
        <v>118</v>
      </c>
      <c r="B4" s="182"/>
      <c r="C4" s="183" t="s">
        <v>102</v>
      </c>
      <c r="D4" s="184"/>
      <c r="E4" s="184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</row>
    <row r="5" spans="1:42">
      <c r="A5" s="181" t="s">
        <v>119</v>
      </c>
      <c r="B5" s="182"/>
      <c r="C5" s="183" t="s">
        <v>120</v>
      </c>
      <c r="D5" s="184"/>
      <c r="E5" s="184"/>
      <c r="F5" s="188" t="s">
        <v>104</v>
      </c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9" t="s">
        <v>121</v>
      </c>
      <c r="AD5" s="189"/>
      <c r="AE5" s="189"/>
      <c r="AF5" s="189"/>
      <c r="AG5" s="189"/>
      <c r="AH5" s="189"/>
      <c r="AI5" s="189"/>
      <c r="AJ5" s="189"/>
      <c r="AK5" s="189"/>
      <c r="AL5" s="189"/>
      <c r="AM5" s="189"/>
      <c r="AN5" s="189"/>
      <c r="AO5" s="189"/>
    </row>
    <row r="6" spans="1:42">
      <c r="A6" s="181" t="s">
        <v>122</v>
      </c>
      <c r="B6" s="182"/>
      <c r="C6" s="183" t="s">
        <v>120</v>
      </c>
      <c r="D6" s="184"/>
      <c r="E6" s="184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9"/>
      <c r="AD6" s="189"/>
      <c r="AE6" s="189"/>
      <c r="AF6" s="189"/>
      <c r="AG6" s="189"/>
      <c r="AH6" s="189"/>
      <c r="AI6" s="189"/>
      <c r="AJ6" s="189"/>
      <c r="AK6" s="189"/>
      <c r="AL6" s="189"/>
      <c r="AM6" s="189"/>
      <c r="AN6" s="189"/>
      <c r="AO6" s="189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 ht="15" customHeight="1">
      <c r="A8" s="190" t="s">
        <v>123</v>
      </c>
      <c r="B8" s="191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2" t="s">
        <v>124</v>
      </c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3" t="s">
        <v>159</v>
      </c>
      <c r="AC8" s="193"/>
      <c r="AD8" s="193"/>
      <c r="AE8" s="193"/>
      <c r="AF8" s="193"/>
      <c r="AG8" s="193"/>
      <c r="AH8" s="195">
        <v>13</v>
      </c>
      <c r="AI8" s="195"/>
      <c r="AJ8" s="195"/>
      <c r="AK8" s="195"/>
      <c r="AL8" s="195"/>
      <c r="AM8" s="195">
        <v>19</v>
      </c>
      <c r="AN8" s="195"/>
      <c r="AO8" s="197"/>
    </row>
    <row r="9" spans="1:42" ht="15" customHeight="1">
      <c r="A9" s="199" t="s">
        <v>125</v>
      </c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 t="s">
        <v>125</v>
      </c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194"/>
      <c r="AC9" s="194"/>
      <c r="AD9" s="194"/>
      <c r="AE9" s="194"/>
      <c r="AF9" s="194"/>
      <c r="AG9" s="194"/>
      <c r="AH9" s="196"/>
      <c r="AI9" s="196"/>
      <c r="AJ9" s="196"/>
      <c r="AK9" s="196"/>
      <c r="AL9" s="196"/>
      <c r="AM9" s="196"/>
      <c r="AN9" s="196"/>
      <c r="AO9" s="198"/>
    </row>
    <row r="10" spans="1:42" ht="7.5" customHeight="1"/>
    <row r="11" spans="1:42">
      <c r="C11" s="169" t="s">
        <v>0</v>
      </c>
      <c r="D11" s="169"/>
      <c r="E11" s="169"/>
      <c r="F11" s="169"/>
      <c r="G11" s="169"/>
      <c r="H11" s="169"/>
      <c r="I11" s="169" t="s">
        <v>1</v>
      </c>
      <c r="J11" s="169"/>
      <c r="K11" s="169"/>
      <c r="L11" s="169"/>
      <c r="M11" s="169"/>
      <c r="N11" s="169"/>
      <c r="O11" s="169" t="s">
        <v>2</v>
      </c>
      <c r="P11" s="169"/>
      <c r="Q11" s="169"/>
      <c r="R11" s="169"/>
      <c r="S11" s="169"/>
      <c r="T11" s="169"/>
      <c r="U11" s="169" t="s">
        <v>3</v>
      </c>
      <c r="V11" s="169"/>
      <c r="W11" s="169"/>
      <c r="X11" s="169"/>
      <c r="Y11" s="169"/>
      <c r="Z11" s="169"/>
      <c r="AA11" s="169" t="s">
        <v>4</v>
      </c>
      <c r="AB11" s="169"/>
      <c r="AC11" s="169"/>
      <c r="AD11" s="169"/>
      <c r="AE11" s="169"/>
      <c r="AF11" s="169"/>
      <c r="AG11" s="169" t="s">
        <v>5</v>
      </c>
      <c r="AH11" s="169"/>
      <c r="AI11" s="169"/>
      <c r="AJ11" s="169"/>
      <c r="AK11" s="169"/>
      <c r="AL11" s="169"/>
      <c r="AM11" s="160" t="s">
        <v>6</v>
      </c>
      <c r="AN11" s="160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60"/>
      <c r="AN12" s="160"/>
      <c r="AO12" s="88" t="s">
        <v>10</v>
      </c>
      <c r="AP12" s="89" t="s">
        <v>11</v>
      </c>
    </row>
    <row r="13" spans="1:42" ht="14.25" customHeight="1">
      <c r="A13" s="175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>
        <v>2</v>
      </c>
      <c r="L13" s="60">
        <v>1</v>
      </c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>
        <v>1</v>
      </c>
      <c r="AM13" s="90"/>
      <c r="AN13" s="91"/>
      <c r="AO13" s="92">
        <f t="shared" ref="AO13:AO19" si="0">SUM(C13:AN13)</f>
        <v>4</v>
      </c>
      <c r="AP13" s="93">
        <f>AO13*25</f>
        <v>100</v>
      </c>
    </row>
    <row r="14" spans="1:42" ht="14.25" customHeight="1">
      <c r="A14" s="175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0</v>
      </c>
      <c r="AP14" s="93">
        <f t="shared" ref="AP14:AP58" si="1">AO14*25</f>
        <v>0</v>
      </c>
    </row>
    <row r="15" spans="1:42" ht="14.25" customHeight="1">
      <c r="A15" s="175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>
        <v>1</v>
      </c>
      <c r="Q15" s="64">
        <v>1</v>
      </c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>
        <v>1</v>
      </c>
      <c r="AM15" s="94"/>
      <c r="AN15" s="95"/>
      <c r="AO15" s="92">
        <f t="shared" si="0"/>
        <v>3</v>
      </c>
      <c r="AP15" s="93">
        <f t="shared" si="1"/>
        <v>75</v>
      </c>
    </row>
    <row r="16" spans="1:42" ht="14.25" customHeight="1">
      <c r="A16" s="175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0</v>
      </c>
      <c r="AP16" s="93">
        <f t="shared" si="1"/>
        <v>0</v>
      </c>
    </row>
    <row r="17" spans="1:42" ht="14.25" customHeight="1">
      <c r="A17" s="175"/>
      <c r="B17" s="62" t="s">
        <v>132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>
        <v>2</v>
      </c>
      <c r="P17" s="64"/>
      <c r="Q17" s="64"/>
      <c r="R17" s="64">
        <v>2</v>
      </c>
      <c r="S17" s="64">
        <v>1</v>
      </c>
      <c r="T17" s="84"/>
      <c r="U17" s="83">
        <v>1</v>
      </c>
      <c r="V17" s="64">
        <v>1</v>
      </c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149"/>
      <c r="AH17" s="149"/>
      <c r="AI17" s="149"/>
      <c r="AJ17" s="149"/>
      <c r="AK17" s="149"/>
      <c r="AL17" s="149"/>
      <c r="AM17" s="63"/>
      <c r="AN17" s="134"/>
      <c r="AO17" s="92">
        <f t="shared" si="0"/>
        <v>7</v>
      </c>
      <c r="AP17" s="93">
        <f t="shared" si="1"/>
        <v>175</v>
      </c>
    </row>
    <row r="18" spans="1:42" ht="14.25" customHeight="1">
      <c r="A18" s="175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>
        <v>1</v>
      </c>
      <c r="S18" s="64">
        <v>2</v>
      </c>
      <c r="T18" s="84"/>
      <c r="U18" s="83">
        <v>1</v>
      </c>
      <c r="V18" s="64">
        <v>2</v>
      </c>
      <c r="W18" s="64">
        <v>2</v>
      </c>
      <c r="X18" s="64">
        <v>2</v>
      </c>
      <c r="Y18" s="64">
        <v>1</v>
      </c>
      <c r="Z18" s="84">
        <v>1</v>
      </c>
      <c r="AA18" s="83">
        <v>2</v>
      </c>
      <c r="AB18" s="64">
        <v>2</v>
      </c>
      <c r="AC18" s="64">
        <v>1</v>
      </c>
      <c r="AD18" s="64">
        <v>1</v>
      </c>
      <c r="AE18" s="64">
        <v>1</v>
      </c>
      <c r="AF18" s="84"/>
      <c r="AG18" s="149">
        <v>1</v>
      </c>
      <c r="AH18" s="149"/>
      <c r="AI18" s="149">
        <v>1</v>
      </c>
      <c r="AJ18" s="149">
        <v>1</v>
      </c>
      <c r="AK18" s="149"/>
      <c r="AL18" s="149"/>
      <c r="AM18" s="94"/>
      <c r="AN18" s="95"/>
      <c r="AO18" s="92">
        <f t="shared" si="0"/>
        <v>22</v>
      </c>
      <c r="AP18" s="93">
        <f t="shared" si="1"/>
        <v>550</v>
      </c>
    </row>
    <row r="19" spans="1:42" ht="14.25" customHeight="1">
      <c r="A19" s="175"/>
      <c r="B19" s="62" t="s">
        <v>142</v>
      </c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>
        <v>1</v>
      </c>
      <c r="S19" s="64">
        <v>2</v>
      </c>
      <c r="T19" s="84"/>
      <c r="U19" s="83">
        <v>1</v>
      </c>
      <c r="V19" s="64">
        <v>2</v>
      </c>
      <c r="W19" s="64">
        <v>2</v>
      </c>
      <c r="X19" s="64">
        <v>2</v>
      </c>
      <c r="Y19" s="64">
        <v>1</v>
      </c>
      <c r="Z19" s="84">
        <v>1</v>
      </c>
      <c r="AA19" s="83">
        <v>1</v>
      </c>
      <c r="AB19" s="64">
        <v>1</v>
      </c>
      <c r="AC19" s="64">
        <v>1</v>
      </c>
      <c r="AD19" s="64">
        <v>1</v>
      </c>
      <c r="AE19" s="64">
        <v>1</v>
      </c>
      <c r="AF19" s="84"/>
      <c r="AG19" s="149">
        <v>1</v>
      </c>
      <c r="AH19" s="149"/>
      <c r="AI19" s="149">
        <v>1</v>
      </c>
      <c r="AJ19" s="149">
        <v>1</v>
      </c>
      <c r="AK19" s="149"/>
      <c r="AL19" s="149"/>
      <c r="AM19" s="94"/>
      <c r="AN19" s="95"/>
      <c r="AO19" s="92">
        <f t="shared" si="0"/>
        <v>20</v>
      </c>
      <c r="AP19" s="93">
        <f t="shared" si="1"/>
        <v>500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70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71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71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71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71"/>
      <c r="B25" s="62" t="s">
        <v>132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71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72"/>
      <c r="B27" s="62" t="s">
        <v>142</v>
      </c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70" t="s">
        <v>19</v>
      </c>
      <c r="B29" s="58" t="s">
        <v>13</v>
      </c>
      <c r="C29" s="59"/>
      <c r="D29" s="60"/>
      <c r="E29" s="60"/>
      <c r="F29" s="60"/>
      <c r="G29" s="60"/>
      <c r="H29" s="61"/>
      <c r="I29" s="17"/>
      <c r="J29" s="60"/>
      <c r="K29" s="60"/>
      <c r="L29" s="60"/>
      <c r="M29" s="60"/>
      <c r="N29" s="82"/>
      <c r="O29" s="17"/>
      <c r="P29" s="60"/>
      <c r="Q29" s="60"/>
      <c r="R29" s="60"/>
      <c r="S29" s="60"/>
      <c r="T29" s="82"/>
      <c r="U29" s="17"/>
      <c r="V29" s="60"/>
      <c r="W29" s="60"/>
      <c r="X29" s="60"/>
      <c r="Y29" s="60"/>
      <c r="Z29" s="82"/>
      <c r="AA29" s="17"/>
      <c r="AB29" s="60"/>
      <c r="AC29" s="60"/>
      <c r="AD29" s="60"/>
      <c r="AE29" s="60"/>
      <c r="AF29" s="82"/>
      <c r="AG29" s="17"/>
      <c r="AH29" s="60"/>
      <c r="AI29" s="60"/>
      <c r="AJ29" s="144"/>
      <c r="AK29" s="144"/>
      <c r="AL29" s="61"/>
      <c r="AM29" s="90"/>
      <c r="AN29" s="91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71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149"/>
      <c r="AH30" s="150"/>
      <c r="AI30" s="150"/>
      <c r="AJ30" s="151"/>
      <c r="AK30" s="149"/>
      <c r="AL30" s="150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71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149"/>
      <c r="AH31" s="149"/>
      <c r="AI31" s="149"/>
      <c r="AJ31" s="149"/>
      <c r="AK31" s="149"/>
      <c r="AL31" s="149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71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149"/>
      <c r="AH32" s="149"/>
      <c r="AI32" s="149"/>
      <c r="AJ32" s="149"/>
      <c r="AK32" s="149"/>
      <c r="AL32" s="149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71"/>
      <c r="B33" s="62" t="s">
        <v>132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149"/>
      <c r="AH33" s="149"/>
      <c r="AI33" s="149"/>
      <c r="AJ33" s="149"/>
      <c r="AK33" s="149"/>
      <c r="AL33" s="149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71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149"/>
      <c r="AH34" s="149"/>
      <c r="AI34" s="149"/>
      <c r="AJ34" s="149"/>
      <c r="AK34" s="149"/>
      <c r="AL34" s="149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72"/>
      <c r="B35" s="62" t="s">
        <v>142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149"/>
      <c r="AH35" s="149"/>
      <c r="AI35" s="149"/>
      <c r="AJ35" s="149"/>
      <c r="AK35" s="149"/>
      <c r="AL35" s="149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70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71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71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71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71"/>
      <c r="B41" s="62" t="s">
        <v>132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71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" customHeight="1">
      <c r="A43" s="172"/>
      <c r="B43" s="62" t="s">
        <v>142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70" t="s">
        <v>21</v>
      </c>
      <c r="B44" s="58" t="s">
        <v>13</v>
      </c>
      <c r="C44" s="59"/>
      <c r="D44" s="60"/>
      <c r="E44" s="60"/>
      <c r="F44" s="60"/>
      <c r="G44" s="60"/>
      <c r="H44" s="61"/>
      <c r="I44" s="17"/>
      <c r="J44" s="60"/>
      <c r="K44" s="60">
        <v>2</v>
      </c>
      <c r="L44" s="60">
        <v>2</v>
      </c>
      <c r="M44" s="60"/>
      <c r="N44" s="82"/>
      <c r="O44" s="17"/>
      <c r="P44" s="60"/>
      <c r="Q44" s="60"/>
      <c r="R44" s="60"/>
      <c r="S44" s="60"/>
      <c r="T44" s="82"/>
      <c r="U44" s="17"/>
      <c r="V44" s="60"/>
      <c r="W44" s="60"/>
      <c r="X44" s="60"/>
      <c r="Y44" s="60"/>
      <c r="Z44" s="82"/>
      <c r="AA44" s="17"/>
      <c r="AB44" s="60"/>
      <c r="AC44" s="60"/>
      <c r="AD44" s="60"/>
      <c r="AE44" s="60"/>
      <c r="AF44" s="82"/>
      <c r="AG44" s="17"/>
      <c r="AH44" s="60"/>
      <c r="AI44" s="60"/>
      <c r="AJ44" s="144"/>
      <c r="AK44" s="144"/>
      <c r="AL44" s="61">
        <v>1</v>
      </c>
      <c r="AM44" s="90"/>
      <c r="AN44" s="91"/>
      <c r="AO44" s="99">
        <f t="shared" si="4"/>
        <v>5</v>
      </c>
      <c r="AP44" s="139">
        <f t="shared" si="1"/>
        <v>125</v>
      </c>
    </row>
    <row r="45" spans="1:42" ht="14.25" customHeight="1">
      <c r="A45" s="171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149"/>
      <c r="AH45" s="150"/>
      <c r="AI45" s="150"/>
      <c r="AJ45" s="151"/>
      <c r="AK45" s="149"/>
      <c r="AL45" s="150"/>
      <c r="AM45" s="94"/>
      <c r="AN45" s="95"/>
      <c r="AO45" s="92">
        <f t="shared" si="4"/>
        <v>0</v>
      </c>
      <c r="AP45" s="93">
        <f t="shared" si="1"/>
        <v>0</v>
      </c>
    </row>
    <row r="46" spans="1:42" ht="14.25" customHeight="1">
      <c r="A46" s="171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>
        <v>1</v>
      </c>
      <c r="Q46" s="64">
        <v>1</v>
      </c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149"/>
      <c r="AH46" s="149"/>
      <c r="AI46" s="149"/>
      <c r="AJ46" s="149"/>
      <c r="AK46" s="149"/>
      <c r="AL46" s="149">
        <v>1</v>
      </c>
      <c r="AM46" s="94"/>
      <c r="AN46" s="95"/>
      <c r="AO46" s="92">
        <f t="shared" si="4"/>
        <v>3</v>
      </c>
      <c r="AP46" s="93">
        <f t="shared" si="1"/>
        <v>75</v>
      </c>
    </row>
    <row r="47" spans="1:42" ht="14.25" customHeight="1">
      <c r="A47" s="171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149"/>
      <c r="AH47" s="149"/>
      <c r="AI47" s="149"/>
      <c r="AJ47" s="149"/>
      <c r="AK47" s="149"/>
      <c r="AL47" s="149"/>
      <c r="AM47" s="94"/>
      <c r="AN47" s="95"/>
      <c r="AO47" s="92">
        <f t="shared" si="4"/>
        <v>0</v>
      </c>
      <c r="AP47" s="93">
        <f t="shared" si="1"/>
        <v>0</v>
      </c>
    </row>
    <row r="48" spans="1:42" ht="14.25" customHeight="1">
      <c r="A48" s="171"/>
      <c r="B48" s="62" t="s">
        <v>132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>
        <v>2</v>
      </c>
      <c r="P48" s="64"/>
      <c r="Q48" s="64"/>
      <c r="R48" s="64">
        <v>1</v>
      </c>
      <c r="S48" s="64">
        <v>1</v>
      </c>
      <c r="T48" s="84"/>
      <c r="U48" s="83">
        <v>1</v>
      </c>
      <c r="V48" s="64">
        <v>1</v>
      </c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149"/>
      <c r="AH48" s="149"/>
      <c r="AI48" s="149"/>
      <c r="AJ48" s="149"/>
      <c r="AK48" s="149"/>
      <c r="AL48" s="149"/>
      <c r="AM48" s="63"/>
      <c r="AN48" s="134"/>
      <c r="AO48" s="92">
        <f t="shared" si="4"/>
        <v>6</v>
      </c>
      <c r="AP48" s="93">
        <f t="shared" si="1"/>
        <v>150</v>
      </c>
    </row>
    <row r="49" spans="1:46" ht="14.25" customHeight="1">
      <c r="A49" s="171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>
        <v>3</v>
      </c>
      <c r="U49" s="83"/>
      <c r="V49" s="64"/>
      <c r="W49" s="64">
        <v>2</v>
      </c>
      <c r="X49" s="64">
        <v>2</v>
      </c>
      <c r="Y49" s="64">
        <v>1</v>
      </c>
      <c r="Z49" s="84">
        <v>1</v>
      </c>
      <c r="AA49" s="83">
        <v>2</v>
      </c>
      <c r="AB49" s="64">
        <v>2</v>
      </c>
      <c r="AC49" s="64">
        <v>1</v>
      </c>
      <c r="AD49" s="64">
        <v>1</v>
      </c>
      <c r="AE49" s="64">
        <v>1</v>
      </c>
      <c r="AF49" s="84"/>
      <c r="AG49" s="149">
        <v>1</v>
      </c>
      <c r="AH49" s="149"/>
      <c r="AI49" s="149">
        <v>1</v>
      </c>
      <c r="AJ49" s="149">
        <v>2</v>
      </c>
      <c r="AK49" s="149"/>
      <c r="AL49" s="149"/>
      <c r="AM49" s="94"/>
      <c r="AN49" s="95"/>
      <c r="AO49" s="92">
        <f t="shared" si="4"/>
        <v>20</v>
      </c>
      <c r="AP49" s="93">
        <f t="shared" si="1"/>
        <v>500</v>
      </c>
      <c r="AT49" t="s">
        <v>22</v>
      </c>
    </row>
    <row r="50" spans="1:46" ht="14.25" customHeight="1">
      <c r="A50" s="172"/>
      <c r="B50" s="62" t="s">
        <v>142</v>
      </c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>
        <v>1</v>
      </c>
      <c r="S50" s="64">
        <v>1</v>
      </c>
      <c r="T50" s="84"/>
      <c r="U50" s="83">
        <v>1</v>
      </c>
      <c r="V50" s="64">
        <v>1</v>
      </c>
      <c r="W50" s="64">
        <v>1</v>
      </c>
      <c r="X50" s="64">
        <v>2</v>
      </c>
      <c r="Y50" s="64">
        <v>1</v>
      </c>
      <c r="Z50" s="84">
        <v>1</v>
      </c>
      <c r="AA50" s="83">
        <v>2</v>
      </c>
      <c r="AB50" s="64">
        <v>1</v>
      </c>
      <c r="AC50" s="64">
        <v>1</v>
      </c>
      <c r="AD50" s="64">
        <v>1</v>
      </c>
      <c r="AE50" s="64">
        <v>1</v>
      </c>
      <c r="AF50" s="84"/>
      <c r="AG50" s="149">
        <v>1</v>
      </c>
      <c r="AH50" s="149"/>
      <c r="AI50" s="149">
        <v>1</v>
      </c>
      <c r="AJ50" s="149">
        <v>1</v>
      </c>
      <c r="AK50" s="149"/>
      <c r="AL50" s="149"/>
      <c r="AM50" s="94"/>
      <c r="AN50" s="95"/>
      <c r="AO50" s="92">
        <f t="shared" si="4"/>
        <v>18</v>
      </c>
      <c r="AP50" s="93">
        <f>AO50*20</f>
        <v>360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70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71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71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71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71"/>
      <c r="B56" s="62" t="s">
        <v>132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71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72"/>
      <c r="B58" s="62" t="s">
        <v>142</v>
      </c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65" t="s">
        <v>25</v>
      </c>
      <c r="C61" s="165"/>
      <c r="D61" s="165"/>
      <c r="E61" s="73"/>
      <c r="F61" s="176" t="s">
        <v>26</v>
      </c>
      <c r="G61" s="176"/>
      <c r="H61" s="176"/>
      <c r="I61" s="176"/>
      <c r="J61" s="176"/>
      <c r="K61" s="176"/>
      <c r="L61" s="176"/>
      <c r="M61" s="176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65"/>
      <c r="C62" s="165"/>
      <c r="D62" s="165"/>
      <c r="E62" s="73"/>
      <c r="F62" s="177" t="s">
        <v>27</v>
      </c>
      <c r="G62" s="177"/>
      <c r="H62" s="177"/>
      <c r="I62" s="177"/>
      <c r="J62" s="177" t="s">
        <v>28</v>
      </c>
      <c r="K62" s="177"/>
      <c r="L62" s="177"/>
      <c r="M62" s="177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56</v>
      </c>
      <c r="D63" s="52">
        <f>SUM(AP13:AP19)</f>
        <v>1400</v>
      </c>
      <c r="E63" s="68"/>
      <c r="F63" s="178"/>
      <c r="G63" s="166"/>
      <c r="H63" s="166"/>
      <c r="I63" s="166"/>
      <c r="J63" s="179"/>
      <c r="K63" s="179"/>
      <c r="L63" s="179"/>
      <c r="M63" s="180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66"/>
      <c r="G64" s="166"/>
      <c r="H64" s="166"/>
      <c r="I64" s="166"/>
      <c r="J64" s="167"/>
      <c r="K64" s="168"/>
      <c r="L64" s="168"/>
      <c r="M64" s="168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52</v>
      </c>
      <c r="D67" s="52">
        <f>SUM(AP44:AP50)</f>
        <v>1210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108</v>
      </c>
      <c r="D69" s="80">
        <f>SUM(D63:D68)</f>
        <v>2610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69" t="s">
        <v>31</v>
      </c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  <c r="AL71" s="169"/>
      <c r="AM71" s="169"/>
      <c r="AN71" s="169"/>
      <c r="AO71" s="169"/>
      <c r="AP71" s="169"/>
    </row>
    <row r="72" spans="1:42">
      <c r="C72" s="162" t="s">
        <v>0</v>
      </c>
      <c r="D72" s="162"/>
      <c r="E72" s="162"/>
      <c r="F72" s="162"/>
      <c r="G72" s="162"/>
      <c r="H72" s="163"/>
      <c r="I72" s="162" t="s">
        <v>1</v>
      </c>
      <c r="J72" s="162"/>
      <c r="K72" s="162"/>
      <c r="L72" s="162"/>
      <c r="M72" s="162"/>
      <c r="N72" s="163"/>
      <c r="O72" s="161" t="s">
        <v>2</v>
      </c>
      <c r="P72" s="162"/>
      <c r="Q72" s="162"/>
      <c r="R72" s="162"/>
      <c r="S72" s="162"/>
      <c r="T72" s="163"/>
      <c r="U72" s="162" t="s">
        <v>32</v>
      </c>
      <c r="V72" s="162"/>
      <c r="W72" s="162"/>
      <c r="X72" s="162"/>
      <c r="Y72" s="162"/>
      <c r="Z72" s="163"/>
      <c r="AA72" s="162" t="s">
        <v>4</v>
      </c>
      <c r="AB72" s="162"/>
      <c r="AC72" s="162"/>
      <c r="AD72" s="162"/>
      <c r="AE72" s="162"/>
      <c r="AF72" s="163"/>
      <c r="AG72" s="162" t="s">
        <v>5</v>
      </c>
      <c r="AH72" s="162"/>
      <c r="AI72" s="162"/>
      <c r="AJ72" s="162"/>
      <c r="AK72" s="162"/>
      <c r="AL72" s="163"/>
      <c r="AM72" s="174" t="s">
        <v>6</v>
      </c>
      <c r="AN72" s="164" t="s">
        <v>7</v>
      </c>
      <c r="AO72" s="96"/>
      <c r="AP72" s="96"/>
    </row>
    <row r="73" spans="1:42">
      <c r="A73" s="173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174"/>
      <c r="AN73" s="164"/>
      <c r="AO73" s="116" t="s">
        <v>10</v>
      </c>
      <c r="AP73" s="117" t="s">
        <v>11</v>
      </c>
    </row>
    <row r="74" spans="1:42" ht="15" customHeight="1">
      <c r="A74" s="173"/>
      <c r="B74" s="105" t="s">
        <v>34</v>
      </c>
      <c r="C74" s="17">
        <f t="shared" ref="C74" si="5">SUM(C13+C21+C29+C37+C44+C52)</f>
        <v>0</v>
      </c>
      <c r="D74" s="17">
        <f t="shared" ref="C74:AN80" si="6">SUM(D13+D21+D29+D37+D44+D52)</f>
        <v>0</v>
      </c>
      <c r="E74" s="17">
        <f t="shared" si="6"/>
        <v>0</v>
      </c>
      <c r="F74" s="17">
        <f t="shared" si="6"/>
        <v>0</v>
      </c>
      <c r="G74" s="17">
        <f t="shared" si="6"/>
        <v>0</v>
      </c>
      <c r="H74" s="106">
        <f t="shared" si="6"/>
        <v>0</v>
      </c>
      <c r="I74" s="17">
        <f t="shared" si="6"/>
        <v>0</v>
      </c>
      <c r="J74" s="17">
        <f t="shared" si="6"/>
        <v>0</v>
      </c>
      <c r="K74" s="17">
        <f t="shared" si="6"/>
        <v>4</v>
      </c>
      <c r="L74" s="17">
        <f t="shared" si="6"/>
        <v>3</v>
      </c>
      <c r="M74" s="17">
        <f t="shared" si="6"/>
        <v>0</v>
      </c>
      <c r="N74" s="114">
        <f t="shared" si="6"/>
        <v>0</v>
      </c>
      <c r="O74" s="17">
        <f t="shared" si="6"/>
        <v>0</v>
      </c>
      <c r="P74" s="17">
        <f t="shared" si="6"/>
        <v>0</v>
      </c>
      <c r="Q74" s="17">
        <f t="shared" si="6"/>
        <v>0</v>
      </c>
      <c r="R74" s="17">
        <f t="shared" si="6"/>
        <v>0</v>
      </c>
      <c r="S74" s="17">
        <f t="shared" si="6"/>
        <v>0</v>
      </c>
      <c r="T74" s="114">
        <f t="shared" si="6"/>
        <v>0</v>
      </c>
      <c r="U74" s="17">
        <f t="shared" si="6"/>
        <v>0</v>
      </c>
      <c r="V74" s="17">
        <f t="shared" si="6"/>
        <v>0</v>
      </c>
      <c r="W74" s="17">
        <f t="shared" si="6"/>
        <v>0</v>
      </c>
      <c r="X74" s="17">
        <f t="shared" si="6"/>
        <v>0</v>
      </c>
      <c r="Y74" s="17">
        <f t="shared" si="6"/>
        <v>0</v>
      </c>
      <c r="Z74" s="114">
        <f t="shared" si="6"/>
        <v>0</v>
      </c>
      <c r="AA74" s="17">
        <f t="shared" si="6"/>
        <v>0</v>
      </c>
      <c r="AB74" s="17">
        <f t="shared" si="6"/>
        <v>0</v>
      </c>
      <c r="AC74" s="17">
        <f t="shared" si="6"/>
        <v>0</v>
      </c>
      <c r="AD74" s="17">
        <f t="shared" si="6"/>
        <v>0</v>
      </c>
      <c r="AE74" s="17">
        <f t="shared" si="6"/>
        <v>0</v>
      </c>
      <c r="AF74" s="114">
        <f t="shared" si="6"/>
        <v>0</v>
      </c>
      <c r="AG74" s="17">
        <f t="shared" si="6"/>
        <v>0</v>
      </c>
      <c r="AH74" s="17">
        <f t="shared" si="6"/>
        <v>0</v>
      </c>
      <c r="AI74" s="17">
        <f t="shared" si="6"/>
        <v>0</v>
      </c>
      <c r="AJ74" s="17">
        <f t="shared" si="6"/>
        <v>0</v>
      </c>
      <c r="AK74" s="17">
        <f t="shared" si="6"/>
        <v>0</v>
      </c>
      <c r="AL74" s="17">
        <f t="shared" si="6"/>
        <v>2</v>
      </c>
      <c r="AM74" s="17">
        <f t="shared" si="6"/>
        <v>0</v>
      </c>
      <c r="AN74" s="114">
        <f t="shared" si="6"/>
        <v>0</v>
      </c>
      <c r="AO74" s="52">
        <f>SUM(C74:AN74)</f>
        <v>9</v>
      </c>
      <c r="AP74" s="118">
        <f>AO74*25</f>
        <v>225</v>
      </c>
    </row>
    <row r="75" spans="1:42">
      <c r="A75" s="173"/>
      <c r="B75" s="105" t="s">
        <v>14</v>
      </c>
      <c r="C75" s="17">
        <f t="shared" si="6"/>
        <v>0</v>
      </c>
      <c r="D75" s="17">
        <f t="shared" si="6"/>
        <v>0</v>
      </c>
      <c r="E75" s="17">
        <f t="shared" si="6"/>
        <v>0</v>
      </c>
      <c r="F75" s="17">
        <f t="shared" si="6"/>
        <v>0</v>
      </c>
      <c r="G75" s="17">
        <f t="shared" si="6"/>
        <v>0</v>
      </c>
      <c r="H75" s="106">
        <f t="shared" si="6"/>
        <v>0</v>
      </c>
      <c r="I75" s="17">
        <f t="shared" si="6"/>
        <v>0</v>
      </c>
      <c r="J75" s="17">
        <f t="shared" si="6"/>
        <v>0</v>
      </c>
      <c r="K75" s="17">
        <f t="shared" si="6"/>
        <v>0</v>
      </c>
      <c r="L75" s="17">
        <f t="shared" si="6"/>
        <v>0</v>
      </c>
      <c r="M75" s="17">
        <f t="shared" si="6"/>
        <v>0</v>
      </c>
      <c r="N75" s="114">
        <f t="shared" si="6"/>
        <v>0</v>
      </c>
      <c r="O75" s="17">
        <f t="shared" si="6"/>
        <v>0</v>
      </c>
      <c r="P75" s="17">
        <f t="shared" si="6"/>
        <v>0</v>
      </c>
      <c r="Q75" s="17">
        <f t="shared" si="6"/>
        <v>0</v>
      </c>
      <c r="R75" s="17">
        <f t="shared" si="6"/>
        <v>0</v>
      </c>
      <c r="S75" s="17">
        <f t="shared" si="6"/>
        <v>0</v>
      </c>
      <c r="T75" s="114">
        <f t="shared" si="6"/>
        <v>0</v>
      </c>
      <c r="U75" s="17">
        <f t="shared" si="6"/>
        <v>0</v>
      </c>
      <c r="V75" s="17">
        <f t="shared" si="6"/>
        <v>0</v>
      </c>
      <c r="W75" s="17">
        <f t="shared" si="6"/>
        <v>0</v>
      </c>
      <c r="X75" s="17">
        <f t="shared" si="6"/>
        <v>0</v>
      </c>
      <c r="Y75" s="17">
        <f t="shared" si="6"/>
        <v>0</v>
      </c>
      <c r="Z75" s="114">
        <f t="shared" si="6"/>
        <v>0</v>
      </c>
      <c r="AA75" s="17">
        <f t="shared" si="6"/>
        <v>0</v>
      </c>
      <c r="AB75" s="17">
        <f t="shared" si="6"/>
        <v>0</v>
      </c>
      <c r="AC75" s="17">
        <f t="shared" si="6"/>
        <v>0</v>
      </c>
      <c r="AD75" s="17">
        <f t="shared" si="6"/>
        <v>0</v>
      </c>
      <c r="AE75" s="17">
        <f t="shared" si="6"/>
        <v>0</v>
      </c>
      <c r="AF75" s="114">
        <f t="shared" si="6"/>
        <v>0</v>
      </c>
      <c r="AG75" s="17">
        <f t="shared" si="6"/>
        <v>0</v>
      </c>
      <c r="AH75" s="17">
        <f t="shared" si="6"/>
        <v>0</v>
      </c>
      <c r="AI75" s="17">
        <f t="shared" si="6"/>
        <v>0</v>
      </c>
      <c r="AJ75" s="17">
        <f t="shared" si="6"/>
        <v>0</v>
      </c>
      <c r="AK75" s="17">
        <f t="shared" si="6"/>
        <v>0</v>
      </c>
      <c r="AL75" s="17">
        <f t="shared" si="6"/>
        <v>0</v>
      </c>
      <c r="AM75" s="17">
        <f t="shared" si="6"/>
        <v>0</v>
      </c>
      <c r="AN75" s="114">
        <f t="shared" si="6"/>
        <v>0</v>
      </c>
      <c r="AO75" s="52">
        <f t="shared" ref="AO75:AO80" si="7">SUM(C75:AN75)</f>
        <v>0</v>
      </c>
      <c r="AP75" s="118">
        <f t="shared" ref="AP75:AP79" si="8">AO75*25</f>
        <v>0</v>
      </c>
    </row>
    <row r="76" spans="1:42">
      <c r="A76" s="173"/>
      <c r="B76" s="105" t="s">
        <v>15</v>
      </c>
      <c r="C76" s="17">
        <f t="shared" si="6"/>
        <v>0</v>
      </c>
      <c r="D76" s="17">
        <f t="shared" si="6"/>
        <v>0</v>
      </c>
      <c r="E76" s="17">
        <f t="shared" si="6"/>
        <v>0</v>
      </c>
      <c r="F76" s="17">
        <f t="shared" si="6"/>
        <v>0</v>
      </c>
      <c r="G76" s="17">
        <f t="shared" si="6"/>
        <v>0</v>
      </c>
      <c r="H76" s="106">
        <f t="shared" si="6"/>
        <v>0</v>
      </c>
      <c r="I76" s="17">
        <f t="shared" si="6"/>
        <v>0</v>
      </c>
      <c r="J76" s="17">
        <f t="shared" si="6"/>
        <v>0</v>
      </c>
      <c r="K76" s="17">
        <f t="shared" si="6"/>
        <v>0</v>
      </c>
      <c r="L76" s="17">
        <f t="shared" si="6"/>
        <v>0</v>
      </c>
      <c r="M76" s="17">
        <f t="shared" si="6"/>
        <v>0</v>
      </c>
      <c r="N76" s="114">
        <f t="shared" si="6"/>
        <v>0</v>
      </c>
      <c r="O76" s="17">
        <f t="shared" si="6"/>
        <v>0</v>
      </c>
      <c r="P76" s="17">
        <f t="shared" si="6"/>
        <v>2</v>
      </c>
      <c r="Q76" s="17">
        <f t="shared" si="6"/>
        <v>2</v>
      </c>
      <c r="R76" s="17">
        <f t="shared" si="6"/>
        <v>0</v>
      </c>
      <c r="S76" s="17">
        <f t="shared" si="6"/>
        <v>0</v>
      </c>
      <c r="T76" s="114">
        <f t="shared" si="6"/>
        <v>0</v>
      </c>
      <c r="U76" s="17">
        <f t="shared" si="6"/>
        <v>0</v>
      </c>
      <c r="V76" s="17">
        <f t="shared" si="6"/>
        <v>0</v>
      </c>
      <c r="W76" s="17">
        <f t="shared" si="6"/>
        <v>0</v>
      </c>
      <c r="X76" s="17">
        <f t="shared" si="6"/>
        <v>0</v>
      </c>
      <c r="Y76" s="17">
        <f t="shared" si="6"/>
        <v>0</v>
      </c>
      <c r="Z76" s="114">
        <f t="shared" si="6"/>
        <v>0</v>
      </c>
      <c r="AA76" s="17">
        <f t="shared" si="6"/>
        <v>0</v>
      </c>
      <c r="AB76" s="17">
        <f t="shared" si="6"/>
        <v>0</v>
      </c>
      <c r="AC76" s="17">
        <f t="shared" si="6"/>
        <v>0</v>
      </c>
      <c r="AD76" s="17">
        <f t="shared" si="6"/>
        <v>0</v>
      </c>
      <c r="AE76" s="17">
        <f t="shared" si="6"/>
        <v>0</v>
      </c>
      <c r="AF76" s="114">
        <f t="shared" si="6"/>
        <v>0</v>
      </c>
      <c r="AG76" s="17">
        <f t="shared" si="6"/>
        <v>0</v>
      </c>
      <c r="AH76" s="17">
        <f t="shared" si="6"/>
        <v>0</v>
      </c>
      <c r="AI76" s="17">
        <f t="shared" si="6"/>
        <v>0</v>
      </c>
      <c r="AJ76" s="17">
        <f t="shared" si="6"/>
        <v>0</v>
      </c>
      <c r="AK76" s="17">
        <f t="shared" si="6"/>
        <v>0</v>
      </c>
      <c r="AL76" s="17">
        <f t="shared" si="6"/>
        <v>2</v>
      </c>
      <c r="AM76" s="17">
        <f t="shared" si="6"/>
        <v>0</v>
      </c>
      <c r="AN76" s="114">
        <f t="shared" si="6"/>
        <v>0</v>
      </c>
      <c r="AO76" s="52">
        <f t="shared" si="7"/>
        <v>6</v>
      </c>
      <c r="AP76" s="118">
        <f t="shared" si="8"/>
        <v>150</v>
      </c>
    </row>
    <row r="77" spans="1:42">
      <c r="A77" s="173"/>
      <c r="B77" s="105" t="s">
        <v>131</v>
      </c>
      <c r="C77" s="17">
        <f t="shared" si="6"/>
        <v>0</v>
      </c>
      <c r="D77" s="17">
        <f t="shared" si="6"/>
        <v>0</v>
      </c>
      <c r="E77" s="17">
        <f t="shared" si="6"/>
        <v>0</v>
      </c>
      <c r="F77" s="17">
        <f t="shared" si="6"/>
        <v>0</v>
      </c>
      <c r="G77" s="17">
        <f t="shared" si="6"/>
        <v>0</v>
      </c>
      <c r="H77" s="106">
        <f t="shared" si="6"/>
        <v>0</v>
      </c>
      <c r="I77" s="17">
        <f t="shared" si="6"/>
        <v>0</v>
      </c>
      <c r="J77" s="17">
        <f t="shared" si="6"/>
        <v>0</v>
      </c>
      <c r="K77" s="17">
        <f t="shared" si="6"/>
        <v>0</v>
      </c>
      <c r="L77" s="17">
        <f t="shared" si="6"/>
        <v>0</v>
      </c>
      <c r="M77" s="17">
        <f t="shared" si="6"/>
        <v>0</v>
      </c>
      <c r="N77" s="114">
        <f t="shared" si="6"/>
        <v>0</v>
      </c>
      <c r="O77" s="17">
        <f t="shared" si="6"/>
        <v>0</v>
      </c>
      <c r="P77" s="17">
        <f t="shared" si="6"/>
        <v>0</v>
      </c>
      <c r="Q77" s="17">
        <f t="shared" si="6"/>
        <v>0</v>
      </c>
      <c r="R77" s="17">
        <f t="shared" si="6"/>
        <v>0</v>
      </c>
      <c r="S77" s="17">
        <f t="shared" si="6"/>
        <v>0</v>
      </c>
      <c r="T77" s="114">
        <f t="shared" si="6"/>
        <v>0</v>
      </c>
      <c r="U77" s="17">
        <f t="shared" si="6"/>
        <v>0</v>
      </c>
      <c r="V77" s="17">
        <f t="shared" si="6"/>
        <v>0</v>
      </c>
      <c r="W77" s="17">
        <f t="shared" si="6"/>
        <v>0</v>
      </c>
      <c r="X77" s="17">
        <f t="shared" si="6"/>
        <v>0</v>
      </c>
      <c r="Y77" s="17">
        <f t="shared" si="6"/>
        <v>0</v>
      </c>
      <c r="Z77" s="114">
        <f t="shared" si="6"/>
        <v>0</v>
      </c>
      <c r="AA77" s="17">
        <f t="shared" si="6"/>
        <v>0</v>
      </c>
      <c r="AB77" s="17">
        <f t="shared" si="6"/>
        <v>0</v>
      </c>
      <c r="AC77" s="17">
        <f t="shared" si="6"/>
        <v>0</v>
      </c>
      <c r="AD77" s="17">
        <f t="shared" si="6"/>
        <v>0</v>
      </c>
      <c r="AE77" s="17">
        <f t="shared" si="6"/>
        <v>0</v>
      </c>
      <c r="AF77" s="114">
        <f t="shared" si="6"/>
        <v>0</v>
      </c>
      <c r="AG77" s="17">
        <f t="shared" si="6"/>
        <v>0</v>
      </c>
      <c r="AH77" s="17">
        <f t="shared" si="6"/>
        <v>0</v>
      </c>
      <c r="AI77" s="17">
        <f t="shared" si="6"/>
        <v>0</v>
      </c>
      <c r="AJ77" s="17">
        <f t="shared" si="6"/>
        <v>0</v>
      </c>
      <c r="AK77" s="17">
        <f t="shared" si="6"/>
        <v>0</v>
      </c>
      <c r="AL77" s="17">
        <f t="shared" si="6"/>
        <v>0</v>
      </c>
      <c r="AM77" s="17">
        <f t="shared" si="6"/>
        <v>0</v>
      </c>
      <c r="AN77" s="114">
        <f t="shared" si="6"/>
        <v>0</v>
      </c>
      <c r="AO77" s="52">
        <f t="shared" si="7"/>
        <v>0</v>
      </c>
      <c r="AP77" s="118">
        <f t="shared" si="8"/>
        <v>0</v>
      </c>
    </row>
    <row r="78" spans="1:42">
      <c r="A78" s="173"/>
      <c r="B78" s="105" t="s">
        <v>16</v>
      </c>
      <c r="C78" s="17">
        <f t="shared" si="6"/>
        <v>0</v>
      </c>
      <c r="D78" s="17">
        <f t="shared" si="6"/>
        <v>0</v>
      </c>
      <c r="E78" s="17">
        <f t="shared" si="6"/>
        <v>0</v>
      </c>
      <c r="F78" s="17">
        <f t="shared" si="6"/>
        <v>0</v>
      </c>
      <c r="G78" s="17">
        <f t="shared" si="6"/>
        <v>0</v>
      </c>
      <c r="H78" s="106">
        <f t="shared" si="6"/>
        <v>0</v>
      </c>
      <c r="I78" s="17">
        <f t="shared" si="6"/>
        <v>0</v>
      </c>
      <c r="J78" s="17">
        <f t="shared" si="6"/>
        <v>0</v>
      </c>
      <c r="K78" s="17">
        <f t="shared" si="6"/>
        <v>0</v>
      </c>
      <c r="L78" s="17">
        <f t="shared" si="6"/>
        <v>0</v>
      </c>
      <c r="M78" s="17">
        <f t="shared" si="6"/>
        <v>0</v>
      </c>
      <c r="N78" s="114">
        <f t="shared" si="6"/>
        <v>0</v>
      </c>
      <c r="O78" s="17">
        <f t="shared" si="6"/>
        <v>4</v>
      </c>
      <c r="P78" s="17">
        <f t="shared" si="6"/>
        <v>0</v>
      </c>
      <c r="Q78" s="17">
        <f t="shared" si="6"/>
        <v>0</v>
      </c>
      <c r="R78" s="17">
        <f t="shared" si="6"/>
        <v>3</v>
      </c>
      <c r="S78" s="17">
        <f t="shared" si="6"/>
        <v>2</v>
      </c>
      <c r="T78" s="114">
        <f t="shared" si="6"/>
        <v>0</v>
      </c>
      <c r="U78" s="17">
        <f t="shared" si="6"/>
        <v>2</v>
      </c>
      <c r="V78" s="17">
        <f t="shared" si="6"/>
        <v>2</v>
      </c>
      <c r="W78" s="17">
        <f t="shared" si="6"/>
        <v>0</v>
      </c>
      <c r="X78" s="17">
        <f t="shared" si="6"/>
        <v>0</v>
      </c>
      <c r="Y78" s="17">
        <f t="shared" si="6"/>
        <v>0</v>
      </c>
      <c r="Z78" s="114">
        <f t="shared" si="6"/>
        <v>0</v>
      </c>
      <c r="AA78" s="17">
        <f t="shared" si="6"/>
        <v>0</v>
      </c>
      <c r="AB78" s="17">
        <f t="shared" si="6"/>
        <v>0</v>
      </c>
      <c r="AC78" s="17">
        <f t="shared" si="6"/>
        <v>0</v>
      </c>
      <c r="AD78" s="17">
        <f t="shared" si="6"/>
        <v>0</v>
      </c>
      <c r="AE78" s="17">
        <f t="shared" si="6"/>
        <v>0</v>
      </c>
      <c r="AF78" s="114">
        <f t="shared" si="6"/>
        <v>0</v>
      </c>
      <c r="AG78" s="17">
        <f t="shared" si="6"/>
        <v>0</v>
      </c>
      <c r="AH78" s="17">
        <f t="shared" si="6"/>
        <v>0</v>
      </c>
      <c r="AI78" s="17">
        <f t="shared" si="6"/>
        <v>0</v>
      </c>
      <c r="AJ78" s="17">
        <f t="shared" si="6"/>
        <v>0</v>
      </c>
      <c r="AK78" s="17">
        <f t="shared" si="6"/>
        <v>0</v>
      </c>
      <c r="AL78" s="17">
        <f t="shared" si="6"/>
        <v>0</v>
      </c>
      <c r="AM78" s="17">
        <f t="shared" si="6"/>
        <v>0</v>
      </c>
      <c r="AN78" s="114">
        <f t="shared" si="6"/>
        <v>0</v>
      </c>
      <c r="AO78" s="52">
        <f t="shared" si="7"/>
        <v>13</v>
      </c>
      <c r="AP78" s="118">
        <f t="shared" si="8"/>
        <v>325</v>
      </c>
    </row>
    <row r="79" spans="1:42">
      <c r="A79" s="173"/>
      <c r="B79" s="105" t="s">
        <v>17</v>
      </c>
      <c r="C79" s="17">
        <f t="shared" si="6"/>
        <v>0</v>
      </c>
      <c r="D79" s="17">
        <f t="shared" si="6"/>
        <v>0</v>
      </c>
      <c r="E79" s="17">
        <f t="shared" si="6"/>
        <v>0</v>
      </c>
      <c r="F79" s="17">
        <f t="shared" si="6"/>
        <v>0</v>
      </c>
      <c r="G79" s="17">
        <f t="shared" si="6"/>
        <v>0</v>
      </c>
      <c r="H79" s="106">
        <f t="shared" si="6"/>
        <v>0</v>
      </c>
      <c r="I79" s="17">
        <f t="shared" si="6"/>
        <v>0</v>
      </c>
      <c r="J79" s="17">
        <f t="shared" si="6"/>
        <v>0</v>
      </c>
      <c r="K79" s="17">
        <f t="shared" si="6"/>
        <v>0</v>
      </c>
      <c r="L79" s="17">
        <f t="shared" si="6"/>
        <v>0</v>
      </c>
      <c r="M79" s="17">
        <f t="shared" si="6"/>
        <v>0</v>
      </c>
      <c r="N79" s="114">
        <f t="shared" si="6"/>
        <v>0</v>
      </c>
      <c r="O79" s="17">
        <f t="shared" si="6"/>
        <v>0</v>
      </c>
      <c r="P79" s="17">
        <f t="shared" si="6"/>
        <v>0</v>
      </c>
      <c r="Q79" s="17">
        <f t="shared" si="6"/>
        <v>0</v>
      </c>
      <c r="R79" s="17">
        <f t="shared" si="6"/>
        <v>1</v>
      </c>
      <c r="S79" s="17">
        <f t="shared" si="6"/>
        <v>2</v>
      </c>
      <c r="T79" s="114">
        <f t="shared" si="6"/>
        <v>3</v>
      </c>
      <c r="U79" s="17">
        <f t="shared" si="6"/>
        <v>1</v>
      </c>
      <c r="V79" s="17">
        <f t="shared" si="6"/>
        <v>2</v>
      </c>
      <c r="W79" s="17">
        <f t="shared" si="6"/>
        <v>4</v>
      </c>
      <c r="X79" s="17">
        <f t="shared" si="6"/>
        <v>4</v>
      </c>
      <c r="Y79" s="17">
        <f t="shared" si="6"/>
        <v>2</v>
      </c>
      <c r="Z79" s="114">
        <f t="shared" si="6"/>
        <v>2</v>
      </c>
      <c r="AA79" s="17">
        <f t="shared" si="6"/>
        <v>4</v>
      </c>
      <c r="AB79" s="17">
        <f t="shared" si="6"/>
        <v>4</v>
      </c>
      <c r="AC79" s="17">
        <f t="shared" si="6"/>
        <v>2</v>
      </c>
      <c r="AD79" s="17">
        <f t="shared" si="6"/>
        <v>2</v>
      </c>
      <c r="AE79" s="17">
        <f t="shared" si="6"/>
        <v>2</v>
      </c>
      <c r="AF79" s="114">
        <f t="shared" si="6"/>
        <v>0</v>
      </c>
      <c r="AG79" s="17">
        <f t="shared" si="6"/>
        <v>2</v>
      </c>
      <c r="AH79" s="17">
        <f t="shared" si="6"/>
        <v>0</v>
      </c>
      <c r="AI79" s="17">
        <f t="shared" si="6"/>
        <v>2</v>
      </c>
      <c r="AJ79" s="17">
        <f t="shared" si="6"/>
        <v>3</v>
      </c>
      <c r="AK79" s="17">
        <f t="shared" si="6"/>
        <v>0</v>
      </c>
      <c r="AL79" s="17">
        <f t="shared" si="6"/>
        <v>0</v>
      </c>
      <c r="AM79" s="17">
        <f t="shared" si="6"/>
        <v>0</v>
      </c>
      <c r="AN79" s="114">
        <f t="shared" si="6"/>
        <v>0</v>
      </c>
      <c r="AO79" s="52">
        <f t="shared" si="7"/>
        <v>42</v>
      </c>
      <c r="AP79" s="118">
        <f t="shared" si="8"/>
        <v>1050</v>
      </c>
    </row>
    <row r="80" spans="1:42">
      <c r="A80" s="173"/>
      <c r="B80" s="105" t="s">
        <v>23</v>
      </c>
      <c r="C80" s="17">
        <f t="shared" si="6"/>
        <v>0</v>
      </c>
      <c r="D80" s="17">
        <f t="shared" si="6"/>
        <v>0</v>
      </c>
      <c r="E80" s="17">
        <f t="shared" si="6"/>
        <v>0</v>
      </c>
      <c r="F80" s="17">
        <f t="shared" si="6"/>
        <v>0</v>
      </c>
      <c r="G80" s="17">
        <f t="shared" si="6"/>
        <v>0</v>
      </c>
      <c r="H80" s="122">
        <f t="shared" si="6"/>
        <v>0</v>
      </c>
      <c r="I80" s="17">
        <f t="shared" si="6"/>
        <v>0</v>
      </c>
      <c r="J80" s="17">
        <f t="shared" si="6"/>
        <v>0</v>
      </c>
      <c r="K80" s="17">
        <f t="shared" si="6"/>
        <v>0</v>
      </c>
      <c r="L80" s="17">
        <f t="shared" si="6"/>
        <v>0</v>
      </c>
      <c r="M80" s="17">
        <f t="shared" si="6"/>
        <v>0</v>
      </c>
      <c r="N80" s="114">
        <f t="shared" si="6"/>
        <v>0</v>
      </c>
      <c r="O80" s="17">
        <f t="shared" si="6"/>
        <v>0</v>
      </c>
      <c r="P80" s="17">
        <f t="shared" si="6"/>
        <v>0</v>
      </c>
      <c r="Q80" s="17">
        <f t="shared" si="6"/>
        <v>0</v>
      </c>
      <c r="R80" s="17">
        <f t="shared" si="6"/>
        <v>2</v>
      </c>
      <c r="S80" s="17">
        <f t="shared" si="6"/>
        <v>3</v>
      </c>
      <c r="T80" s="114">
        <f t="shared" si="6"/>
        <v>0</v>
      </c>
      <c r="U80" s="17">
        <f t="shared" si="6"/>
        <v>2</v>
      </c>
      <c r="V80" s="17">
        <f t="shared" si="6"/>
        <v>3</v>
      </c>
      <c r="W80" s="17">
        <f t="shared" si="6"/>
        <v>3</v>
      </c>
      <c r="X80" s="17">
        <f t="shared" si="6"/>
        <v>4</v>
      </c>
      <c r="Y80" s="17">
        <f t="shared" si="6"/>
        <v>2</v>
      </c>
      <c r="Z80" s="114">
        <f t="shared" si="6"/>
        <v>2</v>
      </c>
      <c r="AA80" s="17">
        <f t="shared" si="6"/>
        <v>3</v>
      </c>
      <c r="AB80" s="17">
        <f t="shared" si="6"/>
        <v>2</v>
      </c>
      <c r="AC80" s="17">
        <f t="shared" si="6"/>
        <v>2</v>
      </c>
      <c r="AD80" s="17">
        <f t="shared" ref="AD80:AN80" si="9">SUM(AD19+AD27+AD35+AD43+AD50+AD58)</f>
        <v>2</v>
      </c>
      <c r="AE80" s="17">
        <f t="shared" si="9"/>
        <v>2</v>
      </c>
      <c r="AF80" s="114">
        <f t="shared" si="9"/>
        <v>0</v>
      </c>
      <c r="AG80" s="17">
        <f t="shared" si="9"/>
        <v>2</v>
      </c>
      <c r="AH80" s="17">
        <f t="shared" si="9"/>
        <v>0</v>
      </c>
      <c r="AI80" s="17">
        <f t="shared" si="9"/>
        <v>2</v>
      </c>
      <c r="AJ80" s="17">
        <f t="shared" si="9"/>
        <v>2</v>
      </c>
      <c r="AK80" s="17">
        <f t="shared" si="9"/>
        <v>0</v>
      </c>
      <c r="AL80" s="17">
        <f t="shared" si="9"/>
        <v>0</v>
      </c>
      <c r="AM80" s="17">
        <f t="shared" si="9"/>
        <v>0</v>
      </c>
      <c r="AN80" s="114">
        <f t="shared" si="9"/>
        <v>0</v>
      </c>
      <c r="AO80" s="52">
        <f t="shared" si="7"/>
        <v>38</v>
      </c>
      <c r="AP80" s="118">
        <f>AO80*20</f>
        <v>760</v>
      </c>
    </row>
    <row r="81" spans="1:42" ht="17.25" customHeight="1">
      <c r="C81" s="11">
        <f>SUM(C74:C80)</f>
        <v>0</v>
      </c>
      <c r="D81" s="11">
        <f t="shared" ref="D81:AN81" si="10">SUM(D74:D80)</f>
        <v>0</v>
      </c>
      <c r="E81" s="11">
        <f t="shared" si="10"/>
        <v>0</v>
      </c>
      <c r="F81" s="11">
        <f t="shared" si="10"/>
        <v>0</v>
      </c>
      <c r="G81" s="11">
        <f t="shared" si="10"/>
        <v>0</v>
      </c>
      <c r="H81" s="123">
        <f t="shared" si="10"/>
        <v>0</v>
      </c>
      <c r="I81" s="11">
        <f t="shared" si="10"/>
        <v>0</v>
      </c>
      <c r="J81" s="11">
        <f t="shared" si="10"/>
        <v>0</v>
      </c>
      <c r="K81" s="11">
        <f t="shared" si="10"/>
        <v>4</v>
      </c>
      <c r="L81" s="11">
        <f t="shared" si="10"/>
        <v>3</v>
      </c>
      <c r="M81" s="11">
        <f t="shared" si="10"/>
        <v>0</v>
      </c>
      <c r="N81" s="124">
        <f t="shared" si="10"/>
        <v>0</v>
      </c>
      <c r="O81" s="11">
        <f t="shared" si="10"/>
        <v>4</v>
      </c>
      <c r="P81" s="11">
        <f t="shared" si="10"/>
        <v>2</v>
      </c>
      <c r="Q81" s="11">
        <f t="shared" si="10"/>
        <v>2</v>
      </c>
      <c r="R81" s="11">
        <f t="shared" si="10"/>
        <v>6</v>
      </c>
      <c r="S81" s="11">
        <f t="shared" si="10"/>
        <v>7</v>
      </c>
      <c r="T81" s="124">
        <f t="shared" si="10"/>
        <v>3</v>
      </c>
      <c r="U81" s="11">
        <f t="shared" si="10"/>
        <v>5</v>
      </c>
      <c r="V81" s="11">
        <f t="shared" si="10"/>
        <v>7</v>
      </c>
      <c r="W81" s="11">
        <f t="shared" si="10"/>
        <v>7</v>
      </c>
      <c r="X81" s="11">
        <f t="shared" si="10"/>
        <v>8</v>
      </c>
      <c r="Y81" s="11">
        <f t="shared" si="10"/>
        <v>4</v>
      </c>
      <c r="Z81" s="124">
        <f t="shared" si="10"/>
        <v>4</v>
      </c>
      <c r="AA81" s="11">
        <f t="shared" si="10"/>
        <v>7</v>
      </c>
      <c r="AB81" s="11">
        <f t="shared" si="10"/>
        <v>6</v>
      </c>
      <c r="AC81" s="11">
        <f t="shared" si="10"/>
        <v>4</v>
      </c>
      <c r="AD81" s="11">
        <f t="shared" si="10"/>
        <v>4</v>
      </c>
      <c r="AE81" s="11">
        <f t="shared" si="10"/>
        <v>4</v>
      </c>
      <c r="AF81" s="124">
        <f t="shared" si="10"/>
        <v>0</v>
      </c>
      <c r="AG81" s="11">
        <f t="shared" si="10"/>
        <v>4</v>
      </c>
      <c r="AH81" s="11">
        <f t="shared" si="10"/>
        <v>0</v>
      </c>
      <c r="AI81" s="11">
        <f t="shared" si="10"/>
        <v>4</v>
      </c>
      <c r="AJ81" s="11"/>
      <c r="AK81" s="11"/>
      <c r="AL81" s="124">
        <f t="shared" si="10"/>
        <v>4</v>
      </c>
      <c r="AM81" s="11">
        <f t="shared" si="10"/>
        <v>0</v>
      </c>
      <c r="AN81" s="124">
        <f t="shared" si="10"/>
        <v>0</v>
      </c>
      <c r="AP81" s="125">
        <f>SUM(AP74:AP80)</f>
        <v>2510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44:A50"/>
    <mergeCell ref="A52:A58"/>
    <mergeCell ref="B61:D62"/>
    <mergeCell ref="F61:M61"/>
    <mergeCell ref="A71:AP71"/>
    <mergeCell ref="F64:G64"/>
    <mergeCell ref="H64:I64"/>
    <mergeCell ref="J64:M64"/>
    <mergeCell ref="F63:I63"/>
    <mergeCell ref="J63:M63"/>
    <mergeCell ref="AG72:AL72"/>
    <mergeCell ref="AM72:AM73"/>
    <mergeCell ref="AN72:AN73"/>
    <mergeCell ref="A73:A80"/>
    <mergeCell ref="C72:H72"/>
    <mergeCell ref="I72:N72"/>
    <mergeCell ref="O72:T72"/>
    <mergeCell ref="U72:Z72"/>
    <mergeCell ref="AA72:AF72"/>
    <mergeCell ref="AM11:AM12"/>
    <mergeCell ref="AN11:AN12"/>
    <mergeCell ref="AA11:AF11"/>
    <mergeCell ref="AG11:AL11"/>
    <mergeCell ref="F62:I62"/>
    <mergeCell ref="J62:M62"/>
    <mergeCell ref="A37:A43"/>
    <mergeCell ref="C11:H11"/>
    <mergeCell ref="I11:N11"/>
    <mergeCell ref="O11:T11"/>
    <mergeCell ref="U11:Z11"/>
    <mergeCell ref="A13:A19"/>
    <mergeCell ref="A21:A27"/>
    <mergeCell ref="A29:A35"/>
    <mergeCell ref="AH8:AL9"/>
    <mergeCell ref="AM8:AO9"/>
    <mergeCell ref="A5:B5"/>
    <mergeCell ref="C5:E5"/>
    <mergeCell ref="F5:AB6"/>
    <mergeCell ref="A6:B6"/>
    <mergeCell ref="C6:E6"/>
    <mergeCell ref="AC5:AO6"/>
    <mergeCell ref="A8:O8"/>
    <mergeCell ref="P8:AA8"/>
    <mergeCell ref="AB8:AG9"/>
    <mergeCell ref="A9:O9"/>
    <mergeCell ref="P9:AA9"/>
    <mergeCell ref="AC1:AO4"/>
    <mergeCell ref="A3:B3"/>
    <mergeCell ref="C3:E3"/>
    <mergeCell ref="F3:AB4"/>
    <mergeCell ref="A4:B4"/>
    <mergeCell ref="C4:E4"/>
    <mergeCell ref="A1:B1"/>
    <mergeCell ref="C1:E1"/>
    <mergeCell ref="F1:AB2"/>
    <mergeCell ref="A2:B2"/>
    <mergeCell ref="C2:E2"/>
  </mergeCells>
  <conditionalFormatting sqref="B13:B19">
    <cfRule type="cellIs" dxfId="95" priority="6" operator="equal">
      <formula>0</formula>
    </cfRule>
  </conditionalFormatting>
  <conditionalFormatting sqref="B21:B35">
    <cfRule type="cellIs" dxfId="94" priority="4" operator="equal">
      <formula>0</formula>
    </cfRule>
  </conditionalFormatting>
  <conditionalFormatting sqref="B37:B50">
    <cfRule type="cellIs" dxfId="93" priority="2" operator="equal">
      <formula>0</formula>
    </cfRule>
  </conditionalFormatting>
  <conditionalFormatting sqref="B52:B58">
    <cfRule type="cellIs" dxfId="92" priority="1" operator="equal">
      <formula>0</formula>
    </cfRule>
  </conditionalFormatting>
  <conditionalFormatting sqref="B74:B80">
    <cfRule type="cellIs" dxfId="91" priority="18" operator="equal">
      <formula>0</formula>
    </cfRule>
  </conditionalFormatting>
  <conditionalFormatting sqref="B108:B109">
    <cfRule type="cellIs" dxfId="90" priority="16" operator="equal">
      <formula>0</formula>
    </cfRule>
  </conditionalFormatting>
  <conditionalFormatting sqref="B111:B116">
    <cfRule type="cellIs" dxfId="89" priority="15" operator="equal">
      <formula>0</formula>
    </cfRule>
  </conditionalFormatting>
  <conditionalFormatting sqref="B118:B123">
    <cfRule type="cellIs" dxfId="88" priority="14" operator="equal">
      <formula>0</formula>
    </cfRule>
  </conditionalFormatting>
  <conditionalFormatting sqref="C85:H85">
    <cfRule type="cellIs" dxfId="87" priority="17" operator="equal">
      <formula>0</formula>
    </cfRule>
  </conditionalFormatting>
  <conditionalFormatting sqref="C74:AN80">
    <cfRule type="cellIs" dxfId="86" priority="13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C8AD-60D1-4416-9EC7-0F0D95237FA3}">
  <dimension ref="A1:AT123"/>
  <sheetViews>
    <sheetView topLeftCell="A37" zoomScaleNormal="100" workbookViewId="0">
      <selection activeCell="C50" sqref="C50:AN50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81" t="s">
        <v>115</v>
      </c>
      <c r="B1" s="182"/>
      <c r="C1" s="183" t="s">
        <v>116</v>
      </c>
      <c r="D1" s="184"/>
      <c r="E1" s="184"/>
      <c r="F1" s="185" t="s">
        <v>94</v>
      </c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</row>
    <row r="2" spans="1:42">
      <c r="A2" s="181" t="s">
        <v>95</v>
      </c>
      <c r="B2" s="182"/>
      <c r="C2" s="183">
        <v>2.2000000000000002</v>
      </c>
      <c r="D2" s="184"/>
      <c r="E2" s="184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</row>
    <row r="3" spans="1:42">
      <c r="A3" s="181" t="s">
        <v>97</v>
      </c>
      <c r="B3" s="182"/>
      <c r="C3" s="186">
        <v>44589</v>
      </c>
      <c r="D3" s="187"/>
      <c r="E3" s="187"/>
      <c r="F3" s="188" t="s">
        <v>117</v>
      </c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</row>
    <row r="4" spans="1:42">
      <c r="A4" s="181" t="s">
        <v>118</v>
      </c>
      <c r="B4" s="182"/>
      <c r="C4" s="183" t="s">
        <v>102</v>
      </c>
      <c r="D4" s="184"/>
      <c r="E4" s="184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</row>
    <row r="5" spans="1:42">
      <c r="A5" s="181" t="s">
        <v>119</v>
      </c>
      <c r="B5" s="182"/>
      <c r="C5" s="183" t="s">
        <v>120</v>
      </c>
      <c r="D5" s="184"/>
      <c r="E5" s="184"/>
      <c r="F5" s="188" t="s">
        <v>104</v>
      </c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9" t="s">
        <v>121</v>
      </c>
      <c r="AD5" s="189"/>
      <c r="AE5" s="189"/>
      <c r="AF5" s="189"/>
      <c r="AG5" s="189"/>
      <c r="AH5" s="189"/>
      <c r="AI5" s="189"/>
      <c r="AJ5" s="189"/>
      <c r="AK5" s="189"/>
      <c r="AL5" s="189"/>
      <c r="AM5" s="189"/>
      <c r="AN5" s="189"/>
      <c r="AO5" s="189"/>
    </row>
    <row r="6" spans="1:42">
      <c r="A6" s="181" t="s">
        <v>122</v>
      </c>
      <c r="B6" s="182"/>
      <c r="C6" s="183" t="s">
        <v>120</v>
      </c>
      <c r="D6" s="184"/>
      <c r="E6" s="184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9"/>
      <c r="AD6" s="189"/>
      <c r="AE6" s="189"/>
      <c r="AF6" s="189"/>
      <c r="AG6" s="189"/>
      <c r="AH6" s="189"/>
      <c r="AI6" s="189"/>
      <c r="AJ6" s="189"/>
      <c r="AK6" s="189"/>
      <c r="AL6" s="189"/>
      <c r="AM6" s="189"/>
      <c r="AN6" s="189"/>
      <c r="AO6" s="189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 ht="15" customHeight="1">
      <c r="A8" s="190" t="s">
        <v>123</v>
      </c>
      <c r="B8" s="191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2" t="s">
        <v>124</v>
      </c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3" t="s">
        <v>159</v>
      </c>
      <c r="AC8" s="193"/>
      <c r="AD8" s="193"/>
      <c r="AE8" s="193"/>
      <c r="AF8" s="193"/>
      <c r="AG8" s="193"/>
      <c r="AH8" s="195">
        <v>20</v>
      </c>
      <c r="AI8" s="195"/>
      <c r="AJ8" s="195"/>
      <c r="AK8" s="195"/>
      <c r="AL8" s="195"/>
      <c r="AM8" s="195">
        <v>26</v>
      </c>
      <c r="AN8" s="195"/>
      <c r="AO8" s="197"/>
    </row>
    <row r="9" spans="1:42" ht="15" customHeight="1">
      <c r="A9" s="199" t="s">
        <v>125</v>
      </c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 t="s">
        <v>125</v>
      </c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194"/>
      <c r="AC9" s="194"/>
      <c r="AD9" s="194"/>
      <c r="AE9" s="194"/>
      <c r="AF9" s="194"/>
      <c r="AG9" s="194"/>
      <c r="AH9" s="196"/>
      <c r="AI9" s="196"/>
      <c r="AJ9" s="196"/>
      <c r="AK9" s="196"/>
      <c r="AL9" s="196"/>
      <c r="AM9" s="196"/>
      <c r="AN9" s="196"/>
      <c r="AO9" s="198"/>
    </row>
    <row r="10" spans="1:42" ht="7.5" customHeight="1"/>
    <row r="11" spans="1:42">
      <c r="C11" s="169" t="s">
        <v>0</v>
      </c>
      <c r="D11" s="169"/>
      <c r="E11" s="169"/>
      <c r="F11" s="169"/>
      <c r="G11" s="169"/>
      <c r="H11" s="169"/>
      <c r="I11" s="169" t="s">
        <v>1</v>
      </c>
      <c r="J11" s="169"/>
      <c r="K11" s="169"/>
      <c r="L11" s="169"/>
      <c r="M11" s="169"/>
      <c r="N11" s="169"/>
      <c r="O11" s="169" t="s">
        <v>2</v>
      </c>
      <c r="P11" s="169"/>
      <c r="Q11" s="169"/>
      <c r="R11" s="169"/>
      <c r="S11" s="169"/>
      <c r="T11" s="169"/>
      <c r="U11" s="169" t="s">
        <v>3</v>
      </c>
      <c r="V11" s="169"/>
      <c r="W11" s="169"/>
      <c r="X11" s="169"/>
      <c r="Y11" s="169"/>
      <c r="Z11" s="169"/>
      <c r="AA11" s="169" t="s">
        <v>4</v>
      </c>
      <c r="AB11" s="169"/>
      <c r="AC11" s="169"/>
      <c r="AD11" s="169"/>
      <c r="AE11" s="169"/>
      <c r="AF11" s="169"/>
      <c r="AG11" s="169" t="s">
        <v>5</v>
      </c>
      <c r="AH11" s="169"/>
      <c r="AI11" s="169"/>
      <c r="AJ11" s="169"/>
      <c r="AK11" s="169"/>
      <c r="AL11" s="169"/>
      <c r="AM11" s="160" t="s">
        <v>6</v>
      </c>
      <c r="AN11" s="160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60"/>
      <c r="AN12" s="160"/>
      <c r="AO12" s="88" t="s">
        <v>10</v>
      </c>
      <c r="AP12" s="89" t="s">
        <v>11</v>
      </c>
    </row>
    <row r="13" spans="1:42" ht="14.25" customHeight="1">
      <c r="A13" s="175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>
        <v>2</v>
      </c>
      <c r="L13" s="60">
        <v>1</v>
      </c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>
        <v>1</v>
      </c>
      <c r="AM13" s="90"/>
      <c r="AN13" s="91"/>
      <c r="AO13" s="92">
        <f t="shared" ref="AO13:AO19" si="0">SUM(C13:AN13)</f>
        <v>4</v>
      </c>
      <c r="AP13" s="93">
        <f>AO13*25</f>
        <v>100</v>
      </c>
    </row>
    <row r="14" spans="1:42" ht="14.25" customHeight="1">
      <c r="A14" s="175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0</v>
      </c>
      <c r="AP14" s="93">
        <f t="shared" ref="AP14:AP58" si="1">AO14*25</f>
        <v>0</v>
      </c>
    </row>
    <row r="15" spans="1:42" ht="14.25" customHeight="1">
      <c r="A15" s="175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/>
      <c r="L15" s="64">
        <v>1</v>
      </c>
      <c r="M15" s="64"/>
      <c r="N15" s="84"/>
      <c r="O15" s="83"/>
      <c r="P15" s="64">
        <v>1</v>
      </c>
      <c r="Q15" s="64">
        <v>1</v>
      </c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>
        <v>1</v>
      </c>
      <c r="AM15" s="94"/>
      <c r="AN15" s="95"/>
      <c r="AO15" s="92">
        <f t="shared" si="0"/>
        <v>4</v>
      </c>
      <c r="AP15" s="93">
        <f t="shared" si="1"/>
        <v>100</v>
      </c>
    </row>
    <row r="16" spans="1:42" ht="14.25" customHeight="1">
      <c r="A16" s="175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0</v>
      </c>
      <c r="AP16" s="93">
        <f t="shared" si="1"/>
        <v>0</v>
      </c>
    </row>
    <row r="17" spans="1:42" ht="14.25" customHeight="1">
      <c r="A17" s="175"/>
      <c r="B17" s="62" t="s">
        <v>132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>
        <v>3</v>
      </c>
      <c r="P17" s="64"/>
      <c r="Q17" s="64"/>
      <c r="R17" s="64">
        <v>1</v>
      </c>
      <c r="S17" s="64">
        <v>2</v>
      </c>
      <c r="T17" s="84"/>
      <c r="U17" s="83">
        <v>1</v>
      </c>
      <c r="V17" s="64">
        <v>2</v>
      </c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149"/>
      <c r="AH17" s="149"/>
      <c r="AI17" s="149"/>
      <c r="AJ17" s="149"/>
      <c r="AK17" s="149"/>
      <c r="AL17" s="149"/>
      <c r="AM17" s="63"/>
      <c r="AN17" s="134"/>
      <c r="AO17" s="92">
        <f t="shared" si="0"/>
        <v>9</v>
      </c>
      <c r="AP17" s="93">
        <f t="shared" si="1"/>
        <v>225</v>
      </c>
    </row>
    <row r="18" spans="1:42" ht="14.25" customHeight="1">
      <c r="A18" s="175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>
        <v>1</v>
      </c>
      <c r="V18" s="64">
        <v>2</v>
      </c>
      <c r="W18" s="64">
        <v>2</v>
      </c>
      <c r="X18" s="64">
        <v>2</v>
      </c>
      <c r="Y18" s="64">
        <v>1</v>
      </c>
      <c r="Z18" s="84">
        <v>1</v>
      </c>
      <c r="AA18" s="83">
        <v>2</v>
      </c>
      <c r="AB18" s="64">
        <v>2</v>
      </c>
      <c r="AC18" s="64">
        <v>1</v>
      </c>
      <c r="AD18" s="64">
        <v>1</v>
      </c>
      <c r="AE18" s="64"/>
      <c r="AF18" s="84"/>
      <c r="AG18" s="149"/>
      <c r="AH18" s="149"/>
      <c r="AI18" s="149"/>
      <c r="AJ18" s="149"/>
      <c r="AK18" s="149"/>
      <c r="AL18" s="149"/>
      <c r="AM18" s="94"/>
      <c r="AN18" s="95"/>
      <c r="AO18" s="92">
        <f t="shared" si="0"/>
        <v>15</v>
      </c>
      <c r="AP18" s="93">
        <f t="shared" si="1"/>
        <v>375</v>
      </c>
    </row>
    <row r="19" spans="1:42" ht="14.25" customHeight="1">
      <c r="A19" s="175"/>
      <c r="B19" s="62" t="s">
        <v>142</v>
      </c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/>
      <c r="S19" s="64"/>
      <c r="T19" s="84"/>
      <c r="U19" s="83">
        <v>1</v>
      </c>
      <c r="V19" s="64">
        <v>2</v>
      </c>
      <c r="W19" s="64">
        <v>2</v>
      </c>
      <c r="X19" s="64">
        <v>2</v>
      </c>
      <c r="Y19" s="64">
        <v>1</v>
      </c>
      <c r="Z19" s="84">
        <v>2</v>
      </c>
      <c r="AA19" s="83">
        <v>1</v>
      </c>
      <c r="AB19" s="64">
        <v>2</v>
      </c>
      <c r="AC19" s="64">
        <v>2</v>
      </c>
      <c r="AD19" s="64">
        <v>1</v>
      </c>
      <c r="AE19" s="64"/>
      <c r="AF19" s="84"/>
      <c r="AG19" s="149"/>
      <c r="AH19" s="149"/>
      <c r="AI19" s="149"/>
      <c r="AJ19" s="149"/>
      <c r="AK19" s="149"/>
      <c r="AL19" s="149"/>
      <c r="AM19" s="94"/>
      <c r="AN19" s="95"/>
      <c r="AO19" s="92">
        <f t="shared" si="0"/>
        <v>16</v>
      </c>
      <c r="AP19" s="93">
        <f t="shared" si="1"/>
        <v>400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70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71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71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71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71"/>
      <c r="B25" s="62" t="s">
        <v>132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71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72"/>
      <c r="B27" s="62" t="s">
        <v>142</v>
      </c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70" t="s">
        <v>19</v>
      </c>
      <c r="B29" s="58" t="s">
        <v>13</v>
      </c>
      <c r="C29" s="59"/>
      <c r="D29" s="60"/>
      <c r="E29" s="60"/>
      <c r="F29" s="60"/>
      <c r="G29" s="60"/>
      <c r="H29" s="61"/>
      <c r="I29" s="17"/>
      <c r="J29" s="60"/>
      <c r="K29" s="60"/>
      <c r="L29" s="60"/>
      <c r="M29" s="60"/>
      <c r="N29" s="82"/>
      <c r="O29" s="17"/>
      <c r="P29" s="60"/>
      <c r="Q29" s="60"/>
      <c r="R29" s="60"/>
      <c r="S29" s="60"/>
      <c r="T29" s="82"/>
      <c r="U29" s="17"/>
      <c r="V29" s="60"/>
      <c r="W29" s="60"/>
      <c r="X29" s="60"/>
      <c r="Y29" s="60"/>
      <c r="Z29" s="82"/>
      <c r="AA29" s="17"/>
      <c r="AB29" s="60"/>
      <c r="AC29" s="60"/>
      <c r="AD29" s="60"/>
      <c r="AE29" s="60"/>
      <c r="AF29" s="82"/>
      <c r="AG29" s="17"/>
      <c r="AH29" s="60"/>
      <c r="AI29" s="60"/>
      <c r="AJ29" s="144"/>
      <c r="AK29" s="144"/>
      <c r="AL29" s="61"/>
      <c r="AM29" s="90"/>
      <c r="AN29" s="91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71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149"/>
      <c r="AH30" s="150"/>
      <c r="AI30" s="150"/>
      <c r="AJ30" s="151"/>
      <c r="AK30" s="149"/>
      <c r="AL30" s="150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71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149"/>
      <c r="AH31" s="149"/>
      <c r="AI31" s="149"/>
      <c r="AJ31" s="149"/>
      <c r="AK31" s="149"/>
      <c r="AL31" s="149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71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149"/>
      <c r="AH32" s="149"/>
      <c r="AI32" s="149"/>
      <c r="AJ32" s="149"/>
      <c r="AK32" s="149"/>
      <c r="AL32" s="149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71"/>
      <c r="B33" s="62" t="s">
        <v>132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149"/>
      <c r="AH33" s="149"/>
      <c r="AI33" s="149"/>
      <c r="AJ33" s="149"/>
      <c r="AK33" s="149"/>
      <c r="AL33" s="149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71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149"/>
      <c r="AH34" s="149"/>
      <c r="AI34" s="149"/>
      <c r="AJ34" s="149"/>
      <c r="AK34" s="149"/>
      <c r="AL34" s="149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72"/>
      <c r="B35" s="62" t="s">
        <v>142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149"/>
      <c r="AH35" s="149"/>
      <c r="AI35" s="149"/>
      <c r="AJ35" s="149"/>
      <c r="AK35" s="149"/>
      <c r="AL35" s="149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70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71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71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71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71"/>
      <c r="B41" s="62" t="s">
        <v>132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71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" customHeight="1">
      <c r="A43" s="172"/>
      <c r="B43" s="62" t="s">
        <v>142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70" t="s">
        <v>21</v>
      </c>
      <c r="B44" s="58" t="s">
        <v>13</v>
      </c>
      <c r="C44" s="59"/>
      <c r="D44" s="60"/>
      <c r="E44" s="60"/>
      <c r="F44" s="60"/>
      <c r="G44" s="60"/>
      <c r="H44" s="61"/>
      <c r="I44" s="17"/>
      <c r="J44" s="60"/>
      <c r="K44" s="60">
        <v>2</v>
      </c>
      <c r="L44" s="60">
        <v>2</v>
      </c>
      <c r="M44" s="60"/>
      <c r="N44" s="82"/>
      <c r="O44" s="17"/>
      <c r="P44" s="60"/>
      <c r="Q44" s="60"/>
      <c r="R44" s="60"/>
      <c r="S44" s="60"/>
      <c r="T44" s="82"/>
      <c r="U44" s="17"/>
      <c r="V44" s="60"/>
      <c r="W44" s="60"/>
      <c r="X44" s="60"/>
      <c r="Y44" s="60"/>
      <c r="Z44" s="82"/>
      <c r="AA44" s="17"/>
      <c r="AB44" s="60"/>
      <c r="AC44" s="60"/>
      <c r="AD44" s="60"/>
      <c r="AE44" s="60"/>
      <c r="AF44" s="82"/>
      <c r="AG44" s="17"/>
      <c r="AH44" s="60"/>
      <c r="AI44" s="60"/>
      <c r="AJ44" s="144"/>
      <c r="AK44" s="144"/>
      <c r="AL44" s="61"/>
      <c r="AM44" s="90"/>
      <c r="AN44" s="91"/>
      <c r="AO44" s="99">
        <f t="shared" si="4"/>
        <v>4</v>
      </c>
      <c r="AP44" s="139">
        <f t="shared" si="1"/>
        <v>100</v>
      </c>
    </row>
    <row r="45" spans="1:42" ht="14.25" customHeight="1">
      <c r="A45" s="171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149"/>
      <c r="AH45" s="150"/>
      <c r="AI45" s="150"/>
      <c r="AJ45" s="151"/>
      <c r="AK45" s="149"/>
      <c r="AL45" s="150"/>
      <c r="AM45" s="94"/>
      <c r="AN45" s="95"/>
      <c r="AO45" s="92">
        <f t="shared" si="4"/>
        <v>0</v>
      </c>
      <c r="AP45" s="93">
        <f t="shared" si="1"/>
        <v>0</v>
      </c>
    </row>
    <row r="46" spans="1:42" ht="14.25" customHeight="1">
      <c r="A46" s="171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>
        <v>1</v>
      </c>
      <c r="Q46" s="64">
        <v>1</v>
      </c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149"/>
      <c r="AH46" s="149"/>
      <c r="AI46" s="149"/>
      <c r="AJ46" s="149"/>
      <c r="AK46" s="149"/>
      <c r="AL46" s="149">
        <v>1</v>
      </c>
      <c r="AM46" s="94"/>
      <c r="AN46" s="95"/>
      <c r="AO46" s="92">
        <f t="shared" si="4"/>
        <v>3</v>
      </c>
      <c r="AP46" s="93">
        <f t="shared" si="1"/>
        <v>75</v>
      </c>
    </row>
    <row r="47" spans="1:42" ht="14.25" customHeight="1">
      <c r="A47" s="171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149"/>
      <c r="AH47" s="149"/>
      <c r="AI47" s="149"/>
      <c r="AJ47" s="149"/>
      <c r="AK47" s="149"/>
      <c r="AL47" s="149"/>
      <c r="AM47" s="94"/>
      <c r="AN47" s="95"/>
      <c r="AO47" s="92">
        <f t="shared" si="4"/>
        <v>0</v>
      </c>
      <c r="AP47" s="93">
        <f t="shared" si="1"/>
        <v>0</v>
      </c>
    </row>
    <row r="48" spans="1:42" ht="14.25" customHeight="1">
      <c r="A48" s="171"/>
      <c r="B48" s="62" t="s">
        <v>132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>
        <v>3</v>
      </c>
      <c r="P48" s="64"/>
      <c r="Q48" s="64"/>
      <c r="R48" s="64">
        <v>1</v>
      </c>
      <c r="S48" s="64">
        <v>2</v>
      </c>
      <c r="T48" s="84"/>
      <c r="U48" s="83">
        <v>1</v>
      </c>
      <c r="V48" s="64">
        <v>2</v>
      </c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149"/>
      <c r="AH48" s="149"/>
      <c r="AI48" s="149"/>
      <c r="AJ48" s="149"/>
      <c r="AK48" s="149"/>
      <c r="AL48" s="149"/>
      <c r="AM48" s="63"/>
      <c r="AN48" s="134"/>
      <c r="AO48" s="92">
        <f t="shared" si="4"/>
        <v>9</v>
      </c>
      <c r="AP48" s="93">
        <f t="shared" si="1"/>
        <v>225</v>
      </c>
    </row>
    <row r="49" spans="1:46" ht="14.25" customHeight="1">
      <c r="A49" s="171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/>
      <c r="V49" s="64"/>
      <c r="W49" s="64"/>
      <c r="X49" s="64"/>
      <c r="Y49" s="64"/>
      <c r="Z49" s="84"/>
      <c r="AA49" s="83"/>
      <c r="AB49" s="64"/>
      <c r="AC49" s="64"/>
      <c r="AD49" s="64"/>
      <c r="AE49" s="64"/>
      <c r="AF49" s="84"/>
      <c r="AG49" s="149"/>
      <c r="AH49" s="149"/>
      <c r="AI49" s="149"/>
      <c r="AJ49" s="149"/>
      <c r="AK49" s="149"/>
      <c r="AL49" s="149"/>
      <c r="AM49" s="94"/>
      <c r="AN49" s="95"/>
      <c r="AO49" s="92">
        <f t="shared" si="4"/>
        <v>0</v>
      </c>
      <c r="AP49" s="93">
        <f t="shared" si="1"/>
        <v>0</v>
      </c>
      <c r="AT49" t="s">
        <v>22</v>
      </c>
    </row>
    <row r="50" spans="1:46" ht="14.25" customHeight="1">
      <c r="A50" s="172"/>
      <c r="B50" s="62" t="s">
        <v>142</v>
      </c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>
        <v>1</v>
      </c>
      <c r="S50" s="64">
        <v>2</v>
      </c>
      <c r="T50" s="84"/>
      <c r="U50" s="83">
        <v>1</v>
      </c>
      <c r="V50" s="64">
        <v>2</v>
      </c>
      <c r="W50" s="64">
        <v>2</v>
      </c>
      <c r="X50" s="64">
        <v>2</v>
      </c>
      <c r="Y50" s="64">
        <v>1</v>
      </c>
      <c r="Z50" s="84">
        <v>1</v>
      </c>
      <c r="AA50" s="83">
        <v>1</v>
      </c>
      <c r="AB50" s="64">
        <v>1</v>
      </c>
      <c r="AC50" s="64">
        <v>1</v>
      </c>
      <c r="AD50" s="64">
        <v>1</v>
      </c>
      <c r="AE50" s="64">
        <v>1</v>
      </c>
      <c r="AF50" s="84"/>
      <c r="AG50" s="149">
        <v>1</v>
      </c>
      <c r="AH50" s="149"/>
      <c r="AI50" s="149">
        <v>1</v>
      </c>
      <c r="AJ50" s="149">
        <v>1</v>
      </c>
      <c r="AK50" s="149"/>
      <c r="AL50" s="149"/>
      <c r="AM50" s="94"/>
      <c r="AN50" s="95"/>
      <c r="AO50" s="92">
        <f t="shared" si="4"/>
        <v>20</v>
      </c>
      <c r="AP50" s="93">
        <f>AO50*20</f>
        <v>400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70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71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71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71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71"/>
      <c r="B56" s="62" t="s">
        <v>132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71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72"/>
      <c r="B58" s="62" t="s">
        <v>142</v>
      </c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65" t="s">
        <v>25</v>
      </c>
      <c r="C61" s="165"/>
      <c r="D61" s="165"/>
      <c r="E61" s="73"/>
      <c r="F61" s="176" t="s">
        <v>26</v>
      </c>
      <c r="G61" s="176"/>
      <c r="H61" s="176"/>
      <c r="I61" s="176"/>
      <c r="J61" s="176"/>
      <c r="K61" s="176"/>
      <c r="L61" s="176"/>
      <c r="M61" s="176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65"/>
      <c r="C62" s="165"/>
      <c r="D62" s="165"/>
      <c r="E62" s="73"/>
      <c r="F62" s="177" t="s">
        <v>27</v>
      </c>
      <c r="G62" s="177"/>
      <c r="H62" s="177"/>
      <c r="I62" s="177"/>
      <c r="J62" s="177" t="s">
        <v>28</v>
      </c>
      <c r="K62" s="177"/>
      <c r="L62" s="177"/>
      <c r="M62" s="177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48</v>
      </c>
      <c r="D63" s="52">
        <f>SUM(AP13:AP19)</f>
        <v>1200</v>
      </c>
      <c r="E63" s="68"/>
      <c r="F63" s="178"/>
      <c r="G63" s="166"/>
      <c r="H63" s="166"/>
      <c r="I63" s="166"/>
      <c r="J63" s="179"/>
      <c r="K63" s="179"/>
      <c r="L63" s="179"/>
      <c r="M63" s="180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66"/>
      <c r="G64" s="166"/>
      <c r="H64" s="166"/>
      <c r="I64" s="166"/>
      <c r="J64" s="167"/>
      <c r="K64" s="168"/>
      <c r="L64" s="168"/>
      <c r="M64" s="168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36</v>
      </c>
      <c r="D67" s="52">
        <f>SUM(AP44:AP50)</f>
        <v>800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84</v>
      </c>
      <c r="D69" s="80">
        <f>SUM(D63:D68)</f>
        <v>2000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69" t="s">
        <v>31</v>
      </c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  <c r="AL71" s="169"/>
      <c r="AM71" s="169"/>
      <c r="AN71" s="169"/>
      <c r="AO71" s="169"/>
      <c r="AP71" s="169"/>
    </row>
    <row r="72" spans="1:42">
      <c r="C72" s="162" t="s">
        <v>0</v>
      </c>
      <c r="D72" s="162"/>
      <c r="E72" s="162"/>
      <c r="F72" s="162"/>
      <c r="G72" s="162"/>
      <c r="H72" s="163"/>
      <c r="I72" s="162" t="s">
        <v>1</v>
      </c>
      <c r="J72" s="162"/>
      <c r="K72" s="162"/>
      <c r="L72" s="162"/>
      <c r="M72" s="162"/>
      <c r="N72" s="163"/>
      <c r="O72" s="161" t="s">
        <v>2</v>
      </c>
      <c r="P72" s="162"/>
      <c r="Q72" s="162"/>
      <c r="R72" s="162"/>
      <c r="S72" s="162"/>
      <c r="T72" s="163"/>
      <c r="U72" s="162" t="s">
        <v>32</v>
      </c>
      <c r="V72" s="162"/>
      <c r="W72" s="162"/>
      <c r="X72" s="162"/>
      <c r="Y72" s="162"/>
      <c r="Z72" s="163"/>
      <c r="AA72" s="162" t="s">
        <v>4</v>
      </c>
      <c r="AB72" s="162"/>
      <c r="AC72" s="162"/>
      <c r="AD72" s="162"/>
      <c r="AE72" s="162"/>
      <c r="AF72" s="163"/>
      <c r="AG72" s="162" t="s">
        <v>5</v>
      </c>
      <c r="AH72" s="162"/>
      <c r="AI72" s="162"/>
      <c r="AJ72" s="162"/>
      <c r="AK72" s="162"/>
      <c r="AL72" s="163"/>
      <c r="AM72" s="174" t="s">
        <v>6</v>
      </c>
      <c r="AN72" s="164" t="s">
        <v>7</v>
      </c>
      <c r="AO72" s="96"/>
      <c r="AP72" s="96"/>
    </row>
    <row r="73" spans="1:42">
      <c r="A73" s="173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174"/>
      <c r="AN73" s="164"/>
      <c r="AO73" s="116" t="s">
        <v>10</v>
      </c>
      <c r="AP73" s="117" t="s">
        <v>11</v>
      </c>
    </row>
    <row r="74" spans="1:42" ht="15" customHeight="1">
      <c r="A74" s="173"/>
      <c r="B74" s="105" t="s">
        <v>34</v>
      </c>
      <c r="C74" s="17">
        <f t="shared" ref="C74:AN80" si="5">SUM(C13+C21+C29+C37+C44+C52)</f>
        <v>0</v>
      </c>
      <c r="D74" s="17">
        <f t="shared" si="5"/>
        <v>0</v>
      </c>
      <c r="E74" s="17">
        <f t="shared" si="5"/>
        <v>0</v>
      </c>
      <c r="F74" s="17">
        <f t="shared" si="5"/>
        <v>0</v>
      </c>
      <c r="G74" s="17">
        <f t="shared" si="5"/>
        <v>0</v>
      </c>
      <c r="H74" s="106">
        <f t="shared" si="5"/>
        <v>0</v>
      </c>
      <c r="I74" s="17">
        <f t="shared" si="5"/>
        <v>0</v>
      </c>
      <c r="J74" s="17">
        <f t="shared" si="5"/>
        <v>0</v>
      </c>
      <c r="K74" s="17">
        <f t="shared" si="5"/>
        <v>4</v>
      </c>
      <c r="L74" s="17">
        <f t="shared" si="5"/>
        <v>3</v>
      </c>
      <c r="M74" s="17">
        <f t="shared" si="5"/>
        <v>0</v>
      </c>
      <c r="N74" s="114">
        <f t="shared" si="5"/>
        <v>0</v>
      </c>
      <c r="O74" s="17">
        <f t="shared" si="5"/>
        <v>0</v>
      </c>
      <c r="P74" s="17">
        <f t="shared" si="5"/>
        <v>0</v>
      </c>
      <c r="Q74" s="17">
        <f t="shared" si="5"/>
        <v>0</v>
      </c>
      <c r="R74" s="17">
        <f t="shared" si="5"/>
        <v>0</v>
      </c>
      <c r="S74" s="17">
        <f t="shared" si="5"/>
        <v>0</v>
      </c>
      <c r="T74" s="114">
        <f t="shared" si="5"/>
        <v>0</v>
      </c>
      <c r="U74" s="17">
        <f t="shared" si="5"/>
        <v>0</v>
      </c>
      <c r="V74" s="17">
        <f t="shared" si="5"/>
        <v>0</v>
      </c>
      <c r="W74" s="17">
        <f t="shared" si="5"/>
        <v>0</v>
      </c>
      <c r="X74" s="17">
        <f t="shared" si="5"/>
        <v>0</v>
      </c>
      <c r="Y74" s="17">
        <f t="shared" si="5"/>
        <v>0</v>
      </c>
      <c r="Z74" s="114">
        <f t="shared" si="5"/>
        <v>0</v>
      </c>
      <c r="AA74" s="17">
        <f t="shared" si="5"/>
        <v>0</v>
      </c>
      <c r="AB74" s="17">
        <f t="shared" si="5"/>
        <v>0</v>
      </c>
      <c r="AC74" s="17">
        <f t="shared" si="5"/>
        <v>0</v>
      </c>
      <c r="AD74" s="17">
        <f t="shared" si="5"/>
        <v>0</v>
      </c>
      <c r="AE74" s="17">
        <f t="shared" si="5"/>
        <v>0</v>
      </c>
      <c r="AF74" s="114">
        <f t="shared" si="5"/>
        <v>0</v>
      </c>
      <c r="AG74" s="17">
        <f t="shared" si="5"/>
        <v>0</v>
      </c>
      <c r="AH74" s="17">
        <f t="shared" si="5"/>
        <v>0</v>
      </c>
      <c r="AI74" s="17">
        <f t="shared" si="5"/>
        <v>0</v>
      </c>
      <c r="AJ74" s="17">
        <f t="shared" si="5"/>
        <v>0</v>
      </c>
      <c r="AK74" s="17">
        <f t="shared" si="5"/>
        <v>0</v>
      </c>
      <c r="AL74" s="17">
        <f t="shared" si="5"/>
        <v>1</v>
      </c>
      <c r="AM74" s="17">
        <f t="shared" si="5"/>
        <v>0</v>
      </c>
      <c r="AN74" s="114">
        <f t="shared" si="5"/>
        <v>0</v>
      </c>
      <c r="AO74" s="52">
        <f>SUM(C74:AN74)</f>
        <v>8</v>
      </c>
      <c r="AP74" s="118">
        <f>AO74*25</f>
        <v>200</v>
      </c>
    </row>
    <row r="75" spans="1:42">
      <c r="A75" s="173"/>
      <c r="B75" s="105" t="s">
        <v>14</v>
      </c>
      <c r="C75" s="17">
        <f t="shared" si="5"/>
        <v>0</v>
      </c>
      <c r="D75" s="17">
        <f t="shared" si="5"/>
        <v>0</v>
      </c>
      <c r="E75" s="17">
        <f t="shared" si="5"/>
        <v>0</v>
      </c>
      <c r="F75" s="17">
        <f t="shared" si="5"/>
        <v>0</v>
      </c>
      <c r="G75" s="17">
        <f t="shared" si="5"/>
        <v>0</v>
      </c>
      <c r="H75" s="106">
        <f t="shared" si="5"/>
        <v>0</v>
      </c>
      <c r="I75" s="17">
        <f t="shared" si="5"/>
        <v>0</v>
      </c>
      <c r="J75" s="17">
        <f t="shared" si="5"/>
        <v>0</v>
      </c>
      <c r="K75" s="17">
        <f t="shared" si="5"/>
        <v>0</v>
      </c>
      <c r="L75" s="17">
        <f t="shared" si="5"/>
        <v>0</v>
      </c>
      <c r="M75" s="17">
        <f t="shared" si="5"/>
        <v>0</v>
      </c>
      <c r="N75" s="114">
        <f t="shared" si="5"/>
        <v>0</v>
      </c>
      <c r="O75" s="17">
        <f t="shared" si="5"/>
        <v>0</v>
      </c>
      <c r="P75" s="17">
        <f t="shared" si="5"/>
        <v>0</v>
      </c>
      <c r="Q75" s="17">
        <f t="shared" si="5"/>
        <v>0</v>
      </c>
      <c r="R75" s="17">
        <f t="shared" si="5"/>
        <v>0</v>
      </c>
      <c r="S75" s="17">
        <f t="shared" si="5"/>
        <v>0</v>
      </c>
      <c r="T75" s="114">
        <f t="shared" si="5"/>
        <v>0</v>
      </c>
      <c r="U75" s="17">
        <f t="shared" si="5"/>
        <v>0</v>
      </c>
      <c r="V75" s="17">
        <f t="shared" si="5"/>
        <v>0</v>
      </c>
      <c r="W75" s="17">
        <f t="shared" si="5"/>
        <v>0</v>
      </c>
      <c r="X75" s="17">
        <f t="shared" si="5"/>
        <v>0</v>
      </c>
      <c r="Y75" s="17">
        <f t="shared" si="5"/>
        <v>0</v>
      </c>
      <c r="Z75" s="114">
        <f t="shared" si="5"/>
        <v>0</v>
      </c>
      <c r="AA75" s="17">
        <f t="shared" si="5"/>
        <v>0</v>
      </c>
      <c r="AB75" s="17">
        <f t="shared" si="5"/>
        <v>0</v>
      </c>
      <c r="AC75" s="17">
        <f t="shared" si="5"/>
        <v>0</v>
      </c>
      <c r="AD75" s="17">
        <f t="shared" si="5"/>
        <v>0</v>
      </c>
      <c r="AE75" s="17">
        <f t="shared" si="5"/>
        <v>0</v>
      </c>
      <c r="AF75" s="114">
        <f t="shared" si="5"/>
        <v>0</v>
      </c>
      <c r="AG75" s="17">
        <f t="shared" si="5"/>
        <v>0</v>
      </c>
      <c r="AH75" s="17">
        <f t="shared" si="5"/>
        <v>0</v>
      </c>
      <c r="AI75" s="17">
        <f t="shared" si="5"/>
        <v>0</v>
      </c>
      <c r="AJ75" s="17">
        <f t="shared" si="5"/>
        <v>0</v>
      </c>
      <c r="AK75" s="17">
        <f t="shared" si="5"/>
        <v>0</v>
      </c>
      <c r="AL75" s="17">
        <f t="shared" si="5"/>
        <v>0</v>
      </c>
      <c r="AM75" s="17">
        <f t="shared" si="5"/>
        <v>0</v>
      </c>
      <c r="AN75" s="114">
        <f t="shared" si="5"/>
        <v>0</v>
      </c>
      <c r="AO75" s="52">
        <f t="shared" ref="AO75:AO80" si="6">SUM(C75:AN75)</f>
        <v>0</v>
      </c>
      <c r="AP75" s="118">
        <f t="shared" ref="AP75:AP79" si="7">AO75*25</f>
        <v>0</v>
      </c>
    </row>
    <row r="76" spans="1:42">
      <c r="A76" s="173"/>
      <c r="B76" s="105" t="s">
        <v>15</v>
      </c>
      <c r="C76" s="17">
        <f t="shared" si="5"/>
        <v>0</v>
      </c>
      <c r="D76" s="17">
        <f t="shared" si="5"/>
        <v>0</v>
      </c>
      <c r="E76" s="17">
        <f t="shared" si="5"/>
        <v>0</v>
      </c>
      <c r="F76" s="17">
        <f t="shared" si="5"/>
        <v>0</v>
      </c>
      <c r="G76" s="17">
        <f t="shared" si="5"/>
        <v>0</v>
      </c>
      <c r="H76" s="106">
        <f t="shared" si="5"/>
        <v>0</v>
      </c>
      <c r="I76" s="17">
        <f t="shared" si="5"/>
        <v>0</v>
      </c>
      <c r="J76" s="17">
        <f t="shared" si="5"/>
        <v>0</v>
      </c>
      <c r="K76" s="17">
        <f t="shared" si="5"/>
        <v>0</v>
      </c>
      <c r="L76" s="17">
        <f t="shared" si="5"/>
        <v>1</v>
      </c>
      <c r="M76" s="17">
        <f t="shared" si="5"/>
        <v>0</v>
      </c>
      <c r="N76" s="114">
        <f t="shared" si="5"/>
        <v>0</v>
      </c>
      <c r="O76" s="17">
        <f t="shared" si="5"/>
        <v>0</v>
      </c>
      <c r="P76" s="17">
        <f t="shared" si="5"/>
        <v>2</v>
      </c>
      <c r="Q76" s="17">
        <f t="shared" si="5"/>
        <v>2</v>
      </c>
      <c r="R76" s="17">
        <f t="shared" si="5"/>
        <v>0</v>
      </c>
      <c r="S76" s="17">
        <f t="shared" si="5"/>
        <v>0</v>
      </c>
      <c r="T76" s="114">
        <f t="shared" si="5"/>
        <v>0</v>
      </c>
      <c r="U76" s="17">
        <f t="shared" si="5"/>
        <v>0</v>
      </c>
      <c r="V76" s="17">
        <f t="shared" si="5"/>
        <v>0</v>
      </c>
      <c r="W76" s="17">
        <f t="shared" si="5"/>
        <v>0</v>
      </c>
      <c r="X76" s="17">
        <f t="shared" si="5"/>
        <v>0</v>
      </c>
      <c r="Y76" s="17">
        <f t="shared" si="5"/>
        <v>0</v>
      </c>
      <c r="Z76" s="114">
        <f t="shared" si="5"/>
        <v>0</v>
      </c>
      <c r="AA76" s="17">
        <f t="shared" si="5"/>
        <v>0</v>
      </c>
      <c r="AB76" s="17">
        <f t="shared" si="5"/>
        <v>0</v>
      </c>
      <c r="AC76" s="17">
        <f t="shared" si="5"/>
        <v>0</v>
      </c>
      <c r="AD76" s="17">
        <f t="shared" si="5"/>
        <v>0</v>
      </c>
      <c r="AE76" s="17">
        <f t="shared" si="5"/>
        <v>0</v>
      </c>
      <c r="AF76" s="114">
        <f t="shared" si="5"/>
        <v>0</v>
      </c>
      <c r="AG76" s="17">
        <f t="shared" si="5"/>
        <v>0</v>
      </c>
      <c r="AH76" s="17">
        <f t="shared" si="5"/>
        <v>0</v>
      </c>
      <c r="AI76" s="17">
        <f t="shared" si="5"/>
        <v>0</v>
      </c>
      <c r="AJ76" s="17">
        <f t="shared" si="5"/>
        <v>0</v>
      </c>
      <c r="AK76" s="17">
        <f t="shared" si="5"/>
        <v>0</v>
      </c>
      <c r="AL76" s="17">
        <f t="shared" si="5"/>
        <v>2</v>
      </c>
      <c r="AM76" s="17">
        <f t="shared" si="5"/>
        <v>0</v>
      </c>
      <c r="AN76" s="114">
        <f t="shared" si="5"/>
        <v>0</v>
      </c>
      <c r="AO76" s="52">
        <f t="shared" si="6"/>
        <v>7</v>
      </c>
      <c r="AP76" s="118">
        <f t="shared" si="7"/>
        <v>175</v>
      </c>
    </row>
    <row r="77" spans="1:42">
      <c r="A77" s="173"/>
      <c r="B77" s="105" t="s">
        <v>131</v>
      </c>
      <c r="C77" s="17">
        <f t="shared" si="5"/>
        <v>0</v>
      </c>
      <c r="D77" s="17">
        <f t="shared" si="5"/>
        <v>0</v>
      </c>
      <c r="E77" s="17">
        <f t="shared" si="5"/>
        <v>0</v>
      </c>
      <c r="F77" s="17">
        <f t="shared" si="5"/>
        <v>0</v>
      </c>
      <c r="G77" s="17">
        <f t="shared" si="5"/>
        <v>0</v>
      </c>
      <c r="H77" s="106">
        <f t="shared" si="5"/>
        <v>0</v>
      </c>
      <c r="I77" s="17">
        <f t="shared" si="5"/>
        <v>0</v>
      </c>
      <c r="J77" s="17">
        <f t="shared" si="5"/>
        <v>0</v>
      </c>
      <c r="K77" s="17">
        <f t="shared" si="5"/>
        <v>0</v>
      </c>
      <c r="L77" s="17">
        <f t="shared" si="5"/>
        <v>0</v>
      </c>
      <c r="M77" s="17">
        <f t="shared" si="5"/>
        <v>0</v>
      </c>
      <c r="N77" s="114">
        <f t="shared" si="5"/>
        <v>0</v>
      </c>
      <c r="O77" s="17">
        <f t="shared" si="5"/>
        <v>0</v>
      </c>
      <c r="P77" s="17">
        <f t="shared" si="5"/>
        <v>0</v>
      </c>
      <c r="Q77" s="17">
        <f t="shared" si="5"/>
        <v>0</v>
      </c>
      <c r="R77" s="17">
        <f t="shared" si="5"/>
        <v>0</v>
      </c>
      <c r="S77" s="17">
        <f t="shared" si="5"/>
        <v>0</v>
      </c>
      <c r="T77" s="114">
        <f t="shared" si="5"/>
        <v>0</v>
      </c>
      <c r="U77" s="17">
        <f t="shared" si="5"/>
        <v>0</v>
      </c>
      <c r="V77" s="17">
        <f t="shared" si="5"/>
        <v>0</v>
      </c>
      <c r="W77" s="17">
        <f t="shared" si="5"/>
        <v>0</v>
      </c>
      <c r="X77" s="17">
        <f t="shared" si="5"/>
        <v>0</v>
      </c>
      <c r="Y77" s="17">
        <f t="shared" si="5"/>
        <v>0</v>
      </c>
      <c r="Z77" s="114">
        <f t="shared" si="5"/>
        <v>0</v>
      </c>
      <c r="AA77" s="17">
        <f t="shared" si="5"/>
        <v>0</v>
      </c>
      <c r="AB77" s="17">
        <f t="shared" si="5"/>
        <v>0</v>
      </c>
      <c r="AC77" s="17">
        <f t="shared" si="5"/>
        <v>0</v>
      </c>
      <c r="AD77" s="17">
        <f t="shared" si="5"/>
        <v>0</v>
      </c>
      <c r="AE77" s="17">
        <f t="shared" si="5"/>
        <v>0</v>
      </c>
      <c r="AF77" s="114">
        <f t="shared" si="5"/>
        <v>0</v>
      </c>
      <c r="AG77" s="17">
        <f t="shared" si="5"/>
        <v>0</v>
      </c>
      <c r="AH77" s="17">
        <f t="shared" si="5"/>
        <v>0</v>
      </c>
      <c r="AI77" s="17">
        <f t="shared" si="5"/>
        <v>0</v>
      </c>
      <c r="AJ77" s="17">
        <f t="shared" si="5"/>
        <v>0</v>
      </c>
      <c r="AK77" s="17">
        <f t="shared" si="5"/>
        <v>0</v>
      </c>
      <c r="AL77" s="17">
        <f t="shared" si="5"/>
        <v>0</v>
      </c>
      <c r="AM77" s="17">
        <f t="shared" si="5"/>
        <v>0</v>
      </c>
      <c r="AN77" s="114">
        <f t="shared" si="5"/>
        <v>0</v>
      </c>
      <c r="AO77" s="52">
        <f t="shared" si="6"/>
        <v>0</v>
      </c>
      <c r="AP77" s="118">
        <f t="shared" si="7"/>
        <v>0</v>
      </c>
    </row>
    <row r="78" spans="1:42">
      <c r="A78" s="173"/>
      <c r="B78" s="105" t="s">
        <v>16</v>
      </c>
      <c r="C78" s="17">
        <f t="shared" si="5"/>
        <v>0</v>
      </c>
      <c r="D78" s="17">
        <f t="shared" si="5"/>
        <v>0</v>
      </c>
      <c r="E78" s="17">
        <f t="shared" si="5"/>
        <v>0</v>
      </c>
      <c r="F78" s="17">
        <f t="shared" si="5"/>
        <v>0</v>
      </c>
      <c r="G78" s="17">
        <f t="shared" si="5"/>
        <v>0</v>
      </c>
      <c r="H78" s="106">
        <f t="shared" si="5"/>
        <v>0</v>
      </c>
      <c r="I78" s="17">
        <f t="shared" si="5"/>
        <v>0</v>
      </c>
      <c r="J78" s="17">
        <f t="shared" si="5"/>
        <v>0</v>
      </c>
      <c r="K78" s="17">
        <f t="shared" si="5"/>
        <v>0</v>
      </c>
      <c r="L78" s="17">
        <f t="shared" si="5"/>
        <v>0</v>
      </c>
      <c r="M78" s="17">
        <f t="shared" si="5"/>
        <v>0</v>
      </c>
      <c r="N78" s="114">
        <f t="shared" si="5"/>
        <v>0</v>
      </c>
      <c r="O78" s="17">
        <f t="shared" si="5"/>
        <v>6</v>
      </c>
      <c r="P78" s="17">
        <f t="shared" si="5"/>
        <v>0</v>
      </c>
      <c r="Q78" s="17">
        <f t="shared" si="5"/>
        <v>0</v>
      </c>
      <c r="R78" s="17">
        <f t="shared" si="5"/>
        <v>2</v>
      </c>
      <c r="S78" s="17">
        <f t="shared" si="5"/>
        <v>4</v>
      </c>
      <c r="T78" s="114">
        <f t="shared" si="5"/>
        <v>0</v>
      </c>
      <c r="U78" s="17">
        <f t="shared" si="5"/>
        <v>2</v>
      </c>
      <c r="V78" s="17">
        <f t="shared" si="5"/>
        <v>4</v>
      </c>
      <c r="W78" s="17">
        <f t="shared" si="5"/>
        <v>0</v>
      </c>
      <c r="X78" s="17">
        <f t="shared" si="5"/>
        <v>0</v>
      </c>
      <c r="Y78" s="17">
        <f t="shared" si="5"/>
        <v>0</v>
      </c>
      <c r="Z78" s="114">
        <f t="shared" si="5"/>
        <v>0</v>
      </c>
      <c r="AA78" s="17">
        <f t="shared" si="5"/>
        <v>0</v>
      </c>
      <c r="AB78" s="17">
        <f t="shared" si="5"/>
        <v>0</v>
      </c>
      <c r="AC78" s="17">
        <f t="shared" si="5"/>
        <v>0</v>
      </c>
      <c r="AD78" s="17">
        <f t="shared" si="5"/>
        <v>0</v>
      </c>
      <c r="AE78" s="17">
        <f t="shared" si="5"/>
        <v>0</v>
      </c>
      <c r="AF78" s="114">
        <f t="shared" si="5"/>
        <v>0</v>
      </c>
      <c r="AG78" s="17">
        <f t="shared" si="5"/>
        <v>0</v>
      </c>
      <c r="AH78" s="17">
        <f t="shared" si="5"/>
        <v>0</v>
      </c>
      <c r="AI78" s="17">
        <f t="shared" si="5"/>
        <v>0</v>
      </c>
      <c r="AJ78" s="17">
        <f t="shared" si="5"/>
        <v>0</v>
      </c>
      <c r="AK78" s="17">
        <f t="shared" si="5"/>
        <v>0</v>
      </c>
      <c r="AL78" s="17">
        <f t="shared" si="5"/>
        <v>0</v>
      </c>
      <c r="AM78" s="17">
        <f t="shared" si="5"/>
        <v>0</v>
      </c>
      <c r="AN78" s="114">
        <f t="shared" si="5"/>
        <v>0</v>
      </c>
      <c r="AO78" s="52">
        <f t="shared" si="6"/>
        <v>18</v>
      </c>
      <c r="AP78" s="118">
        <f t="shared" si="7"/>
        <v>450</v>
      </c>
    </row>
    <row r="79" spans="1:42">
      <c r="A79" s="173"/>
      <c r="B79" s="105" t="s">
        <v>17</v>
      </c>
      <c r="C79" s="17">
        <f t="shared" si="5"/>
        <v>0</v>
      </c>
      <c r="D79" s="17">
        <f t="shared" si="5"/>
        <v>0</v>
      </c>
      <c r="E79" s="17">
        <f t="shared" si="5"/>
        <v>0</v>
      </c>
      <c r="F79" s="17">
        <f t="shared" si="5"/>
        <v>0</v>
      </c>
      <c r="G79" s="17">
        <f t="shared" si="5"/>
        <v>0</v>
      </c>
      <c r="H79" s="106">
        <f t="shared" si="5"/>
        <v>0</v>
      </c>
      <c r="I79" s="17">
        <f t="shared" si="5"/>
        <v>0</v>
      </c>
      <c r="J79" s="17">
        <f t="shared" si="5"/>
        <v>0</v>
      </c>
      <c r="K79" s="17">
        <f t="shared" si="5"/>
        <v>0</v>
      </c>
      <c r="L79" s="17">
        <f t="shared" si="5"/>
        <v>0</v>
      </c>
      <c r="M79" s="17">
        <f t="shared" si="5"/>
        <v>0</v>
      </c>
      <c r="N79" s="114">
        <f t="shared" si="5"/>
        <v>0</v>
      </c>
      <c r="O79" s="17">
        <f t="shared" si="5"/>
        <v>0</v>
      </c>
      <c r="P79" s="17">
        <f t="shared" si="5"/>
        <v>0</v>
      </c>
      <c r="Q79" s="17">
        <f t="shared" si="5"/>
        <v>0</v>
      </c>
      <c r="R79" s="17">
        <f t="shared" si="5"/>
        <v>0</v>
      </c>
      <c r="S79" s="17">
        <f t="shared" si="5"/>
        <v>0</v>
      </c>
      <c r="T79" s="114">
        <f t="shared" si="5"/>
        <v>0</v>
      </c>
      <c r="U79" s="17">
        <f t="shared" si="5"/>
        <v>1</v>
      </c>
      <c r="V79" s="17">
        <f t="shared" si="5"/>
        <v>2</v>
      </c>
      <c r="W79" s="17">
        <f t="shared" si="5"/>
        <v>2</v>
      </c>
      <c r="X79" s="17">
        <f t="shared" si="5"/>
        <v>2</v>
      </c>
      <c r="Y79" s="17">
        <f t="shared" si="5"/>
        <v>1</v>
      </c>
      <c r="Z79" s="114">
        <f t="shared" si="5"/>
        <v>1</v>
      </c>
      <c r="AA79" s="17">
        <f t="shared" si="5"/>
        <v>2</v>
      </c>
      <c r="AB79" s="17">
        <f t="shared" si="5"/>
        <v>2</v>
      </c>
      <c r="AC79" s="17">
        <f t="shared" si="5"/>
        <v>1</v>
      </c>
      <c r="AD79" s="17">
        <f t="shared" si="5"/>
        <v>1</v>
      </c>
      <c r="AE79" s="17">
        <f t="shared" si="5"/>
        <v>0</v>
      </c>
      <c r="AF79" s="114">
        <f t="shared" si="5"/>
        <v>0</v>
      </c>
      <c r="AG79" s="17">
        <f t="shared" si="5"/>
        <v>0</v>
      </c>
      <c r="AH79" s="17">
        <f t="shared" si="5"/>
        <v>0</v>
      </c>
      <c r="AI79" s="17">
        <f t="shared" si="5"/>
        <v>0</v>
      </c>
      <c r="AJ79" s="17">
        <f t="shared" si="5"/>
        <v>0</v>
      </c>
      <c r="AK79" s="17">
        <f t="shared" si="5"/>
        <v>0</v>
      </c>
      <c r="AL79" s="17">
        <f t="shared" si="5"/>
        <v>0</v>
      </c>
      <c r="AM79" s="17">
        <f t="shared" si="5"/>
        <v>0</v>
      </c>
      <c r="AN79" s="114">
        <f t="shared" si="5"/>
        <v>0</v>
      </c>
      <c r="AO79" s="52">
        <f t="shared" si="6"/>
        <v>15</v>
      </c>
      <c r="AP79" s="118">
        <f t="shared" si="7"/>
        <v>375</v>
      </c>
    </row>
    <row r="80" spans="1:42">
      <c r="A80" s="173"/>
      <c r="B80" s="105" t="s">
        <v>23</v>
      </c>
      <c r="C80" s="17">
        <f t="shared" si="5"/>
        <v>0</v>
      </c>
      <c r="D80" s="17">
        <f t="shared" si="5"/>
        <v>0</v>
      </c>
      <c r="E80" s="17">
        <f t="shared" si="5"/>
        <v>0</v>
      </c>
      <c r="F80" s="17">
        <f t="shared" si="5"/>
        <v>0</v>
      </c>
      <c r="G80" s="17">
        <f t="shared" si="5"/>
        <v>0</v>
      </c>
      <c r="H80" s="122">
        <f t="shared" si="5"/>
        <v>0</v>
      </c>
      <c r="I80" s="17">
        <f t="shared" si="5"/>
        <v>0</v>
      </c>
      <c r="J80" s="17">
        <f t="shared" si="5"/>
        <v>0</v>
      </c>
      <c r="K80" s="17">
        <f t="shared" si="5"/>
        <v>0</v>
      </c>
      <c r="L80" s="17">
        <f t="shared" si="5"/>
        <v>0</v>
      </c>
      <c r="M80" s="17">
        <f t="shared" si="5"/>
        <v>0</v>
      </c>
      <c r="N80" s="114">
        <f t="shared" si="5"/>
        <v>0</v>
      </c>
      <c r="O80" s="17">
        <f t="shared" si="5"/>
        <v>0</v>
      </c>
      <c r="P80" s="17">
        <f t="shared" si="5"/>
        <v>0</v>
      </c>
      <c r="Q80" s="17">
        <f t="shared" si="5"/>
        <v>0</v>
      </c>
      <c r="R80" s="17">
        <f t="shared" si="5"/>
        <v>1</v>
      </c>
      <c r="S80" s="17">
        <f t="shared" si="5"/>
        <v>2</v>
      </c>
      <c r="T80" s="114">
        <f t="shared" si="5"/>
        <v>0</v>
      </c>
      <c r="U80" s="17">
        <f t="shared" si="5"/>
        <v>2</v>
      </c>
      <c r="V80" s="17">
        <f t="shared" si="5"/>
        <v>4</v>
      </c>
      <c r="W80" s="17">
        <f t="shared" si="5"/>
        <v>4</v>
      </c>
      <c r="X80" s="17">
        <f t="shared" si="5"/>
        <v>4</v>
      </c>
      <c r="Y80" s="17">
        <f t="shared" si="5"/>
        <v>2</v>
      </c>
      <c r="Z80" s="114">
        <f t="shared" si="5"/>
        <v>3</v>
      </c>
      <c r="AA80" s="17">
        <f t="shared" si="5"/>
        <v>2</v>
      </c>
      <c r="AB80" s="17">
        <f t="shared" si="5"/>
        <v>3</v>
      </c>
      <c r="AC80" s="17">
        <f t="shared" si="5"/>
        <v>3</v>
      </c>
      <c r="AD80" s="17">
        <f t="shared" ref="AD80:AN80" si="8">SUM(AD19+AD27+AD35+AD43+AD50+AD58)</f>
        <v>2</v>
      </c>
      <c r="AE80" s="17">
        <f t="shared" si="8"/>
        <v>1</v>
      </c>
      <c r="AF80" s="114">
        <f t="shared" si="8"/>
        <v>0</v>
      </c>
      <c r="AG80" s="17">
        <f t="shared" si="8"/>
        <v>1</v>
      </c>
      <c r="AH80" s="17">
        <f t="shared" si="8"/>
        <v>0</v>
      </c>
      <c r="AI80" s="17">
        <f t="shared" si="8"/>
        <v>1</v>
      </c>
      <c r="AJ80" s="17">
        <f t="shared" si="8"/>
        <v>1</v>
      </c>
      <c r="AK80" s="17">
        <f t="shared" si="8"/>
        <v>0</v>
      </c>
      <c r="AL80" s="17">
        <f t="shared" si="8"/>
        <v>0</v>
      </c>
      <c r="AM80" s="17">
        <f t="shared" si="8"/>
        <v>0</v>
      </c>
      <c r="AN80" s="114">
        <f t="shared" si="8"/>
        <v>0</v>
      </c>
      <c r="AO80" s="52">
        <f t="shared" si="6"/>
        <v>36</v>
      </c>
      <c r="AP80" s="118">
        <f>AO80*20</f>
        <v>720</v>
      </c>
    </row>
    <row r="81" spans="1:42" ht="17.25" customHeight="1">
      <c r="C81" s="11">
        <f>SUM(C74:C80)</f>
        <v>0</v>
      </c>
      <c r="D81" s="11">
        <f t="shared" ref="D81:AN81" si="9">SUM(D74:D80)</f>
        <v>0</v>
      </c>
      <c r="E81" s="11">
        <f t="shared" si="9"/>
        <v>0</v>
      </c>
      <c r="F81" s="11">
        <f t="shared" si="9"/>
        <v>0</v>
      </c>
      <c r="G81" s="11">
        <f t="shared" si="9"/>
        <v>0</v>
      </c>
      <c r="H81" s="123">
        <f t="shared" si="9"/>
        <v>0</v>
      </c>
      <c r="I81" s="11">
        <f t="shared" si="9"/>
        <v>0</v>
      </c>
      <c r="J81" s="11">
        <f t="shared" si="9"/>
        <v>0</v>
      </c>
      <c r="K81" s="11">
        <f t="shared" si="9"/>
        <v>4</v>
      </c>
      <c r="L81" s="11">
        <f t="shared" si="9"/>
        <v>4</v>
      </c>
      <c r="M81" s="11">
        <f t="shared" si="9"/>
        <v>0</v>
      </c>
      <c r="N81" s="124">
        <f t="shared" si="9"/>
        <v>0</v>
      </c>
      <c r="O81" s="11">
        <f t="shared" si="9"/>
        <v>6</v>
      </c>
      <c r="P81" s="11">
        <f t="shared" si="9"/>
        <v>2</v>
      </c>
      <c r="Q81" s="11">
        <f t="shared" si="9"/>
        <v>2</v>
      </c>
      <c r="R81" s="11">
        <f t="shared" si="9"/>
        <v>3</v>
      </c>
      <c r="S81" s="11">
        <f t="shared" si="9"/>
        <v>6</v>
      </c>
      <c r="T81" s="124">
        <f t="shared" si="9"/>
        <v>0</v>
      </c>
      <c r="U81" s="11">
        <f t="shared" si="9"/>
        <v>5</v>
      </c>
      <c r="V81" s="11">
        <f t="shared" si="9"/>
        <v>10</v>
      </c>
      <c r="W81" s="11">
        <f t="shared" si="9"/>
        <v>6</v>
      </c>
      <c r="X81" s="11">
        <f t="shared" si="9"/>
        <v>6</v>
      </c>
      <c r="Y81" s="11">
        <f t="shared" si="9"/>
        <v>3</v>
      </c>
      <c r="Z81" s="124">
        <f t="shared" si="9"/>
        <v>4</v>
      </c>
      <c r="AA81" s="11">
        <f t="shared" si="9"/>
        <v>4</v>
      </c>
      <c r="AB81" s="11">
        <f t="shared" si="9"/>
        <v>5</v>
      </c>
      <c r="AC81" s="11">
        <f t="shared" si="9"/>
        <v>4</v>
      </c>
      <c r="AD81" s="11">
        <f t="shared" si="9"/>
        <v>3</v>
      </c>
      <c r="AE81" s="11">
        <f t="shared" si="9"/>
        <v>1</v>
      </c>
      <c r="AF81" s="124">
        <f t="shared" si="9"/>
        <v>0</v>
      </c>
      <c r="AG81" s="11">
        <f t="shared" si="9"/>
        <v>1</v>
      </c>
      <c r="AH81" s="11">
        <f t="shared" si="9"/>
        <v>0</v>
      </c>
      <c r="AI81" s="11">
        <f t="shared" si="9"/>
        <v>1</v>
      </c>
      <c r="AJ81" s="11"/>
      <c r="AK81" s="11"/>
      <c r="AL81" s="124">
        <f t="shared" si="9"/>
        <v>3</v>
      </c>
      <c r="AM81" s="11">
        <f t="shared" si="9"/>
        <v>0</v>
      </c>
      <c r="AN81" s="124">
        <f t="shared" si="9"/>
        <v>0</v>
      </c>
      <c r="AP81" s="125">
        <f>SUM(AP74:AP80)</f>
        <v>1920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44:A50"/>
    <mergeCell ref="A52:A58"/>
    <mergeCell ref="B61:D62"/>
    <mergeCell ref="F61:M61"/>
    <mergeCell ref="A71:AP71"/>
    <mergeCell ref="F64:G64"/>
    <mergeCell ref="H64:I64"/>
    <mergeCell ref="J64:M64"/>
    <mergeCell ref="F63:I63"/>
    <mergeCell ref="J63:M63"/>
    <mergeCell ref="AG72:AL72"/>
    <mergeCell ref="AM72:AM73"/>
    <mergeCell ref="AN72:AN73"/>
    <mergeCell ref="A73:A80"/>
    <mergeCell ref="C72:H72"/>
    <mergeCell ref="I72:N72"/>
    <mergeCell ref="O72:T72"/>
    <mergeCell ref="U72:Z72"/>
    <mergeCell ref="AA72:AF72"/>
    <mergeCell ref="AM11:AM12"/>
    <mergeCell ref="AN11:AN12"/>
    <mergeCell ref="AA11:AF11"/>
    <mergeCell ref="AG11:AL11"/>
    <mergeCell ref="F62:I62"/>
    <mergeCell ref="J62:M62"/>
    <mergeCell ref="A37:A43"/>
    <mergeCell ref="C11:H11"/>
    <mergeCell ref="I11:N11"/>
    <mergeCell ref="O11:T11"/>
    <mergeCell ref="U11:Z11"/>
    <mergeCell ref="A13:A19"/>
    <mergeCell ref="A21:A27"/>
    <mergeCell ref="A29:A35"/>
    <mergeCell ref="AH8:AL9"/>
    <mergeCell ref="AM8:AO9"/>
    <mergeCell ref="A5:B5"/>
    <mergeCell ref="C5:E5"/>
    <mergeCell ref="F5:AB6"/>
    <mergeCell ref="A6:B6"/>
    <mergeCell ref="C6:E6"/>
    <mergeCell ref="AC5:AO6"/>
    <mergeCell ref="A8:O8"/>
    <mergeCell ref="P8:AA8"/>
    <mergeCell ref="AB8:AG9"/>
    <mergeCell ref="A9:O9"/>
    <mergeCell ref="P9:AA9"/>
    <mergeCell ref="AC1:AO4"/>
    <mergeCell ref="A3:B3"/>
    <mergeCell ref="C3:E3"/>
    <mergeCell ref="F3:AB4"/>
    <mergeCell ref="A4:B4"/>
    <mergeCell ref="C4:E4"/>
    <mergeCell ref="A1:B1"/>
    <mergeCell ref="C1:E1"/>
    <mergeCell ref="F1:AB2"/>
    <mergeCell ref="A2:B2"/>
    <mergeCell ref="C2:E2"/>
  </mergeCells>
  <conditionalFormatting sqref="B13:B19">
    <cfRule type="cellIs" dxfId="85" priority="6" operator="equal">
      <formula>0</formula>
    </cfRule>
  </conditionalFormatting>
  <conditionalFormatting sqref="B21:B35">
    <cfRule type="cellIs" dxfId="84" priority="4" operator="equal">
      <formula>0</formula>
    </cfRule>
  </conditionalFormatting>
  <conditionalFormatting sqref="B37:B50">
    <cfRule type="cellIs" dxfId="83" priority="2" operator="equal">
      <formula>0</formula>
    </cfRule>
  </conditionalFormatting>
  <conditionalFormatting sqref="B52:B58">
    <cfRule type="cellIs" dxfId="82" priority="1" operator="equal">
      <formula>0</formula>
    </cfRule>
  </conditionalFormatting>
  <conditionalFormatting sqref="B74:B80">
    <cfRule type="cellIs" dxfId="81" priority="18" operator="equal">
      <formula>0</formula>
    </cfRule>
  </conditionalFormatting>
  <conditionalFormatting sqref="B108:B109">
    <cfRule type="cellIs" dxfId="80" priority="16" operator="equal">
      <formula>0</formula>
    </cfRule>
  </conditionalFormatting>
  <conditionalFormatting sqref="B111:B116">
    <cfRule type="cellIs" dxfId="79" priority="15" operator="equal">
      <formula>0</formula>
    </cfRule>
  </conditionalFormatting>
  <conditionalFormatting sqref="B118:B123">
    <cfRule type="cellIs" dxfId="78" priority="14" operator="equal">
      <formula>0</formula>
    </cfRule>
  </conditionalFormatting>
  <conditionalFormatting sqref="C85:H85">
    <cfRule type="cellIs" dxfId="77" priority="17" operator="equal">
      <formula>0</formula>
    </cfRule>
  </conditionalFormatting>
  <conditionalFormatting sqref="C74:AN80">
    <cfRule type="cellIs" dxfId="76" priority="13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065D2-566B-43C2-8A6C-56572FF25458}">
  <dimension ref="A1:AT123"/>
  <sheetViews>
    <sheetView topLeftCell="A31" zoomScaleNormal="100" workbookViewId="0">
      <selection activeCell="O17" sqref="O17:AL17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81" t="s">
        <v>115</v>
      </c>
      <c r="B1" s="182"/>
      <c r="C1" s="183" t="s">
        <v>116</v>
      </c>
      <c r="D1" s="184"/>
      <c r="E1" s="184"/>
      <c r="F1" s="185" t="s">
        <v>94</v>
      </c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</row>
    <row r="2" spans="1:42">
      <c r="A2" s="181" t="s">
        <v>95</v>
      </c>
      <c r="B2" s="182"/>
      <c r="C2" s="183">
        <v>2.2000000000000002</v>
      </c>
      <c r="D2" s="184"/>
      <c r="E2" s="184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</row>
    <row r="3" spans="1:42">
      <c r="A3" s="181" t="s">
        <v>97</v>
      </c>
      <c r="B3" s="182"/>
      <c r="C3" s="186">
        <v>44589</v>
      </c>
      <c r="D3" s="187"/>
      <c r="E3" s="187"/>
      <c r="F3" s="188" t="s">
        <v>117</v>
      </c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</row>
    <row r="4" spans="1:42">
      <c r="A4" s="181" t="s">
        <v>118</v>
      </c>
      <c r="B4" s="182"/>
      <c r="C4" s="183" t="s">
        <v>102</v>
      </c>
      <c r="D4" s="184"/>
      <c r="E4" s="184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</row>
    <row r="5" spans="1:42">
      <c r="A5" s="181" t="s">
        <v>119</v>
      </c>
      <c r="B5" s="182"/>
      <c r="C5" s="183" t="s">
        <v>120</v>
      </c>
      <c r="D5" s="184"/>
      <c r="E5" s="184"/>
      <c r="F5" s="188" t="s">
        <v>104</v>
      </c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9" t="s">
        <v>121</v>
      </c>
      <c r="AD5" s="189"/>
      <c r="AE5" s="189"/>
      <c r="AF5" s="189"/>
      <c r="AG5" s="189"/>
      <c r="AH5" s="189"/>
      <c r="AI5" s="189"/>
      <c r="AJ5" s="189"/>
      <c r="AK5" s="189"/>
      <c r="AL5" s="189"/>
      <c r="AM5" s="189"/>
      <c r="AN5" s="189"/>
      <c r="AO5" s="189"/>
    </row>
    <row r="6" spans="1:42">
      <c r="A6" s="181" t="s">
        <v>122</v>
      </c>
      <c r="B6" s="182"/>
      <c r="C6" s="183" t="s">
        <v>120</v>
      </c>
      <c r="D6" s="184"/>
      <c r="E6" s="184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9"/>
      <c r="AD6" s="189"/>
      <c r="AE6" s="189"/>
      <c r="AF6" s="189"/>
      <c r="AG6" s="189"/>
      <c r="AH6" s="189"/>
      <c r="AI6" s="189"/>
      <c r="AJ6" s="189"/>
      <c r="AK6" s="189"/>
      <c r="AL6" s="189"/>
      <c r="AM6" s="189"/>
      <c r="AN6" s="189"/>
      <c r="AO6" s="189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>
      <c r="A8" s="190" t="s">
        <v>123</v>
      </c>
      <c r="B8" s="191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2" t="s">
        <v>124</v>
      </c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3" t="s">
        <v>159</v>
      </c>
      <c r="AC8" s="193"/>
      <c r="AD8" s="193"/>
      <c r="AE8" s="193"/>
      <c r="AF8" s="193"/>
      <c r="AG8" s="193"/>
      <c r="AH8" s="195">
        <v>27</v>
      </c>
      <c r="AI8" s="195"/>
      <c r="AJ8" s="195"/>
      <c r="AK8" s="195"/>
      <c r="AL8" s="195"/>
      <c r="AM8" s="195">
        <v>31</v>
      </c>
      <c r="AN8" s="195"/>
      <c r="AO8" s="197"/>
    </row>
    <row r="9" spans="1:42">
      <c r="A9" s="199" t="s">
        <v>125</v>
      </c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 t="s">
        <v>125</v>
      </c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194"/>
      <c r="AC9" s="194"/>
      <c r="AD9" s="194"/>
      <c r="AE9" s="194"/>
      <c r="AF9" s="194"/>
      <c r="AG9" s="194"/>
      <c r="AH9" s="196"/>
      <c r="AI9" s="196"/>
      <c r="AJ9" s="196"/>
      <c r="AK9" s="196"/>
      <c r="AL9" s="196"/>
      <c r="AM9" s="196"/>
      <c r="AN9" s="196"/>
      <c r="AO9" s="198"/>
    </row>
    <row r="10" spans="1:42" ht="7.5" customHeight="1"/>
    <row r="11" spans="1:42">
      <c r="C11" s="169" t="s">
        <v>0</v>
      </c>
      <c r="D11" s="169"/>
      <c r="E11" s="169"/>
      <c r="F11" s="169"/>
      <c r="G11" s="169"/>
      <c r="H11" s="169"/>
      <c r="I11" s="169" t="s">
        <v>1</v>
      </c>
      <c r="J11" s="169"/>
      <c r="K11" s="169"/>
      <c r="L11" s="169"/>
      <c r="M11" s="169"/>
      <c r="N11" s="169"/>
      <c r="O11" s="169" t="s">
        <v>2</v>
      </c>
      <c r="P11" s="169"/>
      <c r="Q11" s="169"/>
      <c r="R11" s="169"/>
      <c r="S11" s="169"/>
      <c r="T11" s="169"/>
      <c r="U11" s="169" t="s">
        <v>3</v>
      </c>
      <c r="V11" s="169"/>
      <c r="W11" s="169"/>
      <c r="X11" s="169"/>
      <c r="Y11" s="169"/>
      <c r="Z11" s="169"/>
      <c r="AA11" s="169" t="s">
        <v>4</v>
      </c>
      <c r="AB11" s="169"/>
      <c r="AC11" s="169"/>
      <c r="AD11" s="169"/>
      <c r="AE11" s="169"/>
      <c r="AF11" s="169"/>
      <c r="AG11" s="169" t="s">
        <v>5</v>
      </c>
      <c r="AH11" s="169"/>
      <c r="AI11" s="169"/>
      <c r="AJ11" s="169"/>
      <c r="AK11" s="169"/>
      <c r="AL11" s="169"/>
      <c r="AM11" s="160" t="s">
        <v>6</v>
      </c>
      <c r="AN11" s="160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60"/>
      <c r="AN12" s="160"/>
      <c r="AO12" s="88" t="s">
        <v>10</v>
      </c>
      <c r="AP12" s="89" t="s">
        <v>11</v>
      </c>
    </row>
    <row r="13" spans="1:42" ht="14.25" customHeight="1">
      <c r="A13" s="175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>
        <v>2</v>
      </c>
      <c r="L13" s="60">
        <v>2</v>
      </c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>
        <v>1</v>
      </c>
      <c r="AM13" s="90"/>
      <c r="AN13" s="91"/>
      <c r="AO13" s="92">
        <f t="shared" ref="AO13:AO19" si="0">SUM(C13:AN13)</f>
        <v>5</v>
      </c>
      <c r="AP13" s="93">
        <f>AO13*25</f>
        <v>125</v>
      </c>
    </row>
    <row r="14" spans="1:42" ht="14.25" customHeight="1">
      <c r="A14" s="175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0</v>
      </c>
      <c r="AP14" s="93">
        <f t="shared" ref="AP14:AP58" si="1">AO14*25</f>
        <v>0</v>
      </c>
    </row>
    <row r="15" spans="1:42" ht="14.25" customHeight="1">
      <c r="A15" s="175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>
        <v>1</v>
      </c>
      <c r="L15" s="64"/>
      <c r="M15" s="64"/>
      <c r="N15" s="84"/>
      <c r="O15" s="83"/>
      <c r="P15" s="64">
        <v>1</v>
      </c>
      <c r="Q15" s="64">
        <v>1</v>
      </c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>
        <v>1</v>
      </c>
      <c r="AM15" s="94"/>
      <c r="AN15" s="95"/>
      <c r="AO15" s="92">
        <f t="shared" si="0"/>
        <v>4</v>
      </c>
      <c r="AP15" s="93">
        <f t="shared" si="1"/>
        <v>100</v>
      </c>
    </row>
    <row r="16" spans="1:42" ht="14.25" customHeight="1">
      <c r="A16" s="175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0</v>
      </c>
      <c r="AP16" s="93">
        <f t="shared" si="1"/>
        <v>0</v>
      </c>
    </row>
    <row r="17" spans="1:42" ht="14.25" customHeight="1">
      <c r="A17" s="175"/>
      <c r="B17" s="62" t="s">
        <v>132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>
        <v>3</v>
      </c>
      <c r="P17" s="64"/>
      <c r="Q17" s="64"/>
      <c r="R17" s="64">
        <v>1</v>
      </c>
      <c r="S17" s="64">
        <v>2</v>
      </c>
      <c r="T17" s="84"/>
      <c r="U17" s="83">
        <v>1</v>
      </c>
      <c r="V17" s="64">
        <v>2</v>
      </c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149"/>
      <c r="AH17" s="149"/>
      <c r="AI17" s="149"/>
      <c r="AJ17" s="149"/>
      <c r="AK17" s="149"/>
      <c r="AL17" s="149"/>
      <c r="AM17" s="63"/>
      <c r="AN17" s="134"/>
      <c r="AO17" s="92">
        <f t="shared" si="0"/>
        <v>9</v>
      </c>
      <c r="AP17" s="93">
        <f t="shared" si="1"/>
        <v>225</v>
      </c>
    </row>
    <row r="18" spans="1:42" ht="14.25" customHeight="1">
      <c r="A18" s="175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149"/>
      <c r="AH18" s="149"/>
      <c r="AI18" s="149"/>
      <c r="AJ18" s="149"/>
      <c r="AK18" s="149"/>
      <c r="AL18" s="149"/>
      <c r="AM18" s="94"/>
      <c r="AN18" s="95"/>
      <c r="AO18" s="92">
        <f t="shared" si="0"/>
        <v>0</v>
      </c>
      <c r="AP18" s="93">
        <f t="shared" si="1"/>
        <v>0</v>
      </c>
    </row>
    <row r="19" spans="1:42" ht="14.25" customHeight="1">
      <c r="A19" s="175"/>
      <c r="B19" s="62" t="s">
        <v>142</v>
      </c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/>
      <c r="S19" s="64"/>
      <c r="T19" s="84"/>
      <c r="U19" s="83">
        <v>2</v>
      </c>
      <c r="V19" s="64">
        <v>2</v>
      </c>
      <c r="W19" s="64">
        <v>1</v>
      </c>
      <c r="X19" s="64">
        <v>1</v>
      </c>
      <c r="Y19" s="64">
        <v>1</v>
      </c>
      <c r="Z19" s="84">
        <v>2</v>
      </c>
      <c r="AA19" s="83">
        <v>1</v>
      </c>
      <c r="AB19" s="64">
        <v>1</v>
      </c>
      <c r="AC19" s="64">
        <v>1</v>
      </c>
      <c r="AD19" s="64">
        <v>1</v>
      </c>
      <c r="AE19" s="64">
        <v>1</v>
      </c>
      <c r="AF19" s="84">
        <v>1</v>
      </c>
      <c r="AG19" s="149"/>
      <c r="AH19" s="149"/>
      <c r="AI19" s="149"/>
      <c r="AJ19" s="149"/>
      <c r="AK19" s="149"/>
      <c r="AL19" s="149"/>
      <c r="AM19" s="94"/>
      <c r="AN19" s="95"/>
      <c r="AO19" s="92">
        <f t="shared" si="0"/>
        <v>15</v>
      </c>
      <c r="AP19" s="93">
        <f t="shared" si="1"/>
        <v>375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70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71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71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71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71"/>
      <c r="B25" s="62" t="s">
        <v>132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71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72"/>
      <c r="B27" s="62" t="s">
        <v>142</v>
      </c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70" t="s">
        <v>19</v>
      </c>
      <c r="B29" s="58" t="s">
        <v>13</v>
      </c>
      <c r="C29" s="59"/>
      <c r="D29" s="60"/>
      <c r="E29" s="60"/>
      <c r="F29" s="60"/>
      <c r="G29" s="60"/>
      <c r="H29" s="61"/>
      <c r="I29" s="17"/>
      <c r="J29" s="60"/>
      <c r="K29" s="60"/>
      <c r="L29" s="60"/>
      <c r="M29" s="60"/>
      <c r="N29" s="82"/>
      <c r="O29" s="17"/>
      <c r="P29" s="60"/>
      <c r="Q29" s="60"/>
      <c r="R29" s="60"/>
      <c r="S29" s="60"/>
      <c r="T29" s="82"/>
      <c r="U29" s="17"/>
      <c r="V29" s="60"/>
      <c r="W29" s="60"/>
      <c r="X29" s="60"/>
      <c r="Y29" s="60"/>
      <c r="Z29" s="82"/>
      <c r="AA29" s="17"/>
      <c r="AB29" s="60"/>
      <c r="AC29" s="60"/>
      <c r="AD29" s="60"/>
      <c r="AE29" s="60"/>
      <c r="AF29" s="82"/>
      <c r="AG29" s="17"/>
      <c r="AH29" s="60"/>
      <c r="AI29" s="60"/>
      <c r="AJ29" s="144"/>
      <c r="AK29" s="144"/>
      <c r="AL29" s="61"/>
      <c r="AM29" s="90"/>
      <c r="AN29" s="91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71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149"/>
      <c r="AH30" s="150"/>
      <c r="AI30" s="150"/>
      <c r="AJ30" s="151"/>
      <c r="AK30" s="149"/>
      <c r="AL30" s="150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71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149"/>
      <c r="AH31" s="149"/>
      <c r="AI31" s="149"/>
      <c r="AJ31" s="149"/>
      <c r="AK31" s="149"/>
      <c r="AL31" s="149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71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149"/>
      <c r="AH32" s="149"/>
      <c r="AI32" s="149"/>
      <c r="AJ32" s="149"/>
      <c r="AK32" s="149"/>
      <c r="AL32" s="149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71"/>
      <c r="B33" s="62" t="s">
        <v>132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149"/>
      <c r="AH33" s="149"/>
      <c r="AI33" s="149"/>
      <c r="AJ33" s="149"/>
      <c r="AK33" s="149"/>
      <c r="AL33" s="149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71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149"/>
      <c r="AH34" s="149"/>
      <c r="AI34" s="149"/>
      <c r="AJ34" s="149"/>
      <c r="AK34" s="149"/>
      <c r="AL34" s="149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72"/>
      <c r="B35" s="62" t="s">
        <v>142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149"/>
      <c r="AH35" s="149"/>
      <c r="AI35" s="149"/>
      <c r="AJ35" s="149"/>
      <c r="AK35" s="149"/>
      <c r="AL35" s="149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70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71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71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71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71"/>
      <c r="B41" s="62" t="s">
        <v>132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71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" customHeight="1">
      <c r="A43" s="172"/>
      <c r="B43" s="62" t="s">
        <v>142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70" t="s">
        <v>21</v>
      </c>
      <c r="B44" s="58" t="s">
        <v>13</v>
      </c>
      <c r="C44" s="59"/>
      <c r="D44" s="60"/>
      <c r="E44" s="60"/>
      <c r="F44" s="60"/>
      <c r="G44" s="60"/>
      <c r="H44" s="61"/>
      <c r="I44" s="17"/>
      <c r="J44" s="60"/>
      <c r="K44" s="60"/>
      <c r="L44" s="60"/>
      <c r="M44" s="60"/>
      <c r="N44" s="82"/>
      <c r="O44" s="17"/>
      <c r="P44" s="60"/>
      <c r="Q44" s="60"/>
      <c r="R44" s="60"/>
      <c r="S44" s="60"/>
      <c r="T44" s="82"/>
      <c r="U44" s="17"/>
      <c r="V44" s="60"/>
      <c r="W44" s="60"/>
      <c r="X44" s="60"/>
      <c r="Y44" s="60"/>
      <c r="Z44" s="82"/>
      <c r="AA44" s="17"/>
      <c r="AB44" s="60"/>
      <c r="AC44" s="60"/>
      <c r="AD44" s="60"/>
      <c r="AE44" s="60"/>
      <c r="AF44" s="82"/>
      <c r="AG44" s="17"/>
      <c r="AH44" s="60"/>
      <c r="AI44" s="60"/>
      <c r="AJ44" s="144"/>
      <c r="AK44" s="144"/>
      <c r="AL44" s="61"/>
      <c r="AM44" s="90"/>
      <c r="AN44" s="91"/>
      <c r="AO44" s="99">
        <f t="shared" si="4"/>
        <v>0</v>
      </c>
      <c r="AP44" s="139">
        <f t="shared" si="1"/>
        <v>0</v>
      </c>
    </row>
    <row r="45" spans="1:42" ht="14.25" customHeight="1">
      <c r="A45" s="171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149"/>
      <c r="AH45" s="150"/>
      <c r="AI45" s="150"/>
      <c r="AJ45" s="151"/>
      <c r="AK45" s="149"/>
      <c r="AL45" s="150"/>
      <c r="AM45" s="94"/>
      <c r="AN45" s="95"/>
      <c r="AO45" s="92">
        <f t="shared" si="4"/>
        <v>0</v>
      </c>
      <c r="AP45" s="93">
        <f t="shared" si="1"/>
        <v>0</v>
      </c>
    </row>
    <row r="46" spans="1:42" ht="14.25" customHeight="1">
      <c r="A46" s="171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149"/>
      <c r="AH46" s="149"/>
      <c r="AI46" s="149"/>
      <c r="AJ46" s="149"/>
      <c r="AK46" s="149"/>
      <c r="AL46" s="149"/>
      <c r="AM46" s="94"/>
      <c r="AN46" s="95"/>
      <c r="AO46" s="92">
        <f t="shared" si="4"/>
        <v>0</v>
      </c>
      <c r="AP46" s="93">
        <f t="shared" si="1"/>
        <v>0</v>
      </c>
    </row>
    <row r="47" spans="1:42" ht="14.25" customHeight="1">
      <c r="A47" s="171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149"/>
      <c r="AH47" s="149"/>
      <c r="AI47" s="149"/>
      <c r="AJ47" s="149"/>
      <c r="AK47" s="149"/>
      <c r="AL47" s="149"/>
      <c r="AM47" s="94"/>
      <c r="AN47" s="95"/>
      <c r="AO47" s="92">
        <f t="shared" si="4"/>
        <v>0</v>
      </c>
      <c r="AP47" s="93">
        <f t="shared" si="1"/>
        <v>0</v>
      </c>
    </row>
    <row r="48" spans="1:42" ht="14.25" customHeight="1">
      <c r="A48" s="171"/>
      <c r="B48" s="62" t="s">
        <v>132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/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149"/>
      <c r="AH48" s="149"/>
      <c r="AI48" s="149"/>
      <c r="AJ48" s="149"/>
      <c r="AK48" s="149"/>
      <c r="AL48" s="149"/>
      <c r="AM48" s="63"/>
      <c r="AN48" s="134"/>
      <c r="AO48" s="92">
        <f t="shared" si="4"/>
        <v>0</v>
      </c>
      <c r="AP48" s="93">
        <f t="shared" si="1"/>
        <v>0</v>
      </c>
    </row>
    <row r="49" spans="1:46" ht="14.25" customHeight="1">
      <c r="A49" s="171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/>
      <c r="V49" s="64"/>
      <c r="W49" s="64"/>
      <c r="X49" s="64"/>
      <c r="Y49" s="64"/>
      <c r="Z49" s="84"/>
      <c r="AA49" s="83"/>
      <c r="AB49" s="64"/>
      <c r="AC49" s="64"/>
      <c r="AD49" s="64"/>
      <c r="AE49" s="64"/>
      <c r="AF49" s="84"/>
      <c r="AG49" s="149"/>
      <c r="AH49" s="149"/>
      <c r="AI49" s="149"/>
      <c r="AJ49" s="149"/>
      <c r="AK49" s="149"/>
      <c r="AL49" s="149"/>
      <c r="AM49" s="94"/>
      <c r="AN49" s="95"/>
      <c r="AO49" s="92">
        <f t="shared" si="4"/>
        <v>0</v>
      </c>
      <c r="AP49" s="93">
        <f t="shared" si="1"/>
        <v>0</v>
      </c>
      <c r="AT49" t="s">
        <v>22</v>
      </c>
    </row>
    <row r="50" spans="1:46" ht="14.25" customHeight="1">
      <c r="A50" s="172"/>
      <c r="B50" s="62" t="s">
        <v>142</v>
      </c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/>
      <c r="S50" s="64"/>
      <c r="T50" s="84"/>
      <c r="U50" s="83"/>
      <c r="V50" s="64"/>
      <c r="W50" s="64"/>
      <c r="X50" s="64"/>
      <c r="Y50" s="64"/>
      <c r="Z50" s="84"/>
      <c r="AA50" s="83"/>
      <c r="AB50" s="64"/>
      <c r="AC50" s="64"/>
      <c r="AD50" s="64"/>
      <c r="AE50" s="64"/>
      <c r="AF50" s="84"/>
      <c r="AG50" s="149"/>
      <c r="AH50" s="149"/>
      <c r="AI50" s="149"/>
      <c r="AJ50" s="149"/>
      <c r="AK50" s="149"/>
      <c r="AL50" s="149"/>
      <c r="AM50" s="94"/>
      <c r="AN50" s="95"/>
      <c r="AO50" s="92">
        <f t="shared" si="4"/>
        <v>0</v>
      </c>
      <c r="AP50" s="93">
        <f>AO50*20</f>
        <v>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70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71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71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71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71"/>
      <c r="B56" s="62" t="s">
        <v>132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71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72"/>
      <c r="B58" s="62" t="s">
        <v>142</v>
      </c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65" t="s">
        <v>25</v>
      </c>
      <c r="C61" s="165"/>
      <c r="D61" s="165"/>
      <c r="E61" s="73"/>
      <c r="F61" s="176" t="s">
        <v>26</v>
      </c>
      <c r="G61" s="176"/>
      <c r="H61" s="176"/>
      <c r="I61" s="176"/>
      <c r="J61" s="176"/>
      <c r="K61" s="176"/>
      <c r="L61" s="176"/>
      <c r="M61" s="176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65"/>
      <c r="C62" s="165"/>
      <c r="D62" s="165"/>
      <c r="E62" s="73"/>
      <c r="F62" s="177" t="s">
        <v>27</v>
      </c>
      <c r="G62" s="177"/>
      <c r="H62" s="177"/>
      <c r="I62" s="177"/>
      <c r="J62" s="177" t="s">
        <v>28</v>
      </c>
      <c r="K62" s="177"/>
      <c r="L62" s="177"/>
      <c r="M62" s="177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33</v>
      </c>
      <c r="D63" s="52">
        <f>SUM(AP13:AP19)</f>
        <v>825</v>
      </c>
      <c r="E63" s="68"/>
      <c r="F63" s="178"/>
      <c r="G63" s="166"/>
      <c r="H63" s="166"/>
      <c r="I63" s="166"/>
      <c r="J63" s="179"/>
      <c r="K63" s="179"/>
      <c r="L63" s="179"/>
      <c r="M63" s="180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66"/>
      <c r="G64" s="166"/>
      <c r="H64" s="166"/>
      <c r="I64" s="166"/>
      <c r="J64" s="167"/>
      <c r="K64" s="168"/>
      <c r="L64" s="168"/>
      <c r="M64" s="168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0</v>
      </c>
      <c r="D67" s="52">
        <f>SUM(AP44:AP50)</f>
        <v>0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33</v>
      </c>
      <c r="D69" s="80">
        <f>SUM(D63:D68)</f>
        <v>825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69" t="s">
        <v>31</v>
      </c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  <c r="AL71" s="169"/>
      <c r="AM71" s="169"/>
      <c r="AN71" s="169"/>
      <c r="AO71" s="169"/>
      <c r="AP71" s="169"/>
    </row>
    <row r="72" spans="1:42">
      <c r="C72" s="162" t="s">
        <v>0</v>
      </c>
      <c r="D72" s="162"/>
      <c r="E72" s="162"/>
      <c r="F72" s="162"/>
      <c r="G72" s="162"/>
      <c r="H72" s="163"/>
      <c r="I72" s="162" t="s">
        <v>1</v>
      </c>
      <c r="J72" s="162"/>
      <c r="K72" s="162"/>
      <c r="L72" s="162"/>
      <c r="M72" s="162"/>
      <c r="N72" s="163"/>
      <c r="O72" s="161" t="s">
        <v>2</v>
      </c>
      <c r="P72" s="162"/>
      <c r="Q72" s="162"/>
      <c r="R72" s="162"/>
      <c r="S72" s="162"/>
      <c r="T72" s="163"/>
      <c r="U72" s="162" t="s">
        <v>32</v>
      </c>
      <c r="V72" s="162"/>
      <c r="W72" s="162"/>
      <c r="X72" s="162"/>
      <c r="Y72" s="162"/>
      <c r="Z72" s="163"/>
      <c r="AA72" s="162" t="s">
        <v>4</v>
      </c>
      <c r="AB72" s="162"/>
      <c r="AC72" s="162"/>
      <c r="AD72" s="162"/>
      <c r="AE72" s="162"/>
      <c r="AF72" s="163"/>
      <c r="AG72" s="162" t="s">
        <v>5</v>
      </c>
      <c r="AH72" s="162"/>
      <c r="AI72" s="162"/>
      <c r="AJ72" s="162"/>
      <c r="AK72" s="162"/>
      <c r="AL72" s="163"/>
      <c r="AM72" s="174" t="s">
        <v>6</v>
      </c>
      <c r="AN72" s="164" t="s">
        <v>7</v>
      </c>
      <c r="AO72" s="96"/>
      <c r="AP72" s="96"/>
    </row>
    <row r="73" spans="1:42">
      <c r="A73" s="173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174"/>
      <c r="AN73" s="164"/>
      <c r="AO73" s="116" t="s">
        <v>10</v>
      </c>
      <c r="AP73" s="117" t="s">
        <v>11</v>
      </c>
    </row>
    <row r="74" spans="1:42" ht="15" customHeight="1">
      <c r="A74" s="173"/>
      <c r="B74" s="105" t="s">
        <v>34</v>
      </c>
      <c r="C74" s="17">
        <f t="shared" ref="C74:AN80" si="5">SUM(C13+C21+C29+C37+C44+C52)</f>
        <v>0</v>
      </c>
      <c r="D74" s="17">
        <f t="shared" si="5"/>
        <v>0</v>
      </c>
      <c r="E74" s="17">
        <f t="shared" si="5"/>
        <v>0</v>
      </c>
      <c r="F74" s="17">
        <f t="shared" si="5"/>
        <v>0</v>
      </c>
      <c r="G74" s="17">
        <f t="shared" si="5"/>
        <v>0</v>
      </c>
      <c r="H74" s="106">
        <f t="shared" si="5"/>
        <v>0</v>
      </c>
      <c r="I74" s="17">
        <f t="shared" si="5"/>
        <v>0</v>
      </c>
      <c r="J74" s="17">
        <f t="shared" si="5"/>
        <v>0</v>
      </c>
      <c r="K74" s="17">
        <f t="shared" si="5"/>
        <v>2</v>
      </c>
      <c r="L74" s="17">
        <f t="shared" si="5"/>
        <v>2</v>
      </c>
      <c r="M74" s="17">
        <f t="shared" si="5"/>
        <v>0</v>
      </c>
      <c r="N74" s="114">
        <f t="shared" si="5"/>
        <v>0</v>
      </c>
      <c r="O74" s="17">
        <f t="shared" si="5"/>
        <v>0</v>
      </c>
      <c r="P74" s="17">
        <f t="shared" si="5"/>
        <v>0</v>
      </c>
      <c r="Q74" s="17">
        <f t="shared" si="5"/>
        <v>0</v>
      </c>
      <c r="R74" s="17">
        <f t="shared" si="5"/>
        <v>0</v>
      </c>
      <c r="S74" s="17">
        <f t="shared" si="5"/>
        <v>0</v>
      </c>
      <c r="T74" s="114">
        <f t="shared" si="5"/>
        <v>0</v>
      </c>
      <c r="U74" s="17">
        <f t="shared" si="5"/>
        <v>0</v>
      </c>
      <c r="V74" s="17">
        <f t="shared" si="5"/>
        <v>0</v>
      </c>
      <c r="W74" s="17">
        <f t="shared" si="5"/>
        <v>0</v>
      </c>
      <c r="X74" s="17">
        <f t="shared" si="5"/>
        <v>0</v>
      </c>
      <c r="Y74" s="17">
        <f t="shared" si="5"/>
        <v>0</v>
      </c>
      <c r="Z74" s="114">
        <f t="shared" si="5"/>
        <v>0</v>
      </c>
      <c r="AA74" s="17">
        <f t="shared" si="5"/>
        <v>0</v>
      </c>
      <c r="AB74" s="17">
        <f t="shared" si="5"/>
        <v>0</v>
      </c>
      <c r="AC74" s="17">
        <f t="shared" si="5"/>
        <v>0</v>
      </c>
      <c r="AD74" s="17">
        <f t="shared" si="5"/>
        <v>0</v>
      </c>
      <c r="AE74" s="17">
        <f t="shared" si="5"/>
        <v>0</v>
      </c>
      <c r="AF74" s="114">
        <f t="shared" si="5"/>
        <v>0</v>
      </c>
      <c r="AG74" s="17">
        <f t="shared" si="5"/>
        <v>0</v>
      </c>
      <c r="AH74" s="17">
        <f t="shared" si="5"/>
        <v>0</v>
      </c>
      <c r="AI74" s="17">
        <f t="shared" si="5"/>
        <v>0</v>
      </c>
      <c r="AJ74" s="17">
        <f t="shared" si="5"/>
        <v>0</v>
      </c>
      <c r="AK74" s="17">
        <f t="shared" si="5"/>
        <v>0</v>
      </c>
      <c r="AL74" s="17">
        <f t="shared" si="5"/>
        <v>1</v>
      </c>
      <c r="AM74" s="17">
        <f t="shared" si="5"/>
        <v>0</v>
      </c>
      <c r="AN74" s="114">
        <f t="shared" si="5"/>
        <v>0</v>
      </c>
      <c r="AO74" s="52">
        <f>SUM(C74:AN74)</f>
        <v>5</v>
      </c>
      <c r="AP74" s="118">
        <f>AO74*25</f>
        <v>125</v>
      </c>
    </row>
    <row r="75" spans="1:42">
      <c r="A75" s="173"/>
      <c r="B75" s="105" t="s">
        <v>14</v>
      </c>
      <c r="C75" s="17">
        <f t="shared" si="5"/>
        <v>0</v>
      </c>
      <c r="D75" s="17">
        <f t="shared" si="5"/>
        <v>0</v>
      </c>
      <c r="E75" s="17">
        <f t="shared" si="5"/>
        <v>0</v>
      </c>
      <c r="F75" s="17">
        <f t="shared" si="5"/>
        <v>0</v>
      </c>
      <c r="G75" s="17">
        <f t="shared" si="5"/>
        <v>0</v>
      </c>
      <c r="H75" s="106">
        <f t="shared" si="5"/>
        <v>0</v>
      </c>
      <c r="I75" s="17">
        <f t="shared" si="5"/>
        <v>0</v>
      </c>
      <c r="J75" s="17">
        <f t="shared" si="5"/>
        <v>0</v>
      </c>
      <c r="K75" s="17">
        <f t="shared" si="5"/>
        <v>0</v>
      </c>
      <c r="L75" s="17">
        <f t="shared" si="5"/>
        <v>0</v>
      </c>
      <c r="M75" s="17">
        <f t="shared" si="5"/>
        <v>0</v>
      </c>
      <c r="N75" s="114">
        <f t="shared" si="5"/>
        <v>0</v>
      </c>
      <c r="O75" s="17">
        <f t="shared" si="5"/>
        <v>0</v>
      </c>
      <c r="P75" s="17">
        <f t="shared" si="5"/>
        <v>0</v>
      </c>
      <c r="Q75" s="17">
        <f t="shared" si="5"/>
        <v>0</v>
      </c>
      <c r="R75" s="17">
        <f t="shared" si="5"/>
        <v>0</v>
      </c>
      <c r="S75" s="17">
        <f t="shared" si="5"/>
        <v>0</v>
      </c>
      <c r="T75" s="114">
        <f t="shared" si="5"/>
        <v>0</v>
      </c>
      <c r="U75" s="17">
        <f t="shared" si="5"/>
        <v>0</v>
      </c>
      <c r="V75" s="17">
        <f t="shared" si="5"/>
        <v>0</v>
      </c>
      <c r="W75" s="17">
        <f t="shared" si="5"/>
        <v>0</v>
      </c>
      <c r="X75" s="17">
        <f t="shared" si="5"/>
        <v>0</v>
      </c>
      <c r="Y75" s="17">
        <f t="shared" si="5"/>
        <v>0</v>
      </c>
      <c r="Z75" s="114">
        <f t="shared" si="5"/>
        <v>0</v>
      </c>
      <c r="AA75" s="17">
        <f t="shared" si="5"/>
        <v>0</v>
      </c>
      <c r="AB75" s="17">
        <f t="shared" si="5"/>
        <v>0</v>
      </c>
      <c r="AC75" s="17">
        <f t="shared" si="5"/>
        <v>0</v>
      </c>
      <c r="AD75" s="17">
        <f t="shared" si="5"/>
        <v>0</v>
      </c>
      <c r="AE75" s="17">
        <f t="shared" si="5"/>
        <v>0</v>
      </c>
      <c r="AF75" s="114">
        <f t="shared" si="5"/>
        <v>0</v>
      </c>
      <c r="AG75" s="17">
        <f t="shared" si="5"/>
        <v>0</v>
      </c>
      <c r="AH75" s="17">
        <f t="shared" si="5"/>
        <v>0</v>
      </c>
      <c r="AI75" s="17">
        <f t="shared" si="5"/>
        <v>0</v>
      </c>
      <c r="AJ75" s="17">
        <f t="shared" si="5"/>
        <v>0</v>
      </c>
      <c r="AK75" s="17">
        <f t="shared" si="5"/>
        <v>0</v>
      </c>
      <c r="AL75" s="17">
        <f t="shared" si="5"/>
        <v>0</v>
      </c>
      <c r="AM75" s="17">
        <f t="shared" si="5"/>
        <v>0</v>
      </c>
      <c r="AN75" s="114">
        <f t="shared" si="5"/>
        <v>0</v>
      </c>
      <c r="AO75" s="52">
        <f t="shared" ref="AO75:AO80" si="6">SUM(C75:AN75)</f>
        <v>0</v>
      </c>
      <c r="AP75" s="118">
        <f t="shared" ref="AP75:AP79" si="7">AO75*25</f>
        <v>0</v>
      </c>
    </row>
    <row r="76" spans="1:42">
      <c r="A76" s="173"/>
      <c r="B76" s="105" t="s">
        <v>15</v>
      </c>
      <c r="C76" s="17">
        <f t="shared" si="5"/>
        <v>0</v>
      </c>
      <c r="D76" s="17">
        <f t="shared" si="5"/>
        <v>0</v>
      </c>
      <c r="E76" s="17">
        <f t="shared" si="5"/>
        <v>0</v>
      </c>
      <c r="F76" s="17">
        <f t="shared" si="5"/>
        <v>0</v>
      </c>
      <c r="G76" s="17">
        <f t="shared" si="5"/>
        <v>0</v>
      </c>
      <c r="H76" s="106">
        <f t="shared" si="5"/>
        <v>0</v>
      </c>
      <c r="I76" s="17">
        <f t="shared" si="5"/>
        <v>0</v>
      </c>
      <c r="J76" s="17">
        <f t="shared" si="5"/>
        <v>0</v>
      </c>
      <c r="K76" s="17">
        <f t="shared" si="5"/>
        <v>1</v>
      </c>
      <c r="L76" s="17">
        <f t="shared" si="5"/>
        <v>0</v>
      </c>
      <c r="M76" s="17">
        <f t="shared" si="5"/>
        <v>0</v>
      </c>
      <c r="N76" s="114">
        <f t="shared" si="5"/>
        <v>0</v>
      </c>
      <c r="O76" s="17">
        <f t="shared" si="5"/>
        <v>0</v>
      </c>
      <c r="P76" s="17">
        <f t="shared" si="5"/>
        <v>1</v>
      </c>
      <c r="Q76" s="17">
        <f t="shared" si="5"/>
        <v>1</v>
      </c>
      <c r="R76" s="17">
        <f t="shared" si="5"/>
        <v>0</v>
      </c>
      <c r="S76" s="17">
        <f t="shared" si="5"/>
        <v>0</v>
      </c>
      <c r="T76" s="114">
        <f t="shared" si="5"/>
        <v>0</v>
      </c>
      <c r="U76" s="17">
        <f t="shared" si="5"/>
        <v>0</v>
      </c>
      <c r="V76" s="17">
        <f t="shared" si="5"/>
        <v>0</v>
      </c>
      <c r="W76" s="17">
        <f t="shared" si="5"/>
        <v>0</v>
      </c>
      <c r="X76" s="17">
        <f t="shared" si="5"/>
        <v>0</v>
      </c>
      <c r="Y76" s="17">
        <f t="shared" si="5"/>
        <v>0</v>
      </c>
      <c r="Z76" s="114">
        <f t="shared" si="5"/>
        <v>0</v>
      </c>
      <c r="AA76" s="17">
        <f t="shared" si="5"/>
        <v>0</v>
      </c>
      <c r="AB76" s="17">
        <f t="shared" si="5"/>
        <v>0</v>
      </c>
      <c r="AC76" s="17">
        <f t="shared" si="5"/>
        <v>0</v>
      </c>
      <c r="AD76" s="17">
        <f t="shared" si="5"/>
        <v>0</v>
      </c>
      <c r="AE76" s="17">
        <f t="shared" si="5"/>
        <v>0</v>
      </c>
      <c r="AF76" s="114">
        <f t="shared" si="5"/>
        <v>0</v>
      </c>
      <c r="AG76" s="17">
        <f t="shared" si="5"/>
        <v>0</v>
      </c>
      <c r="AH76" s="17">
        <f t="shared" si="5"/>
        <v>0</v>
      </c>
      <c r="AI76" s="17">
        <f t="shared" si="5"/>
        <v>0</v>
      </c>
      <c r="AJ76" s="17">
        <f t="shared" si="5"/>
        <v>0</v>
      </c>
      <c r="AK76" s="17">
        <f t="shared" si="5"/>
        <v>0</v>
      </c>
      <c r="AL76" s="17">
        <f t="shared" si="5"/>
        <v>1</v>
      </c>
      <c r="AM76" s="17">
        <f t="shared" si="5"/>
        <v>0</v>
      </c>
      <c r="AN76" s="114">
        <f t="shared" si="5"/>
        <v>0</v>
      </c>
      <c r="AO76" s="52">
        <f t="shared" si="6"/>
        <v>4</v>
      </c>
      <c r="AP76" s="118">
        <f t="shared" si="7"/>
        <v>100</v>
      </c>
    </row>
    <row r="77" spans="1:42">
      <c r="A77" s="173"/>
      <c r="B77" s="105" t="s">
        <v>131</v>
      </c>
      <c r="C77" s="17">
        <f t="shared" si="5"/>
        <v>0</v>
      </c>
      <c r="D77" s="17">
        <f t="shared" si="5"/>
        <v>0</v>
      </c>
      <c r="E77" s="17">
        <f t="shared" si="5"/>
        <v>0</v>
      </c>
      <c r="F77" s="17">
        <f t="shared" si="5"/>
        <v>0</v>
      </c>
      <c r="G77" s="17">
        <f t="shared" si="5"/>
        <v>0</v>
      </c>
      <c r="H77" s="106">
        <f t="shared" si="5"/>
        <v>0</v>
      </c>
      <c r="I77" s="17">
        <f t="shared" si="5"/>
        <v>0</v>
      </c>
      <c r="J77" s="17">
        <f t="shared" si="5"/>
        <v>0</v>
      </c>
      <c r="K77" s="17">
        <f t="shared" si="5"/>
        <v>0</v>
      </c>
      <c r="L77" s="17">
        <f t="shared" si="5"/>
        <v>0</v>
      </c>
      <c r="M77" s="17">
        <f t="shared" si="5"/>
        <v>0</v>
      </c>
      <c r="N77" s="114">
        <f t="shared" si="5"/>
        <v>0</v>
      </c>
      <c r="O77" s="17">
        <f t="shared" si="5"/>
        <v>0</v>
      </c>
      <c r="P77" s="17">
        <f t="shared" si="5"/>
        <v>0</v>
      </c>
      <c r="Q77" s="17">
        <f t="shared" si="5"/>
        <v>0</v>
      </c>
      <c r="R77" s="17">
        <f t="shared" si="5"/>
        <v>0</v>
      </c>
      <c r="S77" s="17">
        <f t="shared" si="5"/>
        <v>0</v>
      </c>
      <c r="T77" s="114">
        <f t="shared" si="5"/>
        <v>0</v>
      </c>
      <c r="U77" s="17">
        <f t="shared" si="5"/>
        <v>0</v>
      </c>
      <c r="V77" s="17">
        <f t="shared" si="5"/>
        <v>0</v>
      </c>
      <c r="W77" s="17">
        <f t="shared" si="5"/>
        <v>0</v>
      </c>
      <c r="X77" s="17">
        <f t="shared" si="5"/>
        <v>0</v>
      </c>
      <c r="Y77" s="17">
        <f t="shared" si="5"/>
        <v>0</v>
      </c>
      <c r="Z77" s="114">
        <f t="shared" si="5"/>
        <v>0</v>
      </c>
      <c r="AA77" s="17">
        <f t="shared" si="5"/>
        <v>0</v>
      </c>
      <c r="AB77" s="17">
        <f t="shared" si="5"/>
        <v>0</v>
      </c>
      <c r="AC77" s="17">
        <f t="shared" si="5"/>
        <v>0</v>
      </c>
      <c r="AD77" s="17">
        <f t="shared" si="5"/>
        <v>0</v>
      </c>
      <c r="AE77" s="17">
        <f t="shared" si="5"/>
        <v>0</v>
      </c>
      <c r="AF77" s="114">
        <f t="shared" si="5"/>
        <v>0</v>
      </c>
      <c r="AG77" s="17">
        <f t="shared" si="5"/>
        <v>0</v>
      </c>
      <c r="AH77" s="17">
        <f t="shared" si="5"/>
        <v>0</v>
      </c>
      <c r="AI77" s="17">
        <f t="shared" si="5"/>
        <v>0</v>
      </c>
      <c r="AJ77" s="17">
        <f t="shared" si="5"/>
        <v>0</v>
      </c>
      <c r="AK77" s="17">
        <f t="shared" si="5"/>
        <v>0</v>
      </c>
      <c r="AL77" s="17">
        <f t="shared" si="5"/>
        <v>0</v>
      </c>
      <c r="AM77" s="17">
        <f t="shared" si="5"/>
        <v>0</v>
      </c>
      <c r="AN77" s="114">
        <f t="shared" si="5"/>
        <v>0</v>
      </c>
      <c r="AO77" s="52">
        <f t="shared" si="6"/>
        <v>0</v>
      </c>
      <c r="AP77" s="118">
        <f t="shared" si="7"/>
        <v>0</v>
      </c>
    </row>
    <row r="78" spans="1:42">
      <c r="A78" s="173"/>
      <c r="B78" s="105" t="s">
        <v>16</v>
      </c>
      <c r="C78" s="17">
        <f t="shared" si="5"/>
        <v>0</v>
      </c>
      <c r="D78" s="17">
        <f t="shared" si="5"/>
        <v>0</v>
      </c>
      <c r="E78" s="17">
        <f t="shared" si="5"/>
        <v>0</v>
      </c>
      <c r="F78" s="17">
        <f t="shared" si="5"/>
        <v>0</v>
      </c>
      <c r="G78" s="17">
        <f t="shared" si="5"/>
        <v>0</v>
      </c>
      <c r="H78" s="106">
        <f t="shared" si="5"/>
        <v>0</v>
      </c>
      <c r="I78" s="17">
        <f t="shared" si="5"/>
        <v>0</v>
      </c>
      <c r="J78" s="17">
        <f t="shared" si="5"/>
        <v>0</v>
      </c>
      <c r="K78" s="17">
        <f t="shared" si="5"/>
        <v>0</v>
      </c>
      <c r="L78" s="17">
        <f t="shared" si="5"/>
        <v>0</v>
      </c>
      <c r="M78" s="17">
        <f t="shared" si="5"/>
        <v>0</v>
      </c>
      <c r="N78" s="114">
        <f t="shared" si="5"/>
        <v>0</v>
      </c>
      <c r="O78" s="17">
        <f t="shared" si="5"/>
        <v>3</v>
      </c>
      <c r="P78" s="17">
        <f t="shared" si="5"/>
        <v>0</v>
      </c>
      <c r="Q78" s="17">
        <f t="shared" si="5"/>
        <v>0</v>
      </c>
      <c r="R78" s="17">
        <f t="shared" si="5"/>
        <v>1</v>
      </c>
      <c r="S78" s="17">
        <f t="shared" si="5"/>
        <v>2</v>
      </c>
      <c r="T78" s="114">
        <f t="shared" si="5"/>
        <v>0</v>
      </c>
      <c r="U78" s="17">
        <f t="shared" si="5"/>
        <v>1</v>
      </c>
      <c r="V78" s="17">
        <f t="shared" si="5"/>
        <v>2</v>
      </c>
      <c r="W78" s="17">
        <f t="shared" si="5"/>
        <v>0</v>
      </c>
      <c r="X78" s="17">
        <f t="shared" si="5"/>
        <v>0</v>
      </c>
      <c r="Y78" s="17">
        <f t="shared" si="5"/>
        <v>0</v>
      </c>
      <c r="Z78" s="114">
        <f t="shared" si="5"/>
        <v>0</v>
      </c>
      <c r="AA78" s="17">
        <f t="shared" si="5"/>
        <v>0</v>
      </c>
      <c r="AB78" s="17">
        <f t="shared" si="5"/>
        <v>0</v>
      </c>
      <c r="AC78" s="17">
        <f t="shared" si="5"/>
        <v>0</v>
      </c>
      <c r="AD78" s="17">
        <f t="shared" si="5"/>
        <v>0</v>
      </c>
      <c r="AE78" s="17">
        <f t="shared" si="5"/>
        <v>0</v>
      </c>
      <c r="AF78" s="114">
        <f t="shared" si="5"/>
        <v>0</v>
      </c>
      <c r="AG78" s="17">
        <f t="shared" si="5"/>
        <v>0</v>
      </c>
      <c r="AH78" s="17">
        <f t="shared" si="5"/>
        <v>0</v>
      </c>
      <c r="AI78" s="17">
        <f t="shared" si="5"/>
        <v>0</v>
      </c>
      <c r="AJ78" s="17">
        <f t="shared" si="5"/>
        <v>0</v>
      </c>
      <c r="AK78" s="17">
        <f t="shared" si="5"/>
        <v>0</v>
      </c>
      <c r="AL78" s="17">
        <f t="shared" si="5"/>
        <v>0</v>
      </c>
      <c r="AM78" s="17">
        <f t="shared" si="5"/>
        <v>0</v>
      </c>
      <c r="AN78" s="114">
        <f t="shared" si="5"/>
        <v>0</v>
      </c>
      <c r="AO78" s="52">
        <f t="shared" si="6"/>
        <v>9</v>
      </c>
      <c r="AP78" s="118">
        <f t="shared" si="7"/>
        <v>225</v>
      </c>
    </row>
    <row r="79" spans="1:42">
      <c r="A79" s="173"/>
      <c r="B79" s="105" t="s">
        <v>17</v>
      </c>
      <c r="C79" s="17">
        <f t="shared" si="5"/>
        <v>0</v>
      </c>
      <c r="D79" s="17">
        <f t="shared" si="5"/>
        <v>0</v>
      </c>
      <c r="E79" s="17">
        <f t="shared" si="5"/>
        <v>0</v>
      </c>
      <c r="F79" s="17">
        <f t="shared" si="5"/>
        <v>0</v>
      </c>
      <c r="G79" s="17">
        <f t="shared" si="5"/>
        <v>0</v>
      </c>
      <c r="H79" s="106">
        <f t="shared" si="5"/>
        <v>0</v>
      </c>
      <c r="I79" s="17">
        <f t="shared" si="5"/>
        <v>0</v>
      </c>
      <c r="J79" s="17">
        <f t="shared" si="5"/>
        <v>0</v>
      </c>
      <c r="K79" s="17">
        <f t="shared" si="5"/>
        <v>0</v>
      </c>
      <c r="L79" s="17">
        <f t="shared" si="5"/>
        <v>0</v>
      </c>
      <c r="M79" s="17">
        <f t="shared" si="5"/>
        <v>0</v>
      </c>
      <c r="N79" s="114">
        <f t="shared" si="5"/>
        <v>0</v>
      </c>
      <c r="O79" s="17">
        <f t="shared" si="5"/>
        <v>0</v>
      </c>
      <c r="P79" s="17">
        <f t="shared" si="5"/>
        <v>0</v>
      </c>
      <c r="Q79" s="17">
        <f t="shared" si="5"/>
        <v>0</v>
      </c>
      <c r="R79" s="17">
        <f t="shared" si="5"/>
        <v>0</v>
      </c>
      <c r="S79" s="17">
        <f t="shared" si="5"/>
        <v>0</v>
      </c>
      <c r="T79" s="114">
        <f t="shared" si="5"/>
        <v>0</v>
      </c>
      <c r="U79" s="17">
        <f t="shared" si="5"/>
        <v>0</v>
      </c>
      <c r="V79" s="17">
        <f t="shared" si="5"/>
        <v>0</v>
      </c>
      <c r="W79" s="17">
        <f t="shared" si="5"/>
        <v>0</v>
      </c>
      <c r="X79" s="17">
        <f t="shared" si="5"/>
        <v>0</v>
      </c>
      <c r="Y79" s="17">
        <f t="shared" si="5"/>
        <v>0</v>
      </c>
      <c r="Z79" s="114">
        <f t="shared" si="5"/>
        <v>0</v>
      </c>
      <c r="AA79" s="17">
        <f t="shared" si="5"/>
        <v>0</v>
      </c>
      <c r="AB79" s="17">
        <f t="shared" si="5"/>
        <v>0</v>
      </c>
      <c r="AC79" s="17">
        <f t="shared" si="5"/>
        <v>0</v>
      </c>
      <c r="AD79" s="17">
        <f t="shared" si="5"/>
        <v>0</v>
      </c>
      <c r="AE79" s="17">
        <f t="shared" si="5"/>
        <v>0</v>
      </c>
      <c r="AF79" s="114">
        <f t="shared" si="5"/>
        <v>0</v>
      </c>
      <c r="AG79" s="17">
        <f t="shared" si="5"/>
        <v>0</v>
      </c>
      <c r="AH79" s="17">
        <f t="shared" si="5"/>
        <v>0</v>
      </c>
      <c r="AI79" s="17">
        <f t="shared" si="5"/>
        <v>0</v>
      </c>
      <c r="AJ79" s="17">
        <f t="shared" si="5"/>
        <v>0</v>
      </c>
      <c r="AK79" s="17">
        <f t="shared" si="5"/>
        <v>0</v>
      </c>
      <c r="AL79" s="17">
        <f t="shared" si="5"/>
        <v>0</v>
      </c>
      <c r="AM79" s="17">
        <f t="shared" si="5"/>
        <v>0</v>
      </c>
      <c r="AN79" s="114">
        <f t="shared" si="5"/>
        <v>0</v>
      </c>
      <c r="AO79" s="52">
        <f t="shared" si="6"/>
        <v>0</v>
      </c>
      <c r="AP79" s="118">
        <f t="shared" si="7"/>
        <v>0</v>
      </c>
    </row>
    <row r="80" spans="1:42">
      <c r="A80" s="173"/>
      <c r="B80" s="105" t="s">
        <v>23</v>
      </c>
      <c r="C80" s="17">
        <f t="shared" si="5"/>
        <v>0</v>
      </c>
      <c r="D80" s="17">
        <f t="shared" si="5"/>
        <v>0</v>
      </c>
      <c r="E80" s="17">
        <f t="shared" si="5"/>
        <v>0</v>
      </c>
      <c r="F80" s="17">
        <f t="shared" si="5"/>
        <v>0</v>
      </c>
      <c r="G80" s="17">
        <f t="shared" si="5"/>
        <v>0</v>
      </c>
      <c r="H80" s="122">
        <f t="shared" si="5"/>
        <v>0</v>
      </c>
      <c r="I80" s="17">
        <f t="shared" si="5"/>
        <v>0</v>
      </c>
      <c r="J80" s="17">
        <f t="shared" si="5"/>
        <v>0</v>
      </c>
      <c r="K80" s="17">
        <f t="shared" si="5"/>
        <v>0</v>
      </c>
      <c r="L80" s="17">
        <f t="shared" si="5"/>
        <v>0</v>
      </c>
      <c r="M80" s="17">
        <f t="shared" si="5"/>
        <v>0</v>
      </c>
      <c r="N80" s="114">
        <f t="shared" si="5"/>
        <v>0</v>
      </c>
      <c r="O80" s="17">
        <f t="shared" si="5"/>
        <v>0</v>
      </c>
      <c r="P80" s="17">
        <f t="shared" si="5"/>
        <v>0</v>
      </c>
      <c r="Q80" s="17">
        <f t="shared" si="5"/>
        <v>0</v>
      </c>
      <c r="R80" s="17">
        <f t="shared" si="5"/>
        <v>0</v>
      </c>
      <c r="S80" s="17">
        <f t="shared" si="5"/>
        <v>0</v>
      </c>
      <c r="T80" s="114">
        <f t="shared" si="5"/>
        <v>0</v>
      </c>
      <c r="U80" s="17">
        <f t="shared" si="5"/>
        <v>2</v>
      </c>
      <c r="V80" s="17">
        <f t="shared" si="5"/>
        <v>2</v>
      </c>
      <c r="W80" s="17">
        <f t="shared" si="5"/>
        <v>1</v>
      </c>
      <c r="X80" s="17">
        <f t="shared" si="5"/>
        <v>1</v>
      </c>
      <c r="Y80" s="17">
        <f t="shared" si="5"/>
        <v>1</v>
      </c>
      <c r="Z80" s="114">
        <f t="shared" si="5"/>
        <v>2</v>
      </c>
      <c r="AA80" s="17">
        <f t="shared" si="5"/>
        <v>1</v>
      </c>
      <c r="AB80" s="17">
        <f t="shared" si="5"/>
        <v>1</v>
      </c>
      <c r="AC80" s="17">
        <f t="shared" si="5"/>
        <v>1</v>
      </c>
      <c r="AD80" s="17">
        <f t="shared" ref="AD80:AN80" si="8">SUM(AD19+AD27+AD35+AD43+AD50+AD58)</f>
        <v>1</v>
      </c>
      <c r="AE80" s="17">
        <f t="shared" si="8"/>
        <v>1</v>
      </c>
      <c r="AF80" s="114">
        <f t="shared" si="8"/>
        <v>1</v>
      </c>
      <c r="AG80" s="17">
        <f t="shared" si="8"/>
        <v>0</v>
      </c>
      <c r="AH80" s="17">
        <f t="shared" si="8"/>
        <v>0</v>
      </c>
      <c r="AI80" s="17">
        <f t="shared" si="8"/>
        <v>0</v>
      </c>
      <c r="AJ80" s="17">
        <f t="shared" si="8"/>
        <v>0</v>
      </c>
      <c r="AK80" s="17">
        <f t="shared" si="8"/>
        <v>0</v>
      </c>
      <c r="AL80" s="17">
        <f t="shared" si="8"/>
        <v>0</v>
      </c>
      <c r="AM80" s="17">
        <f t="shared" si="8"/>
        <v>0</v>
      </c>
      <c r="AN80" s="114">
        <f t="shared" si="8"/>
        <v>0</v>
      </c>
      <c r="AO80" s="52">
        <f t="shared" si="6"/>
        <v>15</v>
      </c>
      <c r="AP80" s="118">
        <f>AO80*20</f>
        <v>300</v>
      </c>
    </row>
    <row r="81" spans="1:42" ht="17.25" customHeight="1">
      <c r="C81" s="11">
        <f>SUM(C74:C80)</f>
        <v>0</v>
      </c>
      <c r="D81" s="11">
        <f t="shared" ref="D81:AN81" si="9">SUM(D74:D80)</f>
        <v>0</v>
      </c>
      <c r="E81" s="11">
        <f t="shared" si="9"/>
        <v>0</v>
      </c>
      <c r="F81" s="11">
        <f t="shared" si="9"/>
        <v>0</v>
      </c>
      <c r="G81" s="11">
        <f t="shared" si="9"/>
        <v>0</v>
      </c>
      <c r="H81" s="123">
        <f t="shared" si="9"/>
        <v>0</v>
      </c>
      <c r="I81" s="11">
        <f t="shared" si="9"/>
        <v>0</v>
      </c>
      <c r="J81" s="11">
        <f t="shared" si="9"/>
        <v>0</v>
      </c>
      <c r="K81" s="11">
        <f t="shared" si="9"/>
        <v>3</v>
      </c>
      <c r="L81" s="11">
        <f t="shared" si="9"/>
        <v>2</v>
      </c>
      <c r="M81" s="11">
        <f t="shared" si="9"/>
        <v>0</v>
      </c>
      <c r="N81" s="124">
        <f t="shared" si="9"/>
        <v>0</v>
      </c>
      <c r="O81" s="11">
        <f t="shared" si="9"/>
        <v>3</v>
      </c>
      <c r="P81" s="11">
        <f t="shared" si="9"/>
        <v>1</v>
      </c>
      <c r="Q81" s="11">
        <f t="shared" si="9"/>
        <v>1</v>
      </c>
      <c r="R81" s="11">
        <f t="shared" si="9"/>
        <v>1</v>
      </c>
      <c r="S81" s="11">
        <f t="shared" si="9"/>
        <v>2</v>
      </c>
      <c r="T81" s="124">
        <f t="shared" si="9"/>
        <v>0</v>
      </c>
      <c r="U81" s="11">
        <f t="shared" si="9"/>
        <v>3</v>
      </c>
      <c r="V81" s="11">
        <f t="shared" si="9"/>
        <v>4</v>
      </c>
      <c r="W81" s="11">
        <f t="shared" si="9"/>
        <v>1</v>
      </c>
      <c r="X81" s="11">
        <f t="shared" si="9"/>
        <v>1</v>
      </c>
      <c r="Y81" s="11">
        <f t="shared" si="9"/>
        <v>1</v>
      </c>
      <c r="Z81" s="124">
        <f t="shared" si="9"/>
        <v>2</v>
      </c>
      <c r="AA81" s="11">
        <f t="shared" si="9"/>
        <v>1</v>
      </c>
      <c r="AB81" s="11">
        <f t="shared" si="9"/>
        <v>1</v>
      </c>
      <c r="AC81" s="11">
        <f t="shared" si="9"/>
        <v>1</v>
      </c>
      <c r="AD81" s="11">
        <f t="shared" si="9"/>
        <v>1</v>
      </c>
      <c r="AE81" s="11">
        <f t="shared" si="9"/>
        <v>1</v>
      </c>
      <c r="AF81" s="124">
        <f t="shared" si="9"/>
        <v>1</v>
      </c>
      <c r="AG81" s="11">
        <f t="shared" si="9"/>
        <v>0</v>
      </c>
      <c r="AH81" s="11">
        <f t="shared" si="9"/>
        <v>0</v>
      </c>
      <c r="AI81" s="11">
        <f t="shared" si="9"/>
        <v>0</v>
      </c>
      <c r="AJ81" s="11"/>
      <c r="AK81" s="11"/>
      <c r="AL81" s="124">
        <f t="shared" si="9"/>
        <v>2</v>
      </c>
      <c r="AM81" s="11">
        <f t="shared" si="9"/>
        <v>0</v>
      </c>
      <c r="AN81" s="124">
        <f t="shared" si="9"/>
        <v>0</v>
      </c>
      <c r="AP81" s="125">
        <f>SUM(AP74:AP80)</f>
        <v>750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44:A50"/>
    <mergeCell ref="A52:A58"/>
    <mergeCell ref="B61:D62"/>
    <mergeCell ref="F61:M61"/>
    <mergeCell ref="A71:AP71"/>
    <mergeCell ref="F64:G64"/>
    <mergeCell ref="H64:I64"/>
    <mergeCell ref="J64:M64"/>
    <mergeCell ref="F63:I63"/>
    <mergeCell ref="J63:M63"/>
    <mergeCell ref="AG72:AL72"/>
    <mergeCell ref="AM72:AM73"/>
    <mergeCell ref="AN72:AN73"/>
    <mergeCell ref="A73:A80"/>
    <mergeCell ref="C72:H72"/>
    <mergeCell ref="I72:N72"/>
    <mergeCell ref="O72:T72"/>
    <mergeCell ref="U72:Z72"/>
    <mergeCell ref="AA72:AF72"/>
    <mergeCell ref="AM11:AM12"/>
    <mergeCell ref="AN11:AN12"/>
    <mergeCell ref="AA11:AF11"/>
    <mergeCell ref="AG11:AL11"/>
    <mergeCell ref="F62:I62"/>
    <mergeCell ref="J62:M62"/>
    <mergeCell ref="A37:A43"/>
    <mergeCell ref="C11:H11"/>
    <mergeCell ref="I11:N11"/>
    <mergeCell ref="O11:T11"/>
    <mergeCell ref="U11:Z11"/>
    <mergeCell ref="A13:A19"/>
    <mergeCell ref="A21:A27"/>
    <mergeCell ref="A29:A35"/>
    <mergeCell ref="AH8:AL9"/>
    <mergeCell ref="AM8:AO9"/>
    <mergeCell ref="A5:B5"/>
    <mergeCell ref="C5:E5"/>
    <mergeCell ref="F5:AB6"/>
    <mergeCell ref="A6:B6"/>
    <mergeCell ref="C6:E6"/>
    <mergeCell ref="AC5:AO6"/>
    <mergeCell ref="A8:O8"/>
    <mergeCell ref="P8:AA8"/>
    <mergeCell ref="AB8:AG9"/>
    <mergeCell ref="A9:O9"/>
    <mergeCell ref="P9:AA9"/>
    <mergeCell ref="AC1:AO4"/>
    <mergeCell ref="A3:B3"/>
    <mergeCell ref="C3:E3"/>
    <mergeCell ref="F3:AB4"/>
    <mergeCell ref="A4:B4"/>
    <mergeCell ref="C4:E4"/>
    <mergeCell ref="A1:B1"/>
    <mergeCell ref="C1:E1"/>
    <mergeCell ref="F1:AB2"/>
    <mergeCell ref="A2:B2"/>
    <mergeCell ref="C2:E2"/>
  </mergeCells>
  <conditionalFormatting sqref="B13:B19">
    <cfRule type="cellIs" dxfId="75" priority="6" operator="equal">
      <formula>0</formula>
    </cfRule>
  </conditionalFormatting>
  <conditionalFormatting sqref="B21:B35">
    <cfRule type="cellIs" dxfId="74" priority="4" operator="equal">
      <formula>0</formula>
    </cfRule>
  </conditionalFormatting>
  <conditionalFormatting sqref="B37:B50">
    <cfRule type="cellIs" dxfId="73" priority="2" operator="equal">
      <formula>0</formula>
    </cfRule>
  </conditionalFormatting>
  <conditionalFormatting sqref="B52:B58">
    <cfRule type="cellIs" dxfId="72" priority="1" operator="equal">
      <formula>0</formula>
    </cfRule>
  </conditionalFormatting>
  <conditionalFormatting sqref="B74:B80">
    <cfRule type="cellIs" dxfId="71" priority="18" operator="equal">
      <formula>0</formula>
    </cfRule>
  </conditionalFormatting>
  <conditionalFormatting sqref="B108:B109">
    <cfRule type="cellIs" dxfId="70" priority="16" operator="equal">
      <formula>0</formula>
    </cfRule>
  </conditionalFormatting>
  <conditionalFormatting sqref="B111:B116">
    <cfRule type="cellIs" dxfId="69" priority="15" operator="equal">
      <formula>0</formula>
    </cfRule>
  </conditionalFormatting>
  <conditionalFormatting sqref="B118:B123">
    <cfRule type="cellIs" dxfId="68" priority="14" operator="equal">
      <formula>0</formula>
    </cfRule>
  </conditionalFormatting>
  <conditionalFormatting sqref="C85:H85">
    <cfRule type="cellIs" dxfId="67" priority="17" operator="equal">
      <formula>0</formula>
    </cfRule>
  </conditionalFormatting>
  <conditionalFormatting sqref="C74:AN80">
    <cfRule type="cellIs" dxfId="66" priority="13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E3F1-A7AB-4CFB-B369-3D6AE2813299}">
  <dimension ref="A1:AT123"/>
  <sheetViews>
    <sheetView view="pageLayout" zoomScaleNormal="100" workbookViewId="0">
      <selection activeCell="B52" sqref="B52:B58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81" t="s">
        <v>115</v>
      </c>
      <c r="B1" s="182"/>
      <c r="C1" s="183" t="s">
        <v>116</v>
      </c>
      <c r="D1" s="184"/>
      <c r="E1" s="184"/>
      <c r="F1" s="185" t="s">
        <v>94</v>
      </c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</row>
    <row r="2" spans="1:42">
      <c r="A2" s="181" t="s">
        <v>95</v>
      </c>
      <c r="B2" s="182"/>
      <c r="C2" s="183">
        <v>2.2000000000000002</v>
      </c>
      <c r="D2" s="184"/>
      <c r="E2" s="184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</row>
    <row r="3" spans="1:42">
      <c r="A3" s="181" t="s">
        <v>97</v>
      </c>
      <c r="B3" s="182"/>
      <c r="C3" s="186">
        <v>44589</v>
      </c>
      <c r="D3" s="187"/>
      <c r="E3" s="187"/>
      <c r="F3" s="188" t="s">
        <v>117</v>
      </c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</row>
    <row r="4" spans="1:42">
      <c r="A4" s="181" t="s">
        <v>118</v>
      </c>
      <c r="B4" s="182"/>
      <c r="C4" s="183" t="s">
        <v>102</v>
      </c>
      <c r="D4" s="184"/>
      <c r="E4" s="184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</row>
    <row r="5" spans="1:42">
      <c r="A5" s="181" t="s">
        <v>119</v>
      </c>
      <c r="B5" s="182"/>
      <c r="C5" s="183" t="s">
        <v>120</v>
      </c>
      <c r="D5" s="184"/>
      <c r="E5" s="184"/>
      <c r="F5" s="188" t="s">
        <v>104</v>
      </c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9" t="s">
        <v>121</v>
      </c>
      <c r="AD5" s="189"/>
      <c r="AE5" s="189"/>
      <c r="AF5" s="189"/>
      <c r="AG5" s="189"/>
      <c r="AH5" s="189"/>
      <c r="AI5" s="189"/>
      <c r="AJ5" s="189"/>
      <c r="AK5" s="189"/>
      <c r="AL5" s="189"/>
      <c r="AM5" s="189"/>
      <c r="AN5" s="189"/>
      <c r="AO5" s="189"/>
    </row>
    <row r="6" spans="1:42">
      <c r="A6" s="181" t="s">
        <v>122</v>
      </c>
      <c r="B6" s="182"/>
      <c r="C6" s="183" t="s">
        <v>120</v>
      </c>
      <c r="D6" s="184"/>
      <c r="E6" s="184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9"/>
      <c r="AD6" s="189"/>
      <c r="AE6" s="189"/>
      <c r="AF6" s="189"/>
      <c r="AG6" s="189"/>
      <c r="AH6" s="189"/>
      <c r="AI6" s="189"/>
      <c r="AJ6" s="189"/>
      <c r="AK6" s="189"/>
      <c r="AL6" s="189"/>
      <c r="AM6" s="189"/>
      <c r="AN6" s="189"/>
      <c r="AO6" s="189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>
      <c r="A8" s="190" t="s">
        <v>123</v>
      </c>
      <c r="B8" s="191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2" t="s">
        <v>124</v>
      </c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3" t="s">
        <v>130</v>
      </c>
      <c r="AC8" s="193"/>
      <c r="AD8" s="193"/>
      <c r="AE8" s="193"/>
      <c r="AF8" s="193"/>
      <c r="AG8" s="193"/>
      <c r="AH8" s="195">
        <v>5</v>
      </c>
      <c r="AI8" s="195"/>
      <c r="AJ8" s="195"/>
      <c r="AK8" s="195"/>
      <c r="AL8" s="195"/>
      <c r="AM8" s="195">
        <v>11</v>
      </c>
      <c r="AN8" s="195"/>
      <c r="AO8" s="197"/>
    </row>
    <row r="9" spans="1:42">
      <c r="A9" s="199" t="s">
        <v>125</v>
      </c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 t="s">
        <v>125</v>
      </c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194"/>
      <c r="AC9" s="194"/>
      <c r="AD9" s="194"/>
      <c r="AE9" s="194"/>
      <c r="AF9" s="194"/>
      <c r="AG9" s="194"/>
      <c r="AH9" s="196"/>
      <c r="AI9" s="196"/>
      <c r="AJ9" s="196"/>
      <c r="AK9" s="196"/>
      <c r="AL9" s="196"/>
      <c r="AM9" s="196"/>
      <c r="AN9" s="196"/>
      <c r="AO9" s="198"/>
    </row>
    <row r="10" spans="1:42" ht="7.5" customHeight="1"/>
    <row r="11" spans="1:42">
      <c r="C11" s="169" t="s">
        <v>0</v>
      </c>
      <c r="D11" s="169"/>
      <c r="E11" s="169"/>
      <c r="F11" s="169"/>
      <c r="G11" s="169"/>
      <c r="H11" s="169"/>
      <c r="I11" s="169" t="s">
        <v>1</v>
      </c>
      <c r="J11" s="169"/>
      <c r="K11" s="169"/>
      <c r="L11" s="169"/>
      <c r="M11" s="169"/>
      <c r="N11" s="169"/>
      <c r="O11" s="169" t="s">
        <v>2</v>
      </c>
      <c r="P11" s="169"/>
      <c r="Q11" s="169"/>
      <c r="R11" s="169"/>
      <c r="S11" s="169"/>
      <c r="T11" s="169"/>
      <c r="U11" s="169" t="s">
        <v>3</v>
      </c>
      <c r="V11" s="169"/>
      <c r="W11" s="169"/>
      <c r="X11" s="169"/>
      <c r="Y11" s="169"/>
      <c r="Z11" s="169"/>
      <c r="AA11" s="169" t="s">
        <v>4</v>
      </c>
      <c r="AB11" s="169"/>
      <c r="AC11" s="169"/>
      <c r="AD11" s="169"/>
      <c r="AE11" s="169"/>
      <c r="AF11" s="169"/>
      <c r="AG11" s="169" t="s">
        <v>5</v>
      </c>
      <c r="AH11" s="169"/>
      <c r="AI11" s="169"/>
      <c r="AJ11" s="169"/>
      <c r="AK11" s="169"/>
      <c r="AL11" s="169"/>
      <c r="AM11" s="160" t="s">
        <v>6</v>
      </c>
      <c r="AN11" s="160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60"/>
      <c r="AN12" s="160"/>
      <c r="AO12" s="88" t="s">
        <v>10</v>
      </c>
      <c r="AP12" s="89" t="s">
        <v>11</v>
      </c>
    </row>
    <row r="13" spans="1:42" ht="14.25" customHeight="1">
      <c r="A13" s="175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/>
      <c r="L13" s="60"/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/>
      <c r="AM13" s="90"/>
      <c r="AN13" s="91"/>
      <c r="AO13" s="92">
        <f t="shared" ref="AO13:AO19" si="0">SUM(C13:AN13)</f>
        <v>0</v>
      </c>
      <c r="AP13" s="93">
        <f>AO13*25</f>
        <v>0</v>
      </c>
    </row>
    <row r="14" spans="1:42" ht="14.25" customHeight="1">
      <c r="A14" s="175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0</v>
      </c>
      <c r="AP14" s="93">
        <f t="shared" ref="AP14:AP58" si="1">AO14*25</f>
        <v>0</v>
      </c>
    </row>
    <row r="15" spans="1:42" ht="14.25" customHeight="1">
      <c r="A15" s="175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/>
      <c r="AM15" s="94"/>
      <c r="AN15" s="95"/>
      <c r="AO15" s="92">
        <f t="shared" si="0"/>
        <v>0</v>
      </c>
      <c r="AP15" s="93">
        <f t="shared" si="1"/>
        <v>0</v>
      </c>
    </row>
    <row r="16" spans="1:42" ht="14.25" customHeight="1">
      <c r="A16" s="175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0</v>
      </c>
      <c r="AP16" s="93">
        <f t="shared" si="1"/>
        <v>0</v>
      </c>
    </row>
    <row r="17" spans="1:42" ht="14.25" customHeight="1">
      <c r="A17" s="175"/>
      <c r="B17" s="62" t="s">
        <v>132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149"/>
      <c r="AH17" s="149"/>
      <c r="AI17" s="149"/>
      <c r="AJ17" s="149"/>
      <c r="AK17" s="149"/>
      <c r="AL17" s="149"/>
      <c r="AM17" s="63"/>
      <c r="AN17" s="134"/>
      <c r="AO17" s="92">
        <f t="shared" si="0"/>
        <v>0</v>
      </c>
      <c r="AP17" s="93">
        <f t="shared" si="1"/>
        <v>0</v>
      </c>
    </row>
    <row r="18" spans="1:42" ht="14.25" customHeight="1">
      <c r="A18" s="175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149"/>
      <c r="AH18" s="149"/>
      <c r="AI18" s="149"/>
      <c r="AJ18" s="149"/>
      <c r="AK18" s="149"/>
      <c r="AL18" s="149"/>
      <c r="AM18" s="94"/>
      <c r="AN18" s="95"/>
      <c r="AO18" s="92">
        <f t="shared" si="0"/>
        <v>0</v>
      </c>
      <c r="AP18" s="93">
        <f t="shared" si="1"/>
        <v>0</v>
      </c>
    </row>
    <row r="19" spans="1:42" ht="14.25" customHeight="1">
      <c r="A19" s="175"/>
      <c r="B19" s="62" t="s">
        <v>142</v>
      </c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/>
      <c r="S19" s="64"/>
      <c r="T19" s="84"/>
      <c r="U19" s="83"/>
      <c r="V19" s="64"/>
      <c r="W19" s="64"/>
      <c r="X19" s="64"/>
      <c r="Y19" s="64"/>
      <c r="Z19" s="84"/>
      <c r="AA19" s="83"/>
      <c r="AB19" s="64"/>
      <c r="AC19" s="64"/>
      <c r="AD19" s="64"/>
      <c r="AE19" s="64"/>
      <c r="AF19" s="84"/>
      <c r="AG19" s="149"/>
      <c r="AH19" s="149"/>
      <c r="AI19" s="149"/>
      <c r="AJ19" s="149"/>
      <c r="AK19" s="149"/>
      <c r="AL19" s="149"/>
      <c r="AM19" s="94"/>
      <c r="AN19" s="95"/>
      <c r="AO19" s="92">
        <f t="shared" si="0"/>
        <v>0</v>
      </c>
      <c r="AP19" s="93">
        <f t="shared" si="1"/>
        <v>0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70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71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71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71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71"/>
      <c r="B25" s="62" t="s">
        <v>132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71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72"/>
      <c r="B27" s="62" t="s">
        <v>142</v>
      </c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70" t="s">
        <v>19</v>
      </c>
      <c r="B29" s="58" t="s">
        <v>13</v>
      </c>
      <c r="C29" s="63"/>
      <c r="D29" s="64"/>
      <c r="E29" s="64"/>
      <c r="F29" s="64"/>
      <c r="G29" s="64"/>
      <c r="H29" s="65"/>
      <c r="I29" s="83"/>
      <c r="J29" s="64"/>
      <c r="K29" s="64"/>
      <c r="L29" s="64"/>
      <c r="M29" s="64"/>
      <c r="N29" s="84"/>
      <c r="O29" s="83"/>
      <c r="P29" s="64"/>
      <c r="Q29" s="64"/>
      <c r="R29" s="64"/>
      <c r="S29" s="64"/>
      <c r="T29" s="84"/>
      <c r="U29" s="83"/>
      <c r="V29" s="64"/>
      <c r="W29" s="64"/>
      <c r="X29" s="64"/>
      <c r="Y29" s="64"/>
      <c r="Z29" s="84"/>
      <c r="AA29" s="83"/>
      <c r="AB29" s="64"/>
      <c r="AC29" s="64"/>
      <c r="AD29" s="64"/>
      <c r="AE29" s="64"/>
      <c r="AF29" s="84"/>
      <c r="AG29" s="83"/>
      <c r="AH29" s="64"/>
      <c r="AI29" s="64"/>
      <c r="AJ29" s="145"/>
      <c r="AK29" s="145"/>
      <c r="AL29" s="65"/>
      <c r="AM29" s="94"/>
      <c r="AN29" s="95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71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83"/>
      <c r="AH30" s="64"/>
      <c r="AI30" s="64"/>
      <c r="AJ30" s="145"/>
      <c r="AK30" s="145"/>
      <c r="AL30" s="65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71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83"/>
      <c r="AH31" s="64"/>
      <c r="AI31" s="64"/>
      <c r="AJ31" s="145"/>
      <c r="AK31" s="145"/>
      <c r="AL31" s="65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71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83"/>
      <c r="AH32" s="64"/>
      <c r="AI32" s="64"/>
      <c r="AJ32" s="145"/>
      <c r="AK32" s="145"/>
      <c r="AL32" s="65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71"/>
      <c r="B33" s="62" t="s">
        <v>132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83"/>
      <c r="AH33" s="64"/>
      <c r="AI33" s="64"/>
      <c r="AJ33" s="145"/>
      <c r="AK33" s="145"/>
      <c r="AL33" s="65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71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83"/>
      <c r="AH34" s="64"/>
      <c r="AI34" s="64"/>
      <c r="AJ34" s="145"/>
      <c r="AK34" s="145"/>
      <c r="AL34" s="65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72"/>
      <c r="B35" s="62" t="s">
        <v>142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83"/>
      <c r="AH35" s="64"/>
      <c r="AI35" s="64"/>
      <c r="AJ35" s="145"/>
      <c r="AK35" s="145"/>
      <c r="AL35" s="65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70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71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71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71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71"/>
      <c r="B41" s="62" t="s">
        <v>132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71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" customHeight="1">
      <c r="A43" s="172"/>
      <c r="B43" s="62" t="s">
        <v>142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70" t="s">
        <v>21</v>
      </c>
      <c r="B44" s="58" t="s">
        <v>13</v>
      </c>
      <c r="C44" s="63"/>
      <c r="D44" s="64"/>
      <c r="E44" s="64"/>
      <c r="F44" s="64"/>
      <c r="G44" s="64"/>
      <c r="H44" s="65"/>
      <c r="I44" s="83"/>
      <c r="J44" s="64"/>
      <c r="K44" s="64"/>
      <c r="L44" s="64"/>
      <c r="M44" s="64"/>
      <c r="N44" s="84"/>
      <c r="O44" s="83"/>
      <c r="P44" s="64"/>
      <c r="Q44" s="64"/>
      <c r="R44" s="64"/>
      <c r="S44" s="64"/>
      <c r="T44" s="84"/>
      <c r="U44" s="83"/>
      <c r="V44" s="64"/>
      <c r="W44" s="64"/>
      <c r="X44" s="64"/>
      <c r="Y44" s="64"/>
      <c r="Z44" s="84"/>
      <c r="AA44" s="83"/>
      <c r="AB44" s="64"/>
      <c r="AC44" s="64"/>
      <c r="AD44" s="64"/>
      <c r="AE44" s="64"/>
      <c r="AF44" s="84"/>
      <c r="AG44" s="83"/>
      <c r="AH44" s="64"/>
      <c r="AI44" s="64"/>
      <c r="AJ44" s="145"/>
      <c r="AK44" s="145"/>
      <c r="AL44" s="65"/>
      <c r="AM44" s="94"/>
      <c r="AN44" s="95"/>
      <c r="AO44" s="99">
        <f t="shared" si="4"/>
        <v>0</v>
      </c>
      <c r="AP44" s="139">
        <f t="shared" si="1"/>
        <v>0</v>
      </c>
    </row>
    <row r="45" spans="1:42" ht="14.25" customHeight="1">
      <c r="A45" s="171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83"/>
      <c r="AH45" s="64"/>
      <c r="AI45" s="64"/>
      <c r="AJ45" s="145"/>
      <c r="AK45" s="145"/>
      <c r="AL45" s="65"/>
      <c r="AM45" s="94"/>
      <c r="AN45" s="95"/>
      <c r="AO45" s="92">
        <f t="shared" si="4"/>
        <v>0</v>
      </c>
      <c r="AP45" s="93">
        <f t="shared" si="1"/>
        <v>0</v>
      </c>
    </row>
    <row r="46" spans="1:42" ht="14.25" customHeight="1">
      <c r="A46" s="171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83"/>
      <c r="AH46" s="64"/>
      <c r="AI46" s="64"/>
      <c r="AJ46" s="145"/>
      <c r="AK46" s="145"/>
      <c r="AL46" s="65"/>
      <c r="AM46" s="94"/>
      <c r="AN46" s="95"/>
      <c r="AO46" s="92">
        <f t="shared" si="4"/>
        <v>0</v>
      </c>
      <c r="AP46" s="93">
        <f t="shared" si="1"/>
        <v>0</v>
      </c>
    </row>
    <row r="47" spans="1:42" ht="14.25" customHeight="1">
      <c r="A47" s="171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83"/>
      <c r="AH47" s="64"/>
      <c r="AI47" s="64"/>
      <c r="AJ47" s="145"/>
      <c r="AK47" s="145"/>
      <c r="AL47" s="65"/>
      <c r="AM47" s="94"/>
      <c r="AN47" s="95"/>
      <c r="AO47" s="92">
        <f t="shared" si="4"/>
        <v>0</v>
      </c>
      <c r="AP47" s="93">
        <f t="shared" si="1"/>
        <v>0</v>
      </c>
    </row>
    <row r="48" spans="1:42" ht="14.25" customHeight="1">
      <c r="A48" s="171"/>
      <c r="B48" s="62" t="s">
        <v>132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/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83"/>
      <c r="AH48" s="64"/>
      <c r="AI48" s="64"/>
      <c r="AJ48" s="145"/>
      <c r="AK48" s="145"/>
      <c r="AL48" s="65"/>
      <c r="AM48" s="63"/>
      <c r="AN48" s="134"/>
      <c r="AO48" s="92">
        <f t="shared" si="4"/>
        <v>0</v>
      </c>
      <c r="AP48" s="93">
        <f t="shared" si="1"/>
        <v>0</v>
      </c>
    </row>
    <row r="49" spans="1:46" ht="14.25" customHeight="1">
      <c r="A49" s="171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/>
      <c r="V49" s="64"/>
      <c r="W49" s="64"/>
      <c r="X49" s="64"/>
      <c r="Y49" s="64"/>
      <c r="Z49" s="84"/>
      <c r="AA49" s="83"/>
      <c r="AB49" s="64"/>
      <c r="AC49" s="64"/>
      <c r="AD49" s="64"/>
      <c r="AE49" s="64"/>
      <c r="AF49" s="84"/>
      <c r="AG49" s="83"/>
      <c r="AH49" s="64"/>
      <c r="AI49" s="64"/>
      <c r="AJ49" s="145"/>
      <c r="AK49" s="145"/>
      <c r="AL49" s="65"/>
      <c r="AM49" s="94"/>
      <c r="AN49" s="95"/>
      <c r="AO49" s="92">
        <f t="shared" si="4"/>
        <v>0</v>
      </c>
      <c r="AP49" s="93">
        <f t="shared" si="1"/>
        <v>0</v>
      </c>
      <c r="AT49" t="s">
        <v>22</v>
      </c>
    </row>
    <row r="50" spans="1:46" ht="14.25" customHeight="1">
      <c r="A50" s="172"/>
      <c r="B50" s="62" t="s">
        <v>142</v>
      </c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/>
      <c r="S50" s="64"/>
      <c r="T50" s="84"/>
      <c r="U50" s="83"/>
      <c r="V50" s="64"/>
      <c r="W50" s="64"/>
      <c r="X50" s="64"/>
      <c r="Y50" s="64"/>
      <c r="Z50" s="84"/>
      <c r="AA50" s="83"/>
      <c r="AB50" s="64"/>
      <c r="AC50" s="64"/>
      <c r="AD50" s="64"/>
      <c r="AE50" s="64"/>
      <c r="AF50" s="84"/>
      <c r="AG50" s="83"/>
      <c r="AH50" s="64"/>
      <c r="AI50" s="64"/>
      <c r="AJ50" s="145"/>
      <c r="AK50" s="145"/>
      <c r="AL50" s="65"/>
      <c r="AM50" s="94"/>
      <c r="AN50" s="95"/>
      <c r="AO50" s="92">
        <f t="shared" si="4"/>
        <v>0</v>
      </c>
      <c r="AP50" s="93">
        <f>AO50*20</f>
        <v>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70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71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71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71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71"/>
      <c r="B56" s="62" t="s">
        <v>132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71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72"/>
      <c r="B58" s="62" t="s">
        <v>142</v>
      </c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65" t="s">
        <v>25</v>
      </c>
      <c r="C61" s="165"/>
      <c r="D61" s="165"/>
      <c r="E61" s="73"/>
      <c r="F61" s="176" t="s">
        <v>26</v>
      </c>
      <c r="G61" s="176"/>
      <c r="H61" s="176"/>
      <c r="I61" s="176"/>
      <c r="J61" s="176"/>
      <c r="K61" s="176"/>
      <c r="L61" s="176"/>
      <c r="M61" s="176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65"/>
      <c r="C62" s="165"/>
      <c r="D62" s="165"/>
      <c r="E62" s="73"/>
      <c r="F62" s="177" t="s">
        <v>27</v>
      </c>
      <c r="G62" s="177"/>
      <c r="H62" s="177"/>
      <c r="I62" s="177"/>
      <c r="J62" s="177" t="s">
        <v>28</v>
      </c>
      <c r="K62" s="177"/>
      <c r="L62" s="177"/>
      <c r="M62" s="177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0</v>
      </c>
      <c r="D63" s="52">
        <f>SUM(AP13:AP19)</f>
        <v>0</v>
      </c>
      <c r="E63" s="68"/>
      <c r="F63" s="178"/>
      <c r="G63" s="166"/>
      <c r="H63" s="166"/>
      <c r="I63" s="166"/>
      <c r="J63" s="179"/>
      <c r="K63" s="179"/>
      <c r="L63" s="179"/>
      <c r="M63" s="180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66"/>
      <c r="G64" s="166"/>
      <c r="H64" s="166"/>
      <c r="I64" s="166"/>
      <c r="J64" s="167"/>
      <c r="K64" s="168"/>
      <c r="L64" s="168"/>
      <c r="M64" s="168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0</v>
      </c>
      <c r="D67" s="52">
        <f>SUM(AP44:AP50)</f>
        <v>0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0</v>
      </c>
      <c r="D69" s="80">
        <f>SUM(D63:D68)</f>
        <v>0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69" t="s">
        <v>31</v>
      </c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  <c r="AL71" s="169"/>
      <c r="AM71" s="169"/>
      <c r="AN71" s="169"/>
      <c r="AO71" s="169"/>
      <c r="AP71" s="169"/>
    </row>
    <row r="72" spans="1:42">
      <c r="C72" s="162" t="s">
        <v>0</v>
      </c>
      <c r="D72" s="162"/>
      <c r="E72" s="162"/>
      <c r="F72" s="162"/>
      <c r="G72" s="162"/>
      <c r="H72" s="163"/>
      <c r="I72" s="162" t="s">
        <v>1</v>
      </c>
      <c r="J72" s="162"/>
      <c r="K72" s="162"/>
      <c r="L72" s="162"/>
      <c r="M72" s="162"/>
      <c r="N72" s="163"/>
      <c r="O72" s="161" t="s">
        <v>2</v>
      </c>
      <c r="P72" s="162"/>
      <c r="Q72" s="162"/>
      <c r="R72" s="162"/>
      <c r="S72" s="162"/>
      <c r="T72" s="163"/>
      <c r="U72" s="162" t="s">
        <v>32</v>
      </c>
      <c r="V72" s="162"/>
      <c r="W72" s="162"/>
      <c r="X72" s="162"/>
      <c r="Y72" s="162"/>
      <c r="Z72" s="163"/>
      <c r="AA72" s="162" t="s">
        <v>4</v>
      </c>
      <c r="AB72" s="162"/>
      <c r="AC72" s="162"/>
      <c r="AD72" s="162"/>
      <c r="AE72" s="162"/>
      <c r="AF72" s="163"/>
      <c r="AG72" s="162" t="s">
        <v>5</v>
      </c>
      <c r="AH72" s="162"/>
      <c r="AI72" s="162"/>
      <c r="AJ72" s="162"/>
      <c r="AK72" s="162"/>
      <c r="AL72" s="163"/>
      <c r="AM72" s="174" t="s">
        <v>6</v>
      </c>
      <c r="AN72" s="164" t="s">
        <v>7</v>
      </c>
      <c r="AO72" s="96"/>
      <c r="AP72" s="96"/>
    </row>
    <row r="73" spans="1:42">
      <c r="A73" s="173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174"/>
      <c r="AN73" s="164"/>
      <c r="AO73" s="116" t="s">
        <v>10</v>
      </c>
      <c r="AP73" s="117" t="s">
        <v>11</v>
      </c>
    </row>
    <row r="74" spans="1:42" ht="15" customHeight="1">
      <c r="A74" s="173"/>
      <c r="B74" s="105" t="s">
        <v>34</v>
      </c>
      <c r="C74" s="17">
        <f t="shared" ref="C74:AN80" si="5">SUM(C13+C21+C29+C37+C44+C52)</f>
        <v>0</v>
      </c>
      <c r="D74" s="17">
        <f t="shared" si="5"/>
        <v>0</v>
      </c>
      <c r="E74" s="17">
        <f t="shared" si="5"/>
        <v>0</v>
      </c>
      <c r="F74" s="17">
        <f t="shared" si="5"/>
        <v>0</v>
      </c>
      <c r="G74" s="17">
        <f t="shared" si="5"/>
        <v>0</v>
      </c>
      <c r="H74" s="106">
        <f t="shared" si="5"/>
        <v>0</v>
      </c>
      <c r="I74" s="17">
        <f t="shared" si="5"/>
        <v>0</v>
      </c>
      <c r="J74" s="17">
        <f t="shared" si="5"/>
        <v>0</v>
      </c>
      <c r="K74" s="17">
        <f t="shared" si="5"/>
        <v>0</v>
      </c>
      <c r="L74" s="17">
        <f t="shared" si="5"/>
        <v>0</v>
      </c>
      <c r="M74" s="17">
        <f t="shared" si="5"/>
        <v>0</v>
      </c>
      <c r="N74" s="114">
        <f t="shared" si="5"/>
        <v>0</v>
      </c>
      <c r="O74" s="17">
        <f t="shared" si="5"/>
        <v>0</v>
      </c>
      <c r="P74" s="17">
        <f t="shared" si="5"/>
        <v>0</v>
      </c>
      <c r="Q74" s="17">
        <f t="shared" si="5"/>
        <v>0</v>
      </c>
      <c r="R74" s="17">
        <f t="shared" si="5"/>
        <v>0</v>
      </c>
      <c r="S74" s="17">
        <f t="shared" si="5"/>
        <v>0</v>
      </c>
      <c r="T74" s="114">
        <f t="shared" si="5"/>
        <v>0</v>
      </c>
      <c r="U74" s="17">
        <f t="shared" si="5"/>
        <v>0</v>
      </c>
      <c r="V74" s="17">
        <f t="shared" si="5"/>
        <v>0</v>
      </c>
      <c r="W74" s="17">
        <f t="shared" si="5"/>
        <v>0</v>
      </c>
      <c r="X74" s="17">
        <f t="shared" si="5"/>
        <v>0</v>
      </c>
      <c r="Y74" s="17">
        <f t="shared" si="5"/>
        <v>0</v>
      </c>
      <c r="Z74" s="114">
        <f t="shared" si="5"/>
        <v>0</v>
      </c>
      <c r="AA74" s="17">
        <f t="shared" si="5"/>
        <v>0</v>
      </c>
      <c r="AB74" s="17">
        <f t="shared" si="5"/>
        <v>0</v>
      </c>
      <c r="AC74" s="17">
        <f t="shared" si="5"/>
        <v>0</v>
      </c>
      <c r="AD74" s="17">
        <f t="shared" si="5"/>
        <v>0</v>
      </c>
      <c r="AE74" s="17">
        <f t="shared" si="5"/>
        <v>0</v>
      </c>
      <c r="AF74" s="114">
        <f t="shared" si="5"/>
        <v>0</v>
      </c>
      <c r="AG74" s="17">
        <f t="shared" si="5"/>
        <v>0</v>
      </c>
      <c r="AH74" s="17">
        <f t="shared" si="5"/>
        <v>0</v>
      </c>
      <c r="AI74" s="17">
        <f t="shared" si="5"/>
        <v>0</v>
      </c>
      <c r="AJ74" s="17">
        <f t="shared" si="5"/>
        <v>0</v>
      </c>
      <c r="AK74" s="17">
        <f t="shared" si="5"/>
        <v>0</v>
      </c>
      <c r="AL74" s="17">
        <f t="shared" si="5"/>
        <v>0</v>
      </c>
      <c r="AM74" s="17">
        <f t="shared" si="5"/>
        <v>0</v>
      </c>
      <c r="AN74" s="114">
        <f t="shared" si="5"/>
        <v>0</v>
      </c>
      <c r="AO74" s="52">
        <f>SUM(C74:AN74)</f>
        <v>0</v>
      </c>
      <c r="AP74" s="118">
        <f>AO74*25</f>
        <v>0</v>
      </c>
    </row>
    <row r="75" spans="1:42">
      <c r="A75" s="173"/>
      <c r="B75" s="105" t="s">
        <v>14</v>
      </c>
      <c r="C75" s="17">
        <f t="shared" si="5"/>
        <v>0</v>
      </c>
      <c r="D75" s="17">
        <f t="shared" si="5"/>
        <v>0</v>
      </c>
      <c r="E75" s="17">
        <f t="shared" si="5"/>
        <v>0</v>
      </c>
      <c r="F75" s="17">
        <f t="shared" si="5"/>
        <v>0</v>
      </c>
      <c r="G75" s="17">
        <f t="shared" si="5"/>
        <v>0</v>
      </c>
      <c r="H75" s="106">
        <f t="shared" si="5"/>
        <v>0</v>
      </c>
      <c r="I75" s="17">
        <f t="shared" si="5"/>
        <v>0</v>
      </c>
      <c r="J75" s="17">
        <f t="shared" si="5"/>
        <v>0</v>
      </c>
      <c r="K75" s="17">
        <f t="shared" si="5"/>
        <v>0</v>
      </c>
      <c r="L75" s="17">
        <f t="shared" si="5"/>
        <v>0</v>
      </c>
      <c r="M75" s="17">
        <f t="shared" si="5"/>
        <v>0</v>
      </c>
      <c r="N75" s="114">
        <f t="shared" si="5"/>
        <v>0</v>
      </c>
      <c r="O75" s="17">
        <f t="shared" si="5"/>
        <v>0</v>
      </c>
      <c r="P75" s="17">
        <f t="shared" si="5"/>
        <v>0</v>
      </c>
      <c r="Q75" s="17">
        <f t="shared" si="5"/>
        <v>0</v>
      </c>
      <c r="R75" s="17">
        <f t="shared" si="5"/>
        <v>0</v>
      </c>
      <c r="S75" s="17">
        <f t="shared" si="5"/>
        <v>0</v>
      </c>
      <c r="T75" s="114">
        <f t="shared" si="5"/>
        <v>0</v>
      </c>
      <c r="U75" s="17">
        <f t="shared" si="5"/>
        <v>0</v>
      </c>
      <c r="V75" s="17">
        <f t="shared" si="5"/>
        <v>0</v>
      </c>
      <c r="W75" s="17">
        <f t="shared" si="5"/>
        <v>0</v>
      </c>
      <c r="X75" s="17">
        <f t="shared" si="5"/>
        <v>0</v>
      </c>
      <c r="Y75" s="17">
        <f t="shared" si="5"/>
        <v>0</v>
      </c>
      <c r="Z75" s="114">
        <f t="shared" si="5"/>
        <v>0</v>
      </c>
      <c r="AA75" s="17">
        <f t="shared" si="5"/>
        <v>0</v>
      </c>
      <c r="AB75" s="17">
        <f t="shared" si="5"/>
        <v>0</v>
      </c>
      <c r="AC75" s="17">
        <f t="shared" si="5"/>
        <v>0</v>
      </c>
      <c r="AD75" s="17">
        <f t="shared" si="5"/>
        <v>0</v>
      </c>
      <c r="AE75" s="17">
        <f t="shared" si="5"/>
        <v>0</v>
      </c>
      <c r="AF75" s="114">
        <f t="shared" si="5"/>
        <v>0</v>
      </c>
      <c r="AG75" s="17">
        <f t="shared" si="5"/>
        <v>0</v>
      </c>
      <c r="AH75" s="17">
        <f t="shared" si="5"/>
        <v>0</v>
      </c>
      <c r="AI75" s="17">
        <f t="shared" si="5"/>
        <v>0</v>
      </c>
      <c r="AJ75" s="17">
        <f t="shared" si="5"/>
        <v>0</v>
      </c>
      <c r="AK75" s="17">
        <f t="shared" si="5"/>
        <v>0</v>
      </c>
      <c r="AL75" s="17">
        <f t="shared" si="5"/>
        <v>0</v>
      </c>
      <c r="AM75" s="17">
        <f t="shared" si="5"/>
        <v>0</v>
      </c>
      <c r="AN75" s="114">
        <f t="shared" si="5"/>
        <v>0</v>
      </c>
      <c r="AO75" s="52">
        <f t="shared" ref="AO75:AO80" si="6">SUM(C75:AN75)</f>
        <v>0</v>
      </c>
      <c r="AP75" s="118">
        <f t="shared" ref="AP75:AP79" si="7">AO75*25</f>
        <v>0</v>
      </c>
    </row>
    <row r="76" spans="1:42">
      <c r="A76" s="173"/>
      <c r="B76" s="105" t="s">
        <v>15</v>
      </c>
      <c r="C76" s="17">
        <f t="shared" si="5"/>
        <v>0</v>
      </c>
      <c r="D76" s="17">
        <f t="shared" si="5"/>
        <v>0</v>
      </c>
      <c r="E76" s="17">
        <f t="shared" si="5"/>
        <v>0</v>
      </c>
      <c r="F76" s="17">
        <f t="shared" si="5"/>
        <v>0</v>
      </c>
      <c r="G76" s="17">
        <f t="shared" si="5"/>
        <v>0</v>
      </c>
      <c r="H76" s="106">
        <f t="shared" si="5"/>
        <v>0</v>
      </c>
      <c r="I76" s="17">
        <f t="shared" si="5"/>
        <v>0</v>
      </c>
      <c r="J76" s="17">
        <f t="shared" si="5"/>
        <v>0</v>
      </c>
      <c r="K76" s="17">
        <f t="shared" si="5"/>
        <v>0</v>
      </c>
      <c r="L76" s="17">
        <f t="shared" si="5"/>
        <v>0</v>
      </c>
      <c r="M76" s="17">
        <f t="shared" si="5"/>
        <v>0</v>
      </c>
      <c r="N76" s="114">
        <f t="shared" si="5"/>
        <v>0</v>
      </c>
      <c r="O76" s="17">
        <f t="shared" si="5"/>
        <v>0</v>
      </c>
      <c r="P76" s="17">
        <f t="shared" si="5"/>
        <v>0</v>
      </c>
      <c r="Q76" s="17">
        <f t="shared" si="5"/>
        <v>0</v>
      </c>
      <c r="R76" s="17">
        <f t="shared" si="5"/>
        <v>0</v>
      </c>
      <c r="S76" s="17">
        <f t="shared" si="5"/>
        <v>0</v>
      </c>
      <c r="T76" s="114">
        <f t="shared" si="5"/>
        <v>0</v>
      </c>
      <c r="U76" s="17">
        <f t="shared" si="5"/>
        <v>0</v>
      </c>
      <c r="V76" s="17">
        <f t="shared" si="5"/>
        <v>0</v>
      </c>
      <c r="W76" s="17">
        <f t="shared" si="5"/>
        <v>0</v>
      </c>
      <c r="X76" s="17">
        <f t="shared" si="5"/>
        <v>0</v>
      </c>
      <c r="Y76" s="17">
        <f t="shared" si="5"/>
        <v>0</v>
      </c>
      <c r="Z76" s="114">
        <f t="shared" si="5"/>
        <v>0</v>
      </c>
      <c r="AA76" s="17">
        <f t="shared" si="5"/>
        <v>0</v>
      </c>
      <c r="AB76" s="17">
        <f t="shared" si="5"/>
        <v>0</v>
      </c>
      <c r="AC76" s="17">
        <f t="shared" si="5"/>
        <v>0</v>
      </c>
      <c r="AD76" s="17">
        <f t="shared" si="5"/>
        <v>0</v>
      </c>
      <c r="AE76" s="17">
        <f t="shared" si="5"/>
        <v>0</v>
      </c>
      <c r="AF76" s="114">
        <f t="shared" si="5"/>
        <v>0</v>
      </c>
      <c r="AG76" s="17">
        <f t="shared" si="5"/>
        <v>0</v>
      </c>
      <c r="AH76" s="17">
        <f t="shared" si="5"/>
        <v>0</v>
      </c>
      <c r="AI76" s="17">
        <f t="shared" si="5"/>
        <v>0</v>
      </c>
      <c r="AJ76" s="17">
        <f t="shared" si="5"/>
        <v>0</v>
      </c>
      <c r="AK76" s="17">
        <f t="shared" si="5"/>
        <v>0</v>
      </c>
      <c r="AL76" s="17">
        <f t="shared" si="5"/>
        <v>0</v>
      </c>
      <c r="AM76" s="17">
        <f t="shared" si="5"/>
        <v>0</v>
      </c>
      <c r="AN76" s="114">
        <f t="shared" si="5"/>
        <v>0</v>
      </c>
      <c r="AO76" s="52">
        <f t="shared" si="6"/>
        <v>0</v>
      </c>
      <c r="AP76" s="118">
        <f t="shared" si="7"/>
        <v>0</v>
      </c>
    </row>
    <row r="77" spans="1:42">
      <c r="A77" s="173"/>
      <c r="B77" s="105" t="s">
        <v>131</v>
      </c>
      <c r="C77" s="17">
        <f t="shared" si="5"/>
        <v>0</v>
      </c>
      <c r="D77" s="17">
        <f t="shared" si="5"/>
        <v>0</v>
      </c>
      <c r="E77" s="17">
        <f t="shared" si="5"/>
        <v>0</v>
      </c>
      <c r="F77" s="17">
        <f t="shared" si="5"/>
        <v>0</v>
      </c>
      <c r="G77" s="17">
        <f t="shared" si="5"/>
        <v>0</v>
      </c>
      <c r="H77" s="106">
        <f t="shared" si="5"/>
        <v>0</v>
      </c>
      <c r="I77" s="17">
        <f t="shared" si="5"/>
        <v>0</v>
      </c>
      <c r="J77" s="17">
        <f t="shared" si="5"/>
        <v>0</v>
      </c>
      <c r="K77" s="17">
        <f t="shared" si="5"/>
        <v>0</v>
      </c>
      <c r="L77" s="17">
        <f t="shared" si="5"/>
        <v>0</v>
      </c>
      <c r="M77" s="17">
        <f t="shared" si="5"/>
        <v>0</v>
      </c>
      <c r="N77" s="114">
        <f t="shared" si="5"/>
        <v>0</v>
      </c>
      <c r="O77" s="17">
        <f t="shared" si="5"/>
        <v>0</v>
      </c>
      <c r="P77" s="17">
        <f t="shared" si="5"/>
        <v>0</v>
      </c>
      <c r="Q77" s="17">
        <f t="shared" si="5"/>
        <v>0</v>
      </c>
      <c r="R77" s="17">
        <f t="shared" si="5"/>
        <v>0</v>
      </c>
      <c r="S77" s="17">
        <f t="shared" si="5"/>
        <v>0</v>
      </c>
      <c r="T77" s="114">
        <f t="shared" si="5"/>
        <v>0</v>
      </c>
      <c r="U77" s="17">
        <f t="shared" si="5"/>
        <v>0</v>
      </c>
      <c r="V77" s="17">
        <f t="shared" si="5"/>
        <v>0</v>
      </c>
      <c r="W77" s="17">
        <f t="shared" si="5"/>
        <v>0</v>
      </c>
      <c r="X77" s="17">
        <f t="shared" si="5"/>
        <v>0</v>
      </c>
      <c r="Y77" s="17">
        <f t="shared" si="5"/>
        <v>0</v>
      </c>
      <c r="Z77" s="114">
        <f t="shared" si="5"/>
        <v>0</v>
      </c>
      <c r="AA77" s="17">
        <f t="shared" si="5"/>
        <v>0</v>
      </c>
      <c r="AB77" s="17">
        <f t="shared" si="5"/>
        <v>0</v>
      </c>
      <c r="AC77" s="17">
        <f t="shared" si="5"/>
        <v>0</v>
      </c>
      <c r="AD77" s="17">
        <f t="shared" si="5"/>
        <v>0</v>
      </c>
      <c r="AE77" s="17">
        <f t="shared" si="5"/>
        <v>0</v>
      </c>
      <c r="AF77" s="114">
        <f t="shared" si="5"/>
        <v>0</v>
      </c>
      <c r="AG77" s="17">
        <f t="shared" si="5"/>
        <v>0</v>
      </c>
      <c r="AH77" s="17">
        <f t="shared" si="5"/>
        <v>0</v>
      </c>
      <c r="AI77" s="17">
        <f t="shared" si="5"/>
        <v>0</v>
      </c>
      <c r="AJ77" s="17">
        <f t="shared" si="5"/>
        <v>0</v>
      </c>
      <c r="AK77" s="17">
        <f t="shared" si="5"/>
        <v>0</v>
      </c>
      <c r="AL77" s="17">
        <f t="shared" si="5"/>
        <v>0</v>
      </c>
      <c r="AM77" s="17">
        <f t="shared" si="5"/>
        <v>0</v>
      </c>
      <c r="AN77" s="114">
        <f t="shared" si="5"/>
        <v>0</v>
      </c>
      <c r="AO77" s="52">
        <f t="shared" si="6"/>
        <v>0</v>
      </c>
      <c r="AP77" s="118">
        <f t="shared" si="7"/>
        <v>0</v>
      </c>
    </row>
    <row r="78" spans="1:42">
      <c r="A78" s="173"/>
      <c r="B78" s="105" t="s">
        <v>16</v>
      </c>
      <c r="C78" s="17">
        <f t="shared" si="5"/>
        <v>0</v>
      </c>
      <c r="D78" s="17">
        <f t="shared" si="5"/>
        <v>0</v>
      </c>
      <c r="E78" s="17">
        <f t="shared" si="5"/>
        <v>0</v>
      </c>
      <c r="F78" s="17">
        <f t="shared" si="5"/>
        <v>0</v>
      </c>
      <c r="G78" s="17">
        <f t="shared" si="5"/>
        <v>0</v>
      </c>
      <c r="H78" s="106">
        <f t="shared" si="5"/>
        <v>0</v>
      </c>
      <c r="I78" s="17">
        <f t="shared" si="5"/>
        <v>0</v>
      </c>
      <c r="J78" s="17">
        <f t="shared" si="5"/>
        <v>0</v>
      </c>
      <c r="K78" s="17">
        <f t="shared" si="5"/>
        <v>0</v>
      </c>
      <c r="L78" s="17">
        <f t="shared" si="5"/>
        <v>0</v>
      </c>
      <c r="M78" s="17">
        <f t="shared" si="5"/>
        <v>0</v>
      </c>
      <c r="N78" s="114">
        <f t="shared" si="5"/>
        <v>0</v>
      </c>
      <c r="O78" s="17">
        <f t="shared" si="5"/>
        <v>0</v>
      </c>
      <c r="P78" s="17">
        <f t="shared" si="5"/>
        <v>0</v>
      </c>
      <c r="Q78" s="17">
        <f t="shared" si="5"/>
        <v>0</v>
      </c>
      <c r="R78" s="17">
        <f t="shared" si="5"/>
        <v>0</v>
      </c>
      <c r="S78" s="17">
        <f t="shared" si="5"/>
        <v>0</v>
      </c>
      <c r="T78" s="114">
        <f t="shared" si="5"/>
        <v>0</v>
      </c>
      <c r="U78" s="17">
        <f t="shared" si="5"/>
        <v>0</v>
      </c>
      <c r="V78" s="17">
        <f t="shared" si="5"/>
        <v>0</v>
      </c>
      <c r="W78" s="17">
        <f t="shared" si="5"/>
        <v>0</v>
      </c>
      <c r="X78" s="17">
        <f t="shared" si="5"/>
        <v>0</v>
      </c>
      <c r="Y78" s="17">
        <f t="shared" si="5"/>
        <v>0</v>
      </c>
      <c r="Z78" s="114">
        <f t="shared" si="5"/>
        <v>0</v>
      </c>
      <c r="AA78" s="17">
        <f t="shared" si="5"/>
        <v>0</v>
      </c>
      <c r="AB78" s="17">
        <f t="shared" si="5"/>
        <v>0</v>
      </c>
      <c r="AC78" s="17">
        <f t="shared" si="5"/>
        <v>0</v>
      </c>
      <c r="AD78" s="17">
        <f t="shared" si="5"/>
        <v>0</v>
      </c>
      <c r="AE78" s="17">
        <f t="shared" si="5"/>
        <v>0</v>
      </c>
      <c r="AF78" s="114">
        <f t="shared" si="5"/>
        <v>0</v>
      </c>
      <c r="AG78" s="17">
        <f t="shared" si="5"/>
        <v>0</v>
      </c>
      <c r="AH78" s="17">
        <f t="shared" si="5"/>
        <v>0</v>
      </c>
      <c r="AI78" s="17">
        <f t="shared" si="5"/>
        <v>0</v>
      </c>
      <c r="AJ78" s="17">
        <f t="shared" si="5"/>
        <v>0</v>
      </c>
      <c r="AK78" s="17">
        <f t="shared" si="5"/>
        <v>0</v>
      </c>
      <c r="AL78" s="17">
        <f t="shared" si="5"/>
        <v>0</v>
      </c>
      <c r="AM78" s="17">
        <f t="shared" si="5"/>
        <v>0</v>
      </c>
      <c r="AN78" s="114">
        <f t="shared" si="5"/>
        <v>0</v>
      </c>
      <c r="AO78" s="52">
        <f t="shared" si="6"/>
        <v>0</v>
      </c>
      <c r="AP78" s="118">
        <f t="shared" si="7"/>
        <v>0</v>
      </c>
    </row>
    <row r="79" spans="1:42">
      <c r="A79" s="173"/>
      <c r="B79" s="105" t="s">
        <v>17</v>
      </c>
      <c r="C79" s="17">
        <f t="shared" si="5"/>
        <v>0</v>
      </c>
      <c r="D79" s="17">
        <f t="shared" si="5"/>
        <v>0</v>
      </c>
      <c r="E79" s="17">
        <f t="shared" si="5"/>
        <v>0</v>
      </c>
      <c r="F79" s="17">
        <f t="shared" si="5"/>
        <v>0</v>
      </c>
      <c r="G79" s="17">
        <f t="shared" si="5"/>
        <v>0</v>
      </c>
      <c r="H79" s="106">
        <f t="shared" si="5"/>
        <v>0</v>
      </c>
      <c r="I79" s="17">
        <f t="shared" si="5"/>
        <v>0</v>
      </c>
      <c r="J79" s="17">
        <f t="shared" si="5"/>
        <v>0</v>
      </c>
      <c r="K79" s="17">
        <f t="shared" si="5"/>
        <v>0</v>
      </c>
      <c r="L79" s="17">
        <f t="shared" si="5"/>
        <v>0</v>
      </c>
      <c r="M79" s="17">
        <f t="shared" si="5"/>
        <v>0</v>
      </c>
      <c r="N79" s="114">
        <f t="shared" si="5"/>
        <v>0</v>
      </c>
      <c r="O79" s="17">
        <f t="shared" si="5"/>
        <v>0</v>
      </c>
      <c r="P79" s="17">
        <f t="shared" si="5"/>
        <v>0</v>
      </c>
      <c r="Q79" s="17">
        <f t="shared" si="5"/>
        <v>0</v>
      </c>
      <c r="R79" s="17">
        <f t="shared" si="5"/>
        <v>0</v>
      </c>
      <c r="S79" s="17">
        <f t="shared" si="5"/>
        <v>0</v>
      </c>
      <c r="T79" s="114">
        <f t="shared" si="5"/>
        <v>0</v>
      </c>
      <c r="U79" s="17">
        <f t="shared" si="5"/>
        <v>0</v>
      </c>
      <c r="V79" s="17">
        <f t="shared" si="5"/>
        <v>0</v>
      </c>
      <c r="W79" s="17">
        <f t="shared" si="5"/>
        <v>0</v>
      </c>
      <c r="X79" s="17">
        <f t="shared" si="5"/>
        <v>0</v>
      </c>
      <c r="Y79" s="17">
        <f t="shared" si="5"/>
        <v>0</v>
      </c>
      <c r="Z79" s="114">
        <f t="shared" si="5"/>
        <v>0</v>
      </c>
      <c r="AA79" s="17">
        <f t="shared" si="5"/>
        <v>0</v>
      </c>
      <c r="AB79" s="17">
        <f t="shared" si="5"/>
        <v>0</v>
      </c>
      <c r="AC79" s="17">
        <f t="shared" si="5"/>
        <v>0</v>
      </c>
      <c r="AD79" s="17">
        <f t="shared" si="5"/>
        <v>0</v>
      </c>
      <c r="AE79" s="17">
        <f t="shared" si="5"/>
        <v>0</v>
      </c>
      <c r="AF79" s="114">
        <f t="shared" si="5"/>
        <v>0</v>
      </c>
      <c r="AG79" s="17">
        <f t="shared" si="5"/>
        <v>0</v>
      </c>
      <c r="AH79" s="17">
        <f t="shared" si="5"/>
        <v>0</v>
      </c>
      <c r="AI79" s="17">
        <f t="shared" si="5"/>
        <v>0</v>
      </c>
      <c r="AJ79" s="17">
        <f t="shared" si="5"/>
        <v>0</v>
      </c>
      <c r="AK79" s="17">
        <f t="shared" si="5"/>
        <v>0</v>
      </c>
      <c r="AL79" s="17">
        <f t="shared" si="5"/>
        <v>0</v>
      </c>
      <c r="AM79" s="17">
        <f t="shared" si="5"/>
        <v>0</v>
      </c>
      <c r="AN79" s="114">
        <f t="shared" si="5"/>
        <v>0</v>
      </c>
      <c r="AO79" s="52">
        <f t="shared" si="6"/>
        <v>0</v>
      </c>
      <c r="AP79" s="118">
        <f t="shared" si="7"/>
        <v>0</v>
      </c>
    </row>
    <row r="80" spans="1:42">
      <c r="A80" s="173"/>
      <c r="B80" s="105" t="s">
        <v>23</v>
      </c>
      <c r="C80" s="17">
        <f t="shared" si="5"/>
        <v>0</v>
      </c>
      <c r="D80" s="17">
        <f t="shared" si="5"/>
        <v>0</v>
      </c>
      <c r="E80" s="17">
        <f t="shared" si="5"/>
        <v>0</v>
      </c>
      <c r="F80" s="17">
        <f t="shared" si="5"/>
        <v>0</v>
      </c>
      <c r="G80" s="17">
        <f t="shared" si="5"/>
        <v>0</v>
      </c>
      <c r="H80" s="122">
        <f t="shared" si="5"/>
        <v>0</v>
      </c>
      <c r="I80" s="17">
        <f t="shared" si="5"/>
        <v>0</v>
      </c>
      <c r="J80" s="17">
        <f t="shared" si="5"/>
        <v>0</v>
      </c>
      <c r="K80" s="17">
        <f t="shared" si="5"/>
        <v>0</v>
      </c>
      <c r="L80" s="17">
        <f t="shared" si="5"/>
        <v>0</v>
      </c>
      <c r="M80" s="17">
        <f t="shared" si="5"/>
        <v>0</v>
      </c>
      <c r="N80" s="114">
        <f t="shared" si="5"/>
        <v>0</v>
      </c>
      <c r="O80" s="17">
        <f t="shared" si="5"/>
        <v>0</v>
      </c>
      <c r="P80" s="17">
        <f t="shared" si="5"/>
        <v>0</v>
      </c>
      <c r="Q80" s="17">
        <f t="shared" si="5"/>
        <v>0</v>
      </c>
      <c r="R80" s="17">
        <f t="shared" si="5"/>
        <v>0</v>
      </c>
      <c r="S80" s="17">
        <f t="shared" si="5"/>
        <v>0</v>
      </c>
      <c r="T80" s="114">
        <f t="shared" si="5"/>
        <v>0</v>
      </c>
      <c r="U80" s="17">
        <f t="shared" si="5"/>
        <v>0</v>
      </c>
      <c r="V80" s="17">
        <f t="shared" si="5"/>
        <v>0</v>
      </c>
      <c r="W80" s="17">
        <f t="shared" si="5"/>
        <v>0</v>
      </c>
      <c r="X80" s="17">
        <f t="shared" si="5"/>
        <v>0</v>
      </c>
      <c r="Y80" s="17">
        <f t="shared" si="5"/>
        <v>0</v>
      </c>
      <c r="Z80" s="114">
        <f t="shared" si="5"/>
        <v>0</v>
      </c>
      <c r="AA80" s="17">
        <f t="shared" si="5"/>
        <v>0</v>
      </c>
      <c r="AB80" s="17">
        <f t="shared" si="5"/>
        <v>0</v>
      </c>
      <c r="AC80" s="17">
        <f t="shared" si="5"/>
        <v>0</v>
      </c>
      <c r="AD80" s="17">
        <f t="shared" ref="AD80:AN80" si="8">SUM(AD19+AD27+AD35+AD43+AD50+AD58)</f>
        <v>0</v>
      </c>
      <c r="AE80" s="17">
        <f t="shared" si="8"/>
        <v>0</v>
      </c>
      <c r="AF80" s="114">
        <f t="shared" si="8"/>
        <v>0</v>
      </c>
      <c r="AG80" s="17">
        <f t="shared" si="8"/>
        <v>0</v>
      </c>
      <c r="AH80" s="17">
        <f t="shared" si="8"/>
        <v>0</v>
      </c>
      <c r="AI80" s="17">
        <f t="shared" si="8"/>
        <v>0</v>
      </c>
      <c r="AJ80" s="17">
        <f t="shared" si="8"/>
        <v>0</v>
      </c>
      <c r="AK80" s="17">
        <f t="shared" si="8"/>
        <v>0</v>
      </c>
      <c r="AL80" s="17">
        <f t="shared" si="8"/>
        <v>0</v>
      </c>
      <c r="AM80" s="17">
        <f t="shared" si="8"/>
        <v>0</v>
      </c>
      <c r="AN80" s="114">
        <f t="shared" si="8"/>
        <v>0</v>
      </c>
      <c r="AO80" s="52">
        <f t="shared" si="6"/>
        <v>0</v>
      </c>
      <c r="AP80" s="118">
        <f>AO80*20</f>
        <v>0</v>
      </c>
    </row>
    <row r="81" spans="1:42" ht="17.25" customHeight="1">
      <c r="C81" s="11">
        <f>SUM(C74:C80)</f>
        <v>0</v>
      </c>
      <c r="D81" s="11">
        <f t="shared" ref="D81:AN81" si="9">SUM(D74:D80)</f>
        <v>0</v>
      </c>
      <c r="E81" s="11">
        <f t="shared" si="9"/>
        <v>0</v>
      </c>
      <c r="F81" s="11">
        <f t="shared" si="9"/>
        <v>0</v>
      </c>
      <c r="G81" s="11">
        <f t="shared" si="9"/>
        <v>0</v>
      </c>
      <c r="H81" s="123">
        <f t="shared" si="9"/>
        <v>0</v>
      </c>
      <c r="I81" s="11">
        <f t="shared" si="9"/>
        <v>0</v>
      </c>
      <c r="J81" s="11">
        <f t="shared" si="9"/>
        <v>0</v>
      </c>
      <c r="K81" s="11">
        <f t="shared" si="9"/>
        <v>0</v>
      </c>
      <c r="L81" s="11">
        <f t="shared" si="9"/>
        <v>0</v>
      </c>
      <c r="M81" s="11">
        <f t="shared" si="9"/>
        <v>0</v>
      </c>
      <c r="N81" s="124">
        <f t="shared" si="9"/>
        <v>0</v>
      </c>
      <c r="O81" s="11">
        <f t="shared" si="9"/>
        <v>0</v>
      </c>
      <c r="P81" s="11">
        <f t="shared" si="9"/>
        <v>0</v>
      </c>
      <c r="Q81" s="11">
        <f t="shared" si="9"/>
        <v>0</v>
      </c>
      <c r="R81" s="11">
        <f t="shared" si="9"/>
        <v>0</v>
      </c>
      <c r="S81" s="11">
        <f t="shared" si="9"/>
        <v>0</v>
      </c>
      <c r="T81" s="124">
        <f t="shared" si="9"/>
        <v>0</v>
      </c>
      <c r="U81" s="11">
        <f t="shared" si="9"/>
        <v>0</v>
      </c>
      <c r="V81" s="11">
        <f t="shared" si="9"/>
        <v>0</v>
      </c>
      <c r="W81" s="11">
        <f t="shared" si="9"/>
        <v>0</v>
      </c>
      <c r="X81" s="11">
        <f t="shared" si="9"/>
        <v>0</v>
      </c>
      <c r="Y81" s="11">
        <f t="shared" si="9"/>
        <v>0</v>
      </c>
      <c r="Z81" s="124">
        <f t="shared" si="9"/>
        <v>0</v>
      </c>
      <c r="AA81" s="11">
        <f t="shared" si="9"/>
        <v>0</v>
      </c>
      <c r="AB81" s="11">
        <f t="shared" si="9"/>
        <v>0</v>
      </c>
      <c r="AC81" s="11">
        <f t="shared" si="9"/>
        <v>0</v>
      </c>
      <c r="AD81" s="11">
        <f t="shared" si="9"/>
        <v>0</v>
      </c>
      <c r="AE81" s="11">
        <f t="shared" si="9"/>
        <v>0</v>
      </c>
      <c r="AF81" s="124">
        <f t="shared" si="9"/>
        <v>0</v>
      </c>
      <c r="AG81" s="11">
        <f t="shared" si="9"/>
        <v>0</v>
      </c>
      <c r="AH81" s="11">
        <f t="shared" si="9"/>
        <v>0</v>
      </c>
      <c r="AI81" s="11">
        <f t="shared" si="9"/>
        <v>0</v>
      </c>
      <c r="AJ81" s="11"/>
      <c r="AK81" s="11"/>
      <c r="AL81" s="124">
        <f t="shared" si="9"/>
        <v>0</v>
      </c>
      <c r="AM81" s="11">
        <f t="shared" si="9"/>
        <v>0</v>
      </c>
      <c r="AN81" s="124">
        <f t="shared" si="9"/>
        <v>0</v>
      </c>
      <c r="AP81" s="125">
        <f>SUM(AP74:AP80)</f>
        <v>0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44:A50"/>
    <mergeCell ref="A52:A58"/>
    <mergeCell ref="B61:D62"/>
    <mergeCell ref="F61:M61"/>
    <mergeCell ref="A71:AP71"/>
    <mergeCell ref="F64:G64"/>
    <mergeCell ref="H64:I64"/>
    <mergeCell ref="J64:M64"/>
    <mergeCell ref="F63:I63"/>
    <mergeCell ref="J63:M63"/>
    <mergeCell ref="AG72:AL72"/>
    <mergeCell ref="AM72:AM73"/>
    <mergeCell ref="AN72:AN73"/>
    <mergeCell ref="A73:A80"/>
    <mergeCell ref="C72:H72"/>
    <mergeCell ref="I72:N72"/>
    <mergeCell ref="O72:T72"/>
    <mergeCell ref="U72:Z72"/>
    <mergeCell ref="AA72:AF72"/>
    <mergeCell ref="AM11:AM12"/>
    <mergeCell ref="AN11:AN12"/>
    <mergeCell ref="AA11:AF11"/>
    <mergeCell ref="AG11:AL11"/>
    <mergeCell ref="F62:I62"/>
    <mergeCell ref="J62:M62"/>
    <mergeCell ref="A37:A43"/>
    <mergeCell ref="C11:H11"/>
    <mergeCell ref="I11:N11"/>
    <mergeCell ref="O11:T11"/>
    <mergeCell ref="U11:Z11"/>
    <mergeCell ref="A13:A19"/>
    <mergeCell ref="A21:A27"/>
    <mergeCell ref="A29:A35"/>
    <mergeCell ref="AH8:AL9"/>
    <mergeCell ref="AM8:AO9"/>
    <mergeCell ref="A5:B5"/>
    <mergeCell ref="C5:E5"/>
    <mergeCell ref="F5:AB6"/>
    <mergeCell ref="A6:B6"/>
    <mergeCell ref="C6:E6"/>
    <mergeCell ref="AC5:AO6"/>
    <mergeCell ref="A8:O8"/>
    <mergeCell ref="P8:AA8"/>
    <mergeCell ref="AB8:AG9"/>
    <mergeCell ref="A9:O9"/>
    <mergeCell ref="P9:AA9"/>
    <mergeCell ref="AC1:AO4"/>
    <mergeCell ref="A3:B3"/>
    <mergeCell ref="C3:E3"/>
    <mergeCell ref="F3:AB4"/>
    <mergeCell ref="A4:B4"/>
    <mergeCell ref="C4:E4"/>
    <mergeCell ref="A1:B1"/>
    <mergeCell ref="C1:E1"/>
    <mergeCell ref="F1:AB2"/>
    <mergeCell ref="A2:B2"/>
    <mergeCell ref="C2:E2"/>
  </mergeCells>
  <conditionalFormatting sqref="B13:B19">
    <cfRule type="cellIs" dxfId="65" priority="6" operator="equal">
      <formula>0</formula>
    </cfRule>
  </conditionalFormatting>
  <conditionalFormatting sqref="B21:B35">
    <cfRule type="cellIs" dxfId="64" priority="4" operator="equal">
      <formula>0</formula>
    </cfRule>
  </conditionalFormatting>
  <conditionalFormatting sqref="B37:B50">
    <cfRule type="cellIs" dxfId="63" priority="2" operator="equal">
      <formula>0</formula>
    </cfRule>
  </conditionalFormatting>
  <conditionalFormatting sqref="B52:B58">
    <cfRule type="cellIs" dxfId="62" priority="1" operator="equal">
      <formula>0</formula>
    </cfRule>
  </conditionalFormatting>
  <conditionalFormatting sqref="B74:B80">
    <cfRule type="cellIs" dxfId="61" priority="18" operator="equal">
      <formula>0</formula>
    </cfRule>
  </conditionalFormatting>
  <conditionalFormatting sqref="B108:B109">
    <cfRule type="cellIs" dxfId="60" priority="16" operator="equal">
      <formula>0</formula>
    </cfRule>
  </conditionalFormatting>
  <conditionalFormatting sqref="B111:B116">
    <cfRule type="cellIs" dxfId="59" priority="15" operator="equal">
      <formula>0</formula>
    </cfRule>
  </conditionalFormatting>
  <conditionalFormatting sqref="B118:B123">
    <cfRule type="cellIs" dxfId="58" priority="14" operator="equal">
      <formula>0</formula>
    </cfRule>
  </conditionalFormatting>
  <conditionalFormatting sqref="C85:H85">
    <cfRule type="cellIs" dxfId="57" priority="17" operator="equal">
      <formula>0</formula>
    </cfRule>
  </conditionalFormatting>
  <conditionalFormatting sqref="C74:AN80">
    <cfRule type="cellIs" dxfId="56" priority="13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T123"/>
  <sheetViews>
    <sheetView workbookViewId="0">
      <pane xSplit="2" ySplit="3" topLeftCell="C70" activePane="bottomRight" state="frozen"/>
      <selection pane="topRight"/>
      <selection pane="bottomLeft"/>
      <selection pane="bottomRight" sqref="A1:XFD1048576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81" t="s">
        <v>115</v>
      </c>
      <c r="B1" s="182"/>
      <c r="C1" s="183" t="s">
        <v>116</v>
      </c>
      <c r="D1" s="184"/>
      <c r="E1" s="184"/>
      <c r="F1" s="185" t="s">
        <v>94</v>
      </c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</row>
    <row r="2" spans="1:42">
      <c r="A2" s="181" t="s">
        <v>95</v>
      </c>
      <c r="B2" s="182"/>
      <c r="C2" s="183">
        <v>2.2000000000000002</v>
      </c>
      <c r="D2" s="184"/>
      <c r="E2" s="184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</row>
    <row r="3" spans="1:42">
      <c r="A3" s="181" t="s">
        <v>97</v>
      </c>
      <c r="B3" s="182"/>
      <c r="C3" s="186">
        <v>44589</v>
      </c>
      <c r="D3" s="187"/>
      <c r="E3" s="187"/>
      <c r="F3" s="188" t="s">
        <v>117</v>
      </c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</row>
    <row r="4" spans="1:42">
      <c r="A4" s="181" t="s">
        <v>118</v>
      </c>
      <c r="B4" s="182"/>
      <c r="C4" s="183" t="s">
        <v>102</v>
      </c>
      <c r="D4" s="184"/>
      <c r="E4" s="184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</row>
    <row r="5" spans="1:42">
      <c r="A5" s="181" t="s">
        <v>119</v>
      </c>
      <c r="B5" s="182"/>
      <c r="C5" s="183" t="s">
        <v>120</v>
      </c>
      <c r="D5" s="184"/>
      <c r="E5" s="184"/>
      <c r="F5" s="188" t="s">
        <v>104</v>
      </c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9" t="s">
        <v>121</v>
      </c>
      <c r="AD5" s="189"/>
      <c r="AE5" s="189"/>
      <c r="AF5" s="189"/>
      <c r="AG5" s="189"/>
      <c r="AH5" s="189"/>
      <c r="AI5" s="189"/>
      <c r="AJ5" s="189"/>
      <c r="AK5" s="189"/>
      <c r="AL5" s="189"/>
      <c r="AM5" s="189"/>
      <c r="AN5" s="189"/>
      <c r="AO5" s="189"/>
    </row>
    <row r="6" spans="1:42">
      <c r="A6" s="181" t="s">
        <v>122</v>
      </c>
      <c r="B6" s="182"/>
      <c r="C6" s="183" t="s">
        <v>120</v>
      </c>
      <c r="D6" s="184"/>
      <c r="E6" s="184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9"/>
      <c r="AD6" s="189"/>
      <c r="AE6" s="189"/>
      <c r="AF6" s="189"/>
      <c r="AG6" s="189"/>
      <c r="AH6" s="189"/>
      <c r="AI6" s="189"/>
      <c r="AJ6" s="189"/>
      <c r="AK6" s="189"/>
      <c r="AL6" s="189"/>
      <c r="AM6" s="189"/>
      <c r="AN6" s="189"/>
      <c r="AO6" s="189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>
      <c r="A8" s="190" t="s">
        <v>123</v>
      </c>
      <c r="B8" s="191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2" t="s">
        <v>124</v>
      </c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3" t="s">
        <v>130</v>
      </c>
      <c r="AC8" s="193"/>
      <c r="AD8" s="193"/>
      <c r="AE8" s="193"/>
      <c r="AF8" s="193"/>
      <c r="AG8" s="193"/>
      <c r="AH8" s="195">
        <v>5</v>
      </c>
      <c r="AI8" s="195"/>
      <c r="AJ8" s="195"/>
      <c r="AK8" s="195"/>
      <c r="AL8" s="195"/>
      <c r="AM8" s="195">
        <v>11</v>
      </c>
      <c r="AN8" s="195"/>
      <c r="AO8" s="197"/>
    </row>
    <row r="9" spans="1:42">
      <c r="A9" s="199" t="s">
        <v>125</v>
      </c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 t="s">
        <v>125</v>
      </c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194"/>
      <c r="AC9" s="194"/>
      <c r="AD9" s="194"/>
      <c r="AE9" s="194"/>
      <c r="AF9" s="194"/>
      <c r="AG9" s="194"/>
      <c r="AH9" s="196"/>
      <c r="AI9" s="196"/>
      <c r="AJ9" s="196"/>
      <c r="AK9" s="196"/>
      <c r="AL9" s="196"/>
      <c r="AM9" s="196"/>
      <c r="AN9" s="196"/>
      <c r="AO9" s="198"/>
    </row>
    <row r="10" spans="1:42" ht="7.5" customHeight="1"/>
    <row r="11" spans="1:42">
      <c r="C11" s="169" t="s">
        <v>0</v>
      </c>
      <c r="D11" s="169"/>
      <c r="E11" s="169"/>
      <c r="F11" s="169"/>
      <c r="G11" s="169"/>
      <c r="H11" s="169"/>
      <c r="I11" s="169" t="s">
        <v>1</v>
      </c>
      <c r="J11" s="169"/>
      <c r="K11" s="169"/>
      <c r="L11" s="169"/>
      <c r="M11" s="169"/>
      <c r="N11" s="169"/>
      <c r="O11" s="169" t="s">
        <v>2</v>
      </c>
      <c r="P11" s="169"/>
      <c r="Q11" s="169"/>
      <c r="R11" s="169"/>
      <c r="S11" s="169"/>
      <c r="T11" s="169"/>
      <c r="U11" s="169" t="s">
        <v>3</v>
      </c>
      <c r="V11" s="169"/>
      <c r="W11" s="169"/>
      <c r="X11" s="169"/>
      <c r="Y11" s="169"/>
      <c r="Z11" s="169"/>
      <c r="AA11" s="169" t="s">
        <v>4</v>
      </c>
      <c r="AB11" s="169"/>
      <c r="AC11" s="169"/>
      <c r="AD11" s="169"/>
      <c r="AE11" s="169"/>
      <c r="AF11" s="169"/>
      <c r="AG11" s="169" t="s">
        <v>5</v>
      </c>
      <c r="AH11" s="169"/>
      <c r="AI11" s="169"/>
      <c r="AJ11" s="169"/>
      <c r="AK11" s="169"/>
      <c r="AL11" s="169"/>
      <c r="AM11" s="160" t="s">
        <v>6</v>
      </c>
      <c r="AN11" s="160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60"/>
      <c r="AN12" s="160"/>
      <c r="AO12" s="88" t="s">
        <v>10</v>
      </c>
      <c r="AP12" s="89" t="s">
        <v>11</v>
      </c>
    </row>
    <row r="13" spans="1:42" ht="14.25" customHeight="1">
      <c r="A13" s="175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/>
      <c r="L13" s="60"/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/>
      <c r="AM13" s="90"/>
      <c r="AN13" s="91"/>
      <c r="AO13" s="92">
        <f t="shared" ref="AO13:AO19" si="0">SUM(C13:AN13)</f>
        <v>0</v>
      </c>
      <c r="AP13" s="93">
        <f>AO13*25</f>
        <v>0</v>
      </c>
    </row>
    <row r="14" spans="1:42" ht="14.25" customHeight="1">
      <c r="A14" s="175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0</v>
      </c>
      <c r="AP14" s="93">
        <f t="shared" ref="AP14:AP58" si="1">AO14*25</f>
        <v>0</v>
      </c>
    </row>
    <row r="15" spans="1:42" ht="14.25" customHeight="1">
      <c r="A15" s="175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/>
      <c r="AM15" s="94"/>
      <c r="AN15" s="95"/>
      <c r="AO15" s="92">
        <f t="shared" si="0"/>
        <v>0</v>
      </c>
      <c r="AP15" s="93">
        <f t="shared" si="1"/>
        <v>0</v>
      </c>
    </row>
    <row r="16" spans="1:42" ht="14.25" customHeight="1">
      <c r="A16" s="175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0</v>
      </c>
      <c r="AP16" s="93">
        <f t="shared" si="1"/>
        <v>0</v>
      </c>
    </row>
    <row r="17" spans="1:42" ht="14.25" customHeight="1">
      <c r="A17" s="175"/>
      <c r="B17" s="62" t="s">
        <v>135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149"/>
      <c r="AH17" s="149"/>
      <c r="AI17" s="149"/>
      <c r="AJ17" s="149"/>
      <c r="AK17" s="149"/>
      <c r="AL17" s="149"/>
      <c r="AM17" s="63"/>
      <c r="AN17" s="134"/>
      <c r="AO17" s="92">
        <f t="shared" si="0"/>
        <v>0</v>
      </c>
      <c r="AP17" s="93">
        <f t="shared" si="1"/>
        <v>0</v>
      </c>
    </row>
    <row r="18" spans="1:42" ht="14.25" customHeight="1">
      <c r="A18" s="175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149"/>
      <c r="AH18" s="149"/>
      <c r="AI18" s="149"/>
      <c r="AJ18" s="149"/>
      <c r="AK18" s="149"/>
      <c r="AL18" s="149"/>
      <c r="AM18" s="94"/>
      <c r="AN18" s="95"/>
      <c r="AO18" s="92">
        <f t="shared" si="0"/>
        <v>0</v>
      </c>
      <c r="AP18" s="93">
        <f t="shared" si="1"/>
        <v>0</v>
      </c>
    </row>
    <row r="19" spans="1:42" ht="14.25" customHeight="1">
      <c r="A19" s="175"/>
      <c r="B19" s="62"/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/>
      <c r="S19" s="64"/>
      <c r="T19" s="84"/>
      <c r="U19" s="83"/>
      <c r="V19" s="64"/>
      <c r="W19" s="64"/>
      <c r="X19" s="64"/>
      <c r="Y19" s="64"/>
      <c r="Z19" s="84"/>
      <c r="AA19" s="83"/>
      <c r="AB19" s="64"/>
      <c r="AC19" s="64"/>
      <c r="AD19" s="64"/>
      <c r="AE19" s="64"/>
      <c r="AF19" s="84"/>
      <c r="AG19" s="149"/>
      <c r="AH19" s="149"/>
      <c r="AI19" s="149"/>
      <c r="AJ19" s="149"/>
      <c r="AK19" s="149"/>
      <c r="AL19" s="149"/>
      <c r="AM19" s="94"/>
      <c r="AN19" s="95"/>
      <c r="AO19" s="92">
        <f t="shared" si="0"/>
        <v>0</v>
      </c>
      <c r="AP19" s="93">
        <f t="shared" si="1"/>
        <v>0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70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71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71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71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71"/>
      <c r="B25" s="62" t="s">
        <v>135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71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72"/>
      <c r="B27" s="62"/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70" t="s">
        <v>19</v>
      </c>
      <c r="B29" s="58" t="s">
        <v>13</v>
      </c>
      <c r="C29" s="63"/>
      <c r="D29" s="64"/>
      <c r="E29" s="64"/>
      <c r="F29" s="64"/>
      <c r="G29" s="64"/>
      <c r="H29" s="65"/>
      <c r="I29" s="83"/>
      <c r="J29" s="64"/>
      <c r="K29" s="64"/>
      <c r="L29" s="64"/>
      <c r="M29" s="64"/>
      <c r="N29" s="84"/>
      <c r="O29" s="83"/>
      <c r="P29" s="64"/>
      <c r="Q29" s="64"/>
      <c r="R29" s="64"/>
      <c r="S29" s="64"/>
      <c r="T29" s="84"/>
      <c r="U29" s="83"/>
      <c r="V29" s="64"/>
      <c r="W29" s="64"/>
      <c r="X29" s="64"/>
      <c r="Y29" s="64"/>
      <c r="Z29" s="84"/>
      <c r="AA29" s="83"/>
      <c r="AB29" s="64"/>
      <c r="AC29" s="64"/>
      <c r="AD29" s="64"/>
      <c r="AE29" s="64"/>
      <c r="AF29" s="84"/>
      <c r="AG29" s="83"/>
      <c r="AH29" s="64"/>
      <c r="AI29" s="64"/>
      <c r="AJ29" s="145"/>
      <c r="AK29" s="145"/>
      <c r="AL29" s="65"/>
      <c r="AM29" s="94"/>
      <c r="AN29" s="95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71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83"/>
      <c r="AH30" s="64"/>
      <c r="AI30" s="64"/>
      <c r="AJ30" s="145"/>
      <c r="AK30" s="145"/>
      <c r="AL30" s="65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71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83"/>
      <c r="AH31" s="64"/>
      <c r="AI31" s="64"/>
      <c r="AJ31" s="145"/>
      <c r="AK31" s="145"/>
      <c r="AL31" s="65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71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83"/>
      <c r="AH32" s="64"/>
      <c r="AI32" s="64"/>
      <c r="AJ32" s="145"/>
      <c r="AK32" s="145"/>
      <c r="AL32" s="65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71"/>
      <c r="B33" s="62" t="s">
        <v>135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83"/>
      <c r="AH33" s="64"/>
      <c r="AI33" s="64"/>
      <c r="AJ33" s="145"/>
      <c r="AK33" s="145"/>
      <c r="AL33" s="65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71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83"/>
      <c r="AH34" s="64"/>
      <c r="AI34" s="64"/>
      <c r="AJ34" s="145"/>
      <c r="AK34" s="145"/>
      <c r="AL34" s="65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72"/>
      <c r="B35" s="62"/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83"/>
      <c r="AH35" s="64"/>
      <c r="AI35" s="64"/>
      <c r="AJ35" s="145"/>
      <c r="AK35" s="145"/>
      <c r="AL35" s="65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70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71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71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71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71"/>
      <c r="B41" s="62" t="s">
        <v>135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71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" customHeight="1">
      <c r="A43" s="172"/>
      <c r="B43" s="62"/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70" t="s">
        <v>21</v>
      </c>
      <c r="B44" s="58" t="s">
        <v>13</v>
      </c>
      <c r="C44" s="63"/>
      <c r="D44" s="64"/>
      <c r="E44" s="64"/>
      <c r="F44" s="64"/>
      <c r="G44" s="64"/>
      <c r="H44" s="65"/>
      <c r="I44" s="83"/>
      <c r="J44" s="64"/>
      <c r="K44" s="64"/>
      <c r="L44" s="64"/>
      <c r="M44" s="64"/>
      <c r="N44" s="84"/>
      <c r="O44" s="83"/>
      <c r="P44" s="64"/>
      <c r="Q44" s="64"/>
      <c r="R44" s="64"/>
      <c r="S44" s="64"/>
      <c r="T44" s="84"/>
      <c r="U44" s="83"/>
      <c r="V44" s="64"/>
      <c r="W44" s="64"/>
      <c r="X44" s="64"/>
      <c r="Y44" s="64"/>
      <c r="Z44" s="84"/>
      <c r="AA44" s="83"/>
      <c r="AB44" s="64"/>
      <c r="AC44" s="64"/>
      <c r="AD44" s="64"/>
      <c r="AE44" s="64"/>
      <c r="AF44" s="84"/>
      <c r="AG44" s="83"/>
      <c r="AH44" s="64"/>
      <c r="AI44" s="64"/>
      <c r="AJ44" s="145"/>
      <c r="AK44" s="145"/>
      <c r="AL44" s="65"/>
      <c r="AM44" s="94"/>
      <c r="AN44" s="95"/>
      <c r="AO44" s="99">
        <f t="shared" si="4"/>
        <v>0</v>
      </c>
      <c r="AP44" s="139">
        <f t="shared" si="1"/>
        <v>0</v>
      </c>
    </row>
    <row r="45" spans="1:42" ht="14.25" customHeight="1">
      <c r="A45" s="171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83"/>
      <c r="AH45" s="64"/>
      <c r="AI45" s="64"/>
      <c r="AJ45" s="145"/>
      <c r="AK45" s="145"/>
      <c r="AL45" s="65"/>
      <c r="AM45" s="94"/>
      <c r="AN45" s="95"/>
      <c r="AO45" s="92">
        <f t="shared" si="4"/>
        <v>0</v>
      </c>
      <c r="AP45" s="93">
        <f t="shared" si="1"/>
        <v>0</v>
      </c>
    </row>
    <row r="46" spans="1:42" ht="14.25" customHeight="1">
      <c r="A46" s="171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83"/>
      <c r="AH46" s="64"/>
      <c r="AI46" s="64"/>
      <c r="AJ46" s="145"/>
      <c r="AK46" s="145"/>
      <c r="AL46" s="65"/>
      <c r="AM46" s="94"/>
      <c r="AN46" s="95"/>
      <c r="AO46" s="92">
        <f t="shared" si="4"/>
        <v>0</v>
      </c>
      <c r="AP46" s="93">
        <f t="shared" si="1"/>
        <v>0</v>
      </c>
    </row>
    <row r="47" spans="1:42" ht="14.25" customHeight="1">
      <c r="A47" s="171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83"/>
      <c r="AH47" s="64"/>
      <c r="AI47" s="64"/>
      <c r="AJ47" s="145"/>
      <c r="AK47" s="145"/>
      <c r="AL47" s="65"/>
      <c r="AM47" s="94"/>
      <c r="AN47" s="95"/>
      <c r="AO47" s="92">
        <f t="shared" si="4"/>
        <v>0</v>
      </c>
      <c r="AP47" s="93">
        <f t="shared" si="1"/>
        <v>0</v>
      </c>
    </row>
    <row r="48" spans="1:42" ht="14.25" customHeight="1">
      <c r="A48" s="171"/>
      <c r="B48" s="62" t="s">
        <v>135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/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83"/>
      <c r="AH48" s="64"/>
      <c r="AI48" s="64"/>
      <c r="AJ48" s="145"/>
      <c r="AK48" s="145"/>
      <c r="AL48" s="65"/>
      <c r="AM48" s="63"/>
      <c r="AN48" s="134"/>
      <c r="AO48" s="92">
        <f t="shared" si="4"/>
        <v>0</v>
      </c>
      <c r="AP48" s="93">
        <f t="shared" si="1"/>
        <v>0</v>
      </c>
    </row>
    <row r="49" spans="1:46" ht="14.25" customHeight="1">
      <c r="A49" s="171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/>
      <c r="V49" s="64"/>
      <c r="W49" s="64"/>
      <c r="X49" s="64"/>
      <c r="Y49" s="64"/>
      <c r="Z49" s="84"/>
      <c r="AA49" s="83"/>
      <c r="AB49" s="64"/>
      <c r="AC49" s="64"/>
      <c r="AD49" s="64"/>
      <c r="AE49" s="64"/>
      <c r="AF49" s="84"/>
      <c r="AG49" s="83"/>
      <c r="AH49" s="64"/>
      <c r="AI49" s="64"/>
      <c r="AJ49" s="145"/>
      <c r="AK49" s="145"/>
      <c r="AL49" s="65"/>
      <c r="AM49" s="94"/>
      <c r="AN49" s="95"/>
      <c r="AO49" s="92">
        <f t="shared" si="4"/>
        <v>0</v>
      </c>
      <c r="AP49" s="93">
        <f t="shared" si="1"/>
        <v>0</v>
      </c>
      <c r="AT49" t="s">
        <v>22</v>
      </c>
    </row>
    <row r="50" spans="1:46" ht="14.25" customHeight="1">
      <c r="A50" s="172"/>
      <c r="B50" s="62"/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/>
      <c r="S50" s="64"/>
      <c r="T50" s="84"/>
      <c r="U50" s="83"/>
      <c r="V50" s="64"/>
      <c r="W50" s="64"/>
      <c r="X50" s="64"/>
      <c r="Y50" s="64"/>
      <c r="Z50" s="84"/>
      <c r="AA50" s="83"/>
      <c r="AB50" s="64"/>
      <c r="AC50" s="64"/>
      <c r="AD50" s="64"/>
      <c r="AE50" s="64"/>
      <c r="AF50" s="84"/>
      <c r="AG50" s="83"/>
      <c r="AH50" s="64"/>
      <c r="AI50" s="64"/>
      <c r="AJ50" s="145"/>
      <c r="AK50" s="145"/>
      <c r="AL50" s="65"/>
      <c r="AM50" s="94"/>
      <c r="AN50" s="95"/>
      <c r="AO50" s="92">
        <f t="shared" si="4"/>
        <v>0</v>
      </c>
      <c r="AP50" s="93">
        <f>AO50*20</f>
        <v>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70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71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71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71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71"/>
      <c r="B56" s="62" t="s">
        <v>135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71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72"/>
      <c r="B58" s="62"/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65" t="s">
        <v>25</v>
      </c>
      <c r="C61" s="165"/>
      <c r="D61" s="165"/>
      <c r="E61" s="73"/>
      <c r="F61" s="176" t="s">
        <v>26</v>
      </c>
      <c r="G61" s="176"/>
      <c r="H61" s="176"/>
      <c r="I61" s="176"/>
      <c r="J61" s="176"/>
      <c r="K61" s="176"/>
      <c r="L61" s="176"/>
      <c r="M61" s="176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65"/>
      <c r="C62" s="165"/>
      <c r="D62" s="165"/>
      <c r="E62" s="73"/>
      <c r="F62" s="177" t="s">
        <v>27</v>
      </c>
      <c r="G62" s="177"/>
      <c r="H62" s="177"/>
      <c r="I62" s="177"/>
      <c r="J62" s="177" t="s">
        <v>28</v>
      </c>
      <c r="K62" s="177"/>
      <c r="L62" s="177"/>
      <c r="M62" s="177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0</v>
      </c>
      <c r="D63" s="52">
        <f>SUM(AP13:AP19)</f>
        <v>0</v>
      </c>
      <c r="E63" s="68"/>
      <c r="F63" s="178"/>
      <c r="G63" s="166"/>
      <c r="H63" s="166"/>
      <c r="I63" s="166"/>
      <c r="J63" s="179"/>
      <c r="K63" s="179"/>
      <c r="L63" s="179"/>
      <c r="M63" s="180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66"/>
      <c r="G64" s="166"/>
      <c r="H64" s="166"/>
      <c r="I64" s="166"/>
      <c r="J64" s="167"/>
      <c r="K64" s="168"/>
      <c r="L64" s="168"/>
      <c r="M64" s="168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0</v>
      </c>
      <c r="D67" s="52">
        <f>SUM(AP44:AP50)</f>
        <v>0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0</v>
      </c>
      <c r="D69" s="80">
        <f>SUM(D63:D68)</f>
        <v>0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69" t="s">
        <v>31</v>
      </c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  <c r="AL71" s="169"/>
      <c r="AM71" s="169"/>
      <c r="AN71" s="169"/>
      <c r="AO71" s="169"/>
      <c r="AP71" s="169"/>
    </row>
    <row r="72" spans="1:42">
      <c r="C72" s="162" t="s">
        <v>0</v>
      </c>
      <c r="D72" s="162"/>
      <c r="E72" s="162"/>
      <c r="F72" s="162"/>
      <c r="G72" s="162"/>
      <c r="H72" s="163"/>
      <c r="I72" s="162" t="s">
        <v>1</v>
      </c>
      <c r="J72" s="162"/>
      <c r="K72" s="162"/>
      <c r="L72" s="162"/>
      <c r="M72" s="162"/>
      <c r="N72" s="163"/>
      <c r="O72" s="161" t="s">
        <v>2</v>
      </c>
      <c r="P72" s="162"/>
      <c r="Q72" s="162"/>
      <c r="R72" s="162"/>
      <c r="S72" s="162"/>
      <c r="T72" s="163"/>
      <c r="U72" s="162" t="s">
        <v>32</v>
      </c>
      <c r="V72" s="162"/>
      <c r="W72" s="162"/>
      <c r="X72" s="162"/>
      <c r="Y72" s="162"/>
      <c r="Z72" s="163"/>
      <c r="AA72" s="162" t="s">
        <v>4</v>
      </c>
      <c r="AB72" s="162"/>
      <c r="AC72" s="162"/>
      <c r="AD72" s="162"/>
      <c r="AE72" s="162"/>
      <c r="AF72" s="163"/>
      <c r="AG72" s="162" t="s">
        <v>5</v>
      </c>
      <c r="AH72" s="162"/>
      <c r="AI72" s="162"/>
      <c r="AJ72" s="162"/>
      <c r="AK72" s="162"/>
      <c r="AL72" s="163"/>
      <c r="AM72" s="174" t="s">
        <v>6</v>
      </c>
      <c r="AN72" s="164" t="s">
        <v>7</v>
      </c>
      <c r="AO72" s="96"/>
      <c r="AP72" s="96"/>
    </row>
    <row r="73" spans="1:42">
      <c r="A73" s="173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174"/>
      <c r="AN73" s="164"/>
      <c r="AO73" s="116" t="s">
        <v>10</v>
      </c>
      <c r="AP73" s="117" t="s">
        <v>11</v>
      </c>
    </row>
    <row r="74" spans="1:42" ht="15" customHeight="1">
      <c r="A74" s="173"/>
      <c r="B74" s="105" t="s">
        <v>34</v>
      </c>
      <c r="C74" s="17">
        <f t="shared" ref="C74:AN80" si="5">SUM(C13+C21+C29+C37+C44+C52)</f>
        <v>0</v>
      </c>
      <c r="D74" s="17">
        <f t="shared" si="5"/>
        <v>0</v>
      </c>
      <c r="E74" s="17">
        <f t="shared" si="5"/>
        <v>0</v>
      </c>
      <c r="F74" s="17">
        <f t="shared" si="5"/>
        <v>0</v>
      </c>
      <c r="G74" s="17">
        <f t="shared" si="5"/>
        <v>0</v>
      </c>
      <c r="H74" s="106">
        <f t="shared" si="5"/>
        <v>0</v>
      </c>
      <c r="I74" s="17">
        <f t="shared" si="5"/>
        <v>0</v>
      </c>
      <c r="J74" s="17">
        <f t="shared" si="5"/>
        <v>0</v>
      </c>
      <c r="K74" s="17">
        <f t="shared" si="5"/>
        <v>0</v>
      </c>
      <c r="L74" s="17">
        <f t="shared" si="5"/>
        <v>0</v>
      </c>
      <c r="M74" s="17">
        <f t="shared" si="5"/>
        <v>0</v>
      </c>
      <c r="N74" s="114">
        <f t="shared" si="5"/>
        <v>0</v>
      </c>
      <c r="O74" s="17">
        <f t="shared" si="5"/>
        <v>0</v>
      </c>
      <c r="P74" s="17">
        <f t="shared" si="5"/>
        <v>0</v>
      </c>
      <c r="Q74" s="17">
        <f t="shared" si="5"/>
        <v>0</v>
      </c>
      <c r="R74" s="17">
        <f t="shared" si="5"/>
        <v>0</v>
      </c>
      <c r="S74" s="17">
        <f t="shared" si="5"/>
        <v>0</v>
      </c>
      <c r="T74" s="114">
        <f t="shared" si="5"/>
        <v>0</v>
      </c>
      <c r="U74" s="17">
        <f t="shared" si="5"/>
        <v>0</v>
      </c>
      <c r="V74" s="17">
        <f t="shared" si="5"/>
        <v>0</v>
      </c>
      <c r="W74" s="17">
        <f t="shared" si="5"/>
        <v>0</v>
      </c>
      <c r="X74" s="17">
        <f t="shared" si="5"/>
        <v>0</v>
      </c>
      <c r="Y74" s="17">
        <f t="shared" si="5"/>
        <v>0</v>
      </c>
      <c r="Z74" s="114">
        <f t="shared" si="5"/>
        <v>0</v>
      </c>
      <c r="AA74" s="17">
        <f t="shared" si="5"/>
        <v>0</v>
      </c>
      <c r="AB74" s="17">
        <f t="shared" si="5"/>
        <v>0</v>
      </c>
      <c r="AC74" s="17">
        <f t="shared" si="5"/>
        <v>0</v>
      </c>
      <c r="AD74" s="17">
        <f t="shared" si="5"/>
        <v>0</v>
      </c>
      <c r="AE74" s="17">
        <f t="shared" si="5"/>
        <v>0</v>
      </c>
      <c r="AF74" s="114">
        <f t="shared" si="5"/>
        <v>0</v>
      </c>
      <c r="AG74" s="17">
        <f t="shared" si="5"/>
        <v>0</v>
      </c>
      <c r="AH74" s="17">
        <f t="shared" si="5"/>
        <v>0</v>
      </c>
      <c r="AI74" s="17">
        <f t="shared" si="5"/>
        <v>0</v>
      </c>
      <c r="AJ74" s="17">
        <f t="shared" si="5"/>
        <v>0</v>
      </c>
      <c r="AK74" s="17">
        <f t="shared" si="5"/>
        <v>0</v>
      </c>
      <c r="AL74" s="17">
        <f t="shared" si="5"/>
        <v>0</v>
      </c>
      <c r="AM74" s="17">
        <f t="shared" si="5"/>
        <v>0</v>
      </c>
      <c r="AN74" s="114">
        <f t="shared" si="5"/>
        <v>0</v>
      </c>
      <c r="AO74" s="52">
        <f>SUM(C74:AN74)</f>
        <v>0</v>
      </c>
      <c r="AP74" s="118">
        <f>AO74*25</f>
        <v>0</v>
      </c>
    </row>
    <row r="75" spans="1:42">
      <c r="A75" s="173"/>
      <c r="B75" s="105" t="s">
        <v>14</v>
      </c>
      <c r="C75" s="17">
        <f t="shared" si="5"/>
        <v>0</v>
      </c>
      <c r="D75" s="17">
        <f t="shared" si="5"/>
        <v>0</v>
      </c>
      <c r="E75" s="17">
        <f t="shared" si="5"/>
        <v>0</v>
      </c>
      <c r="F75" s="17">
        <f t="shared" si="5"/>
        <v>0</v>
      </c>
      <c r="G75" s="17">
        <f t="shared" si="5"/>
        <v>0</v>
      </c>
      <c r="H75" s="106">
        <f t="shared" si="5"/>
        <v>0</v>
      </c>
      <c r="I75" s="17">
        <f t="shared" si="5"/>
        <v>0</v>
      </c>
      <c r="J75" s="17">
        <f t="shared" si="5"/>
        <v>0</v>
      </c>
      <c r="K75" s="17">
        <f t="shared" si="5"/>
        <v>0</v>
      </c>
      <c r="L75" s="17">
        <f t="shared" si="5"/>
        <v>0</v>
      </c>
      <c r="M75" s="17">
        <f t="shared" si="5"/>
        <v>0</v>
      </c>
      <c r="N75" s="114">
        <f t="shared" si="5"/>
        <v>0</v>
      </c>
      <c r="O75" s="17">
        <f t="shared" si="5"/>
        <v>0</v>
      </c>
      <c r="P75" s="17">
        <f t="shared" si="5"/>
        <v>0</v>
      </c>
      <c r="Q75" s="17">
        <f t="shared" si="5"/>
        <v>0</v>
      </c>
      <c r="R75" s="17">
        <f t="shared" si="5"/>
        <v>0</v>
      </c>
      <c r="S75" s="17">
        <f t="shared" si="5"/>
        <v>0</v>
      </c>
      <c r="T75" s="114">
        <f t="shared" si="5"/>
        <v>0</v>
      </c>
      <c r="U75" s="17">
        <f t="shared" si="5"/>
        <v>0</v>
      </c>
      <c r="V75" s="17">
        <f t="shared" si="5"/>
        <v>0</v>
      </c>
      <c r="W75" s="17">
        <f t="shared" si="5"/>
        <v>0</v>
      </c>
      <c r="X75" s="17">
        <f t="shared" si="5"/>
        <v>0</v>
      </c>
      <c r="Y75" s="17">
        <f t="shared" si="5"/>
        <v>0</v>
      </c>
      <c r="Z75" s="114">
        <f t="shared" si="5"/>
        <v>0</v>
      </c>
      <c r="AA75" s="17">
        <f t="shared" si="5"/>
        <v>0</v>
      </c>
      <c r="AB75" s="17">
        <f t="shared" si="5"/>
        <v>0</v>
      </c>
      <c r="AC75" s="17">
        <f t="shared" si="5"/>
        <v>0</v>
      </c>
      <c r="AD75" s="17">
        <f t="shared" si="5"/>
        <v>0</v>
      </c>
      <c r="AE75" s="17">
        <f t="shared" si="5"/>
        <v>0</v>
      </c>
      <c r="AF75" s="114">
        <f t="shared" si="5"/>
        <v>0</v>
      </c>
      <c r="AG75" s="17">
        <f t="shared" si="5"/>
        <v>0</v>
      </c>
      <c r="AH75" s="17">
        <f t="shared" si="5"/>
        <v>0</v>
      </c>
      <c r="AI75" s="17">
        <f t="shared" si="5"/>
        <v>0</v>
      </c>
      <c r="AJ75" s="17">
        <f t="shared" si="5"/>
        <v>0</v>
      </c>
      <c r="AK75" s="17">
        <f t="shared" si="5"/>
        <v>0</v>
      </c>
      <c r="AL75" s="17">
        <f t="shared" si="5"/>
        <v>0</v>
      </c>
      <c r="AM75" s="17">
        <f t="shared" si="5"/>
        <v>0</v>
      </c>
      <c r="AN75" s="114">
        <f t="shared" si="5"/>
        <v>0</v>
      </c>
      <c r="AO75" s="52">
        <f t="shared" ref="AO75:AO80" si="6">SUM(C75:AN75)</f>
        <v>0</v>
      </c>
      <c r="AP75" s="118">
        <f t="shared" ref="AP75:AP79" si="7">AO75*25</f>
        <v>0</v>
      </c>
    </row>
    <row r="76" spans="1:42">
      <c r="A76" s="173"/>
      <c r="B76" s="105" t="s">
        <v>15</v>
      </c>
      <c r="C76" s="17">
        <f t="shared" si="5"/>
        <v>0</v>
      </c>
      <c r="D76" s="17">
        <f t="shared" si="5"/>
        <v>0</v>
      </c>
      <c r="E76" s="17">
        <f t="shared" si="5"/>
        <v>0</v>
      </c>
      <c r="F76" s="17">
        <f t="shared" si="5"/>
        <v>0</v>
      </c>
      <c r="G76" s="17">
        <f t="shared" si="5"/>
        <v>0</v>
      </c>
      <c r="H76" s="106">
        <f t="shared" si="5"/>
        <v>0</v>
      </c>
      <c r="I76" s="17">
        <f t="shared" si="5"/>
        <v>0</v>
      </c>
      <c r="J76" s="17">
        <f t="shared" si="5"/>
        <v>0</v>
      </c>
      <c r="K76" s="17">
        <f t="shared" si="5"/>
        <v>0</v>
      </c>
      <c r="L76" s="17">
        <f t="shared" si="5"/>
        <v>0</v>
      </c>
      <c r="M76" s="17">
        <f t="shared" si="5"/>
        <v>0</v>
      </c>
      <c r="N76" s="114">
        <f t="shared" si="5"/>
        <v>0</v>
      </c>
      <c r="O76" s="17">
        <f t="shared" si="5"/>
        <v>0</v>
      </c>
      <c r="P76" s="17">
        <f t="shared" si="5"/>
        <v>0</v>
      </c>
      <c r="Q76" s="17">
        <f t="shared" si="5"/>
        <v>0</v>
      </c>
      <c r="R76" s="17">
        <f t="shared" si="5"/>
        <v>0</v>
      </c>
      <c r="S76" s="17">
        <f t="shared" si="5"/>
        <v>0</v>
      </c>
      <c r="T76" s="114">
        <f t="shared" si="5"/>
        <v>0</v>
      </c>
      <c r="U76" s="17">
        <f t="shared" si="5"/>
        <v>0</v>
      </c>
      <c r="V76" s="17">
        <f t="shared" si="5"/>
        <v>0</v>
      </c>
      <c r="W76" s="17">
        <f t="shared" si="5"/>
        <v>0</v>
      </c>
      <c r="X76" s="17">
        <f t="shared" si="5"/>
        <v>0</v>
      </c>
      <c r="Y76" s="17">
        <f t="shared" si="5"/>
        <v>0</v>
      </c>
      <c r="Z76" s="114">
        <f t="shared" si="5"/>
        <v>0</v>
      </c>
      <c r="AA76" s="17">
        <f t="shared" si="5"/>
        <v>0</v>
      </c>
      <c r="AB76" s="17">
        <f t="shared" si="5"/>
        <v>0</v>
      </c>
      <c r="AC76" s="17">
        <f t="shared" si="5"/>
        <v>0</v>
      </c>
      <c r="AD76" s="17">
        <f t="shared" si="5"/>
        <v>0</v>
      </c>
      <c r="AE76" s="17">
        <f t="shared" si="5"/>
        <v>0</v>
      </c>
      <c r="AF76" s="114">
        <f t="shared" si="5"/>
        <v>0</v>
      </c>
      <c r="AG76" s="17">
        <f t="shared" si="5"/>
        <v>0</v>
      </c>
      <c r="AH76" s="17">
        <f t="shared" si="5"/>
        <v>0</v>
      </c>
      <c r="AI76" s="17">
        <f t="shared" si="5"/>
        <v>0</v>
      </c>
      <c r="AJ76" s="17">
        <f t="shared" si="5"/>
        <v>0</v>
      </c>
      <c r="AK76" s="17">
        <f t="shared" si="5"/>
        <v>0</v>
      </c>
      <c r="AL76" s="17">
        <f t="shared" si="5"/>
        <v>0</v>
      </c>
      <c r="AM76" s="17">
        <f t="shared" si="5"/>
        <v>0</v>
      </c>
      <c r="AN76" s="114">
        <f t="shared" si="5"/>
        <v>0</v>
      </c>
      <c r="AO76" s="52">
        <f t="shared" si="6"/>
        <v>0</v>
      </c>
      <c r="AP76" s="118">
        <f t="shared" si="7"/>
        <v>0</v>
      </c>
    </row>
    <row r="77" spans="1:42">
      <c r="A77" s="173"/>
      <c r="B77" s="105" t="s">
        <v>131</v>
      </c>
      <c r="C77" s="17">
        <f t="shared" si="5"/>
        <v>0</v>
      </c>
      <c r="D77" s="17">
        <f t="shared" si="5"/>
        <v>0</v>
      </c>
      <c r="E77" s="17">
        <f t="shared" si="5"/>
        <v>0</v>
      </c>
      <c r="F77" s="17">
        <f t="shared" si="5"/>
        <v>0</v>
      </c>
      <c r="G77" s="17">
        <f t="shared" si="5"/>
        <v>0</v>
      </c>
      <c r="H77" s="106">
        <f t="shared" si="5"/>
        <v>0</v>
      </c>
      <c r="I77" s="17">
        <f t="shared" si="5"/>
        <v>0</v>
      </c>
      <c r="J77" s="17">
        <f t="shared" si="5"/>
        <v>0</v>
      </c>
      <c r="K77" s="17">
        <f t="shared" si="5"/>
        <v>0</v>
      </c>
      <c r="L77" s="17">
        <f t="shared" si="5"/>
        <v>0</v>
      </c>
      <c r="M77" s="17">
        <f t="shared" si="5"/>
        <v>0</v>
      </c>
      <c r="N77" s="114">
        <f t="shared" si="5"/>
        <v>0</v>
      </c>
      <c r="O77" s="17">
        <f t="shared" si="5"/>
        <v>0</v>
      </c>
      <c r="P77" s="17">
        <f t="shared" si="5"/>
        <v>0</v>
      </c>
      <c r="Q77" s="17">
        <f t="shared" si="5"/>
        <v>0</v>
      </c>
      <c r="R77" s="17">
        <f t="shared" si="5"/>
        <v>0</v>
      </c>
      <c r="S77" s="17">
        <f t="shared" si="5"/>
        <v>0</v>
      </c>
      <c r="T77" s="114">
        <f t="shared" si="5"/>
        <v>0</v>
      </c>
      <c r="U77" s="17">
        <f t="shared" si="5"/>
        <v>0</v>
      </c>
      <c r="V77" s="17">
        <f t="shared" si="5"/>
        <v>0</v>
      </c>
      <c r="W77" s="17">
        <f t="shared" si="5"/>
        <v>0</v>
      </c>
      <c r="X77" s="17">
        <f t="shared" si="5"/>
        <v>0</v>
      </c>
      <c r="Y77" s="17">
        <f t="shared" si="5"/>
        <v>0</v>
      </c>
      <c r="Z77" s="114">
        <f t="shared" si="5"/>
        <v>0</v>
      </c>
      <c r="AA77" s="17">
        <f t="shared" si="5"/>
        <v>0</v>
      </c>
      <c r="AB77" s="17">
        <f t="shared" si="5"/>
        <v>0</v>
      </c>
      <c r="AC77" s="17">
        <f t="shared" si="5"/>
        <v>0</v>
      </c>
      <c r="AD77" s="17">
        <f t="shared" si="5"/>
        <v>0</v>
      </c>
      <c r="AE77" s="17">
        <f t="shared" si="5"/>
        <v>0</v>
      </c>
      <c r="AF77" s="114">
        <f t="shared" si="5"/>
        <v>0</v>
      </c>
      <c r="AG77" s="17">
        <f t="shared" si="5"/>
        <v>0</v>
      </c>
      <c r="AH77" s="17">
        <f t="shared" si="5"/>
        <v>0</v>
      </c>
      <c r="AI77" s="17">
        <f t="shared" si="5"/>
        <v>0</v>
      </c>
      <c r="AJ77" s="17">
        <f t="shared" si="5"/>
        <v>0</v>
      </c>
      <c r="AK77" s="17">
        <f t="shared" si="5"/>
        <v>0</v>
      </c>
      <c r="AL77" s="17">
        <f t="shared" si="5"/>
        <v>0</v>
      </c>
      <c r="AM77" s="17">
        <f t="shared" si="5"/>
        <v>0</v>
      </c>
      <c r="AN77" s="114">
        <f t="shared" si="5"/>
        <v>0</v>
      </c>
      <c r="AO77" s="52">
        <f t="shared" si="6"/>
        <v>0</v>
      </c>
      <c r="AP77" s="118">
        <f t="shared" si="7"/>
        <v>0</v>
      </c>
    </row>
    <row r="78" spans="1:42">
      <c r="A78" s="173"/>
      <c r="B78" s="105" t="s">
        <v>16</v>
      </c>
      <c r="C78" s="17">
        <f t="shared" si="5"/>
        <v>0</v>
      </c>
      <c r="D78" s="17">
        <f t="shared" si="5"/>
        <v>0</v>
      </c>
      <c r="E78" s="17">
        <f t="shared" si="5"/>
        <v>0</v>
      </c>
      <c r="F78" s="17">
        <f t="shared" si="5"/>
        <v>0</v>
      </c>
      <c r="G78" s="17">
        <f t="shared" si="5"/>
        <v>0</v>
      </c>
      <c r="H78" s="106">
        <f t="shared" si="5"/>
        <v>0</v>
      </c>
      <c r="I78" s="17">
        <f t="shared" si="5"/>
        <v>0</v>
      </c>
      <c r="J78" s="17">
        <f t="shared" si="5"/>
        <v>0</v>
      </c>
      <c r="K78" s="17">
        <f t="shared" si="5"/>
        <v>0</v>
      </c>
      <c r="L78" s="17">
        <f t="shared" si="5"/>
        <v>0</v>
      </c>
      <c r="M78" s="17">
        <f t="shared" si="5"/>
        <v>0</v>
      </c>
      <c r="N78" s="114">
        <f t="shared" si="5"/>
        <v>0</v>
      </c>
      <c r="O78" s="17">
        <f t="shared" si="5"/>
        <v>0</v>
      </c>
      <c r="P78" s="17">
        <f t="shared" si="5"/>
        <v>0</v>
      </c>
      <c r="Q78" s="17">
        <f t="shared" si="5"/>
        <v>0</v>
      </c>
      <c r="R78" s="17">
        <f t="shared" si="5"/>
        <v>0</v>
      </c>
      <c r="S78" s="17">
        <f t="shared" si="5"/>
        <v>0</v>
      </c>
      <c r="T78" s="114">
        <f t="shared" si="5"/>
        <v>0</v>
      </c>
      <c r="U78" s="17">
        <f t="shared" si="5"/>
        <v>0</v>
      </c>
      <c r="V78" s="17">
        <f t="shared" si="5"/>
        <v>0</v>
      </c>
      <c r="W78" s="17">
        <f t="shared" si="5"/>
        <v>0</v>
      </c>
      <c r="X78" s="17">
        <f t="shared" si="5"/>
        <v>0</v>
      </c>
      <c r="Y78" s="17">
        <f t="shared" si="5"/>
        <v>0</v>
      </c>
      <c r="Z78" s="114">
        <f t="shared" si="5"/>
        <v>0</v>
      </c>
      <c r="AA78" s="17">
        <f t="shared" si="5"/>
        <v>0</v>
      </c>
      <c r="AB78" s="17">
        <f t="shared" si="5"/>
        <v>0</v>
      </c>
      <c r="AC78" s="17">
        <f t="shared" si="5"/>
        <v>0</v>
      </c>
      <c r="AD78" s="17">
        <f t="shared" si="5"/>
        <v>0</v>
      </c>
      <c r="AE78" s="17">
        <f t="shared" si="5"/>
        <v>0</v>
      </c>
      <c r="AF78" s="114">
        <f t="shared" si="5"/>
        <v>0</v>
      </c>
      <c r="AG78" s="17">
        <f t="shared" si="5"/>
        <v>0</v>
      </c>
      <c r="AH78" s="17">
        <f t="shared" si="5"/>
        <v>0</v>
      </c>
      <c r="AI78" s="17">
        <f t="shared" si="5"/>
        <v>0</v>
      </c>
      <c r="AJ78" s="17">
        <f t="shared" si="5"/>
        <v>0</v>
      </c>
      <c r="AK78" s="17">
        <f t="shared" si="5"/>
        <v>0</v>
      </c>
      <c r="AL78" s="17">
        <f t="shared" si="5"/>
        <v>0</v>
      </c>
      <c r="AM78" s="17">
        <f t="shared" si="5"/>
        <v>0</v>
      </c>
      <c r="AN78" s="114">
        <f t="shared" si="5"/>
        <v>0</v>
      </c>
      <c r="AO78" s="52">
        <f t="shared" si="6"/>
        <v>0</v>
      </c>
      <c r="AP78" s="118">
        <f t="shared" si="7"/>
        <v>0</v>
      </c>
    </row>
    <row r="79" spans="1:42">
      <c r="A79" s="173"/>
      <c r="B79" s="105" t="s">
        <v>17</v>
      </c>
      <c r="C79" s="17">
        <f t="shared" si="5"/>
        <v>0</v>
      </c>
      <c r="D79" s="17">
        <f t="shared" si="5"/>
        <v>0</v>
      </c>
      <c r="E79" s="17">
        <f t="shared" si="5"/>
        <v>0</v>
      </c>
      <c r="F79" s="17">
        <f t="shared" si="5"/>
        <v>0</v>
      </c>
      <c r="G79" s="17">
        <f t="shared" si="5"/>
        <v>0</v>
      </c>
      <c r="H79" s="106">
        <f t="shared" si="5"/>
        <v>0</v>
      </c>
      <c r="I79" s="17">
        <f t="shared" si="5"/>
        <v>0</v>
      </c>
      <c r="J79" s="17">
        <f t="shared" si="5"/>
        <v>0</v>
      </c>
      <c r="K79" s="17">
        <f t="shared" si="5"/>
        <v>0</v>
      </c>
      <c r="L79" s="17">
        <f t="shared" si="5"/>
        <v>0</v>
      </c>
      <c r="M79" s="17">
        <f t="shared" si="5"/>
        <v>0</v>
      </c>
      <c r="N79" s="114">
        <f t="shared" si="5"/>
        <v>0</v>
      </c>
      <c r="O79" s="17">
        <f t="shared" si="5"/>
        <v>0</v>
      </c>
      <c r="P79" s="17">
        <f t="shared" si="5"/>
        <v>0</v>
      </c>
      <c r="Q79" s="17">
        <f t="shared" si="5"/>
        <v>0</v>
      </c>
      <c r="R79" s="17">
        <f t="shared" si="5"/>
        <v>0</v>
      </c>
      <c r="S79" s="17">
        <f t="shared" si="5"/>
        <v>0</v>
      </c>
      <c r="T79" s="114">
        <f t="shared" si="5"/>
        <v>0</v>
      </c>
      <c r="U79" s="17">
        <f t="shared" si="5"/>
        <v>0</v>
      </c>
      <c r="V79" s="17">
        <f t="shared" si="5"/>
        <v>0</v>
      </c>
      <c r="W79" s="17">
        <f t="shared" si="5"/>
        <v>0</v>
      </c>
      <c r="X79" s="17">
        <f t="shared" si="5"/>
        <v>0</v>
      </c>
      <c r="Y79" s="17">
        <f t="shared" si="5"/>
        <v>0</v>
      </c>
      <c r="Z79" s="114">
        <f t="shared" si="5"/>
        <v>0</v>
      </c>
      <c r="AA79" s="17">
        <f t="shared" si="5"/>
        <v>0</v>
      </c>
      <c r="AB79" s="17">
        <f t="shared" si="5"/>
        <v>0</v>
      </c>
      <c r="AC79" s="17">
        <f t="shared" si="5"/>
        <v>0</v>
      </c>
      <c r="AD79" s="17">
        <f t="shared" si="5"/>
        <v>0</v>
      </c>
      <c r="AE79" s="17">
        <f t="shared" si="5"/>
        <v>0</v>
      </c>
      <c r="AF79" s="114">
        <f t="shared" si="5"/>
        <v>0</v>
      </c>
      <c r="AG79" s="17">
        <f t="shared" si="5"/>
        <v>0</v>
      </c>
      <c r="AH79" s="17">
        <f t="shared" si="5"/>
        <v>0</v>
      </c>
      <c r="AI79" s="17">
        <f t="shared" si="5"/>
        <v>0</v>
      </c>
      <c r="AJ79" s="17">
        <f t="shared" si="5"/>
        <v>0</v>
      </c>
      <c r="AK79" s="17">
        <f t="shared" si="5"/>
        <v>0</v>
      </c>
      <c r="AL79" s="17">
        <f t="shared" si="5"/>
        <v>0</v>
      </c>
      <c r="AM79" s="17">
        <f t="shared" si="5"/>
        <v>0</v>
      </c>
      <c r="AN79" s="114">
        <f t="shared" si="5"/>
        <v>0</v>
      </c>
      <c r="AO79" s="52">
        <f t="shared" si="6"/>
        <v>0</v>
      </c>
      <c r="AP79" s="118">
        <f t="shared" si="7"/>
        <v>0</v>
      </c>
    </row>
    <row r="80" spans="1:42">
      <c r="A80" s="173"/>
      <c r="B80" s="105" t="s">
        <v>23</v>
      </c>
      <c r="C80" s="17">
        <f t="shared" si="5"/>
        <v>0</v>
      </c>
      <c r="D80" s="17">
        <f t="shared" si="5"/>
        <v>0</v>
      </c>
      <c r="E80" s="17">
        <f t="shared" si="5"/>
        <v>0</v>
      </c>
      <c r="F80" s="17">
        <f t="shared" si="5"/>
        <v>0</v>
      </c>
      <c r="G80" s="17">
        <f t="shared" si="5"/>
        <v>0</v>
      </c>
      <c r="H80" s="122">
        <f t="shared" si="5"/>
        <v>0</v>
      </c>
      <c r="I80" s="17">
        <f t="shared" si="5"/>
        <v>0</v>
      </c>
      <c r="J80" s="17">
        <f t="shared" si="5"/>
        <v>0</v>
      </c>
      <c r="K80" s="17">
        <f t="shared" si="5"/>
        <v>0</v>
      </c>
      <c r="L80" s="17">
        <f t="shared" si="5"/>
        <v>0</v>
      </c>
      <c r="M80" s="17">
        <f t="shared" si="5"/>
        <v>0</v>
      </c>
      <c r="N80" s="114">
        <f t="shared" si="5"/>
        <v>0</v>
      </c>
      <c r="O80" s="17">
        <f t="shared" si="5"/>
        <v>0</v>
      </c>
      <c r="P80" s="17">
        <f t="shared" si="5"/>
        <v>0</v>
      </c>
      <c r="Q80" s="17">
        <f t="shared" si="5"/>
        <v>0</v>
      </c>
      <c r="R80" s="17">
        <f t="shared" si="5"/>
        <v>0</v>
      </c>
      <c r="S80" s="17">
        <f t="shared" si="5"/>
        <v>0</v>
      </c>
      <c r="T80" s="114">
        <f t="shared" si="5"/>
        <v>0</v>
      </c>
      <c r="U80" s="17">
        <f t="shared" si="5"/>
        <v>0</v>
      </c>
      <c r="V80" s="17">
        <f t="shared" si="5"/>
        <v>0</v>
      </c>
      <c r="W80" s="17">
        <f t="shared" si="5"/>
        <v>0</v>
      </c>
      <c r="X80" s="17">
        <f t="shared" si="5"/>
        <v>0</v>
      </c>
      <c r="Y80" s="17">
        <f t="shared" si="5"/>
        <v>0</v>
      </c>
      <c r="Z80" s="114">
        <f t="shared" si="5"/>
        <v>0</v>
      </c>
      <c r="AA80" s="17">
        <f t="shared" si="5"/>
        <v>0</v>
      </c>
      <c r="AB80" s="17">
        <f t="shared" si="5"/>
        <v>0</v>
      </c>
      <c r="AC80" s="17">
        <f t="shared" si="5"/>
        <v>0</v>
      </c>
      <c r="AD80" s="17">
        <f t="shared" ref="AD80:AN80" si="8">SUM(AD19+AD27+AD35+AD43+AD50+AD58)</f>
        <v>0</v>
      </c>
      <c r="AE80" s="17">
        <f t="shared" si="8"/>
        <v>0</v>
      </c>
      <c r="AF80" s="114">
        <f t="shared" si="8"/>
        <v>0</v>
      </c>
      <c r="AG80" s="17">
        <f t="shared" si="8"/>
        <v>0</v>
      </c>
      <c r="AH80" s="17">
        <f t="shared" si="8"/>
        <v>0</v>
      </c>
      <c r="AI80" s="17">
        <f t="shared" si="8"/>
        <v>0</v>
      </c>
      <c r="AJ80" s="17">
        <f t="shared" si="8"/>
        <v>0</v>
      </c>
      <c r="AK80" s="17">
        <f t="shared" si="8"/>
        <v>0</v>
      </c>
      <c r="AL80" s="17">
        <f t="shared" si="8"/>
        <v>0</v>
      </c>
      <c r="AM80" s="17">
        <f t="shared" si="8"/>
        <v>0</v>
      </c>
      <c r="AN80" s="114">
        <f t="shared" si="8"/>
        <v>0</v>
      </c>
      <c r="AO80" s="52">
        <f t="shared" si="6"/>
        <v>0</v>
      </c>
      <c r="AP80" s="118">
        <f>AO80*20</f>
        <v>0</v>
      </c>
    </row>
    <row r="81" spans="1:42" ht="17.25" customHeight="1">
      <c r="C81" s="11">
        <f>SUM(C74:C80)</f>
        <v>0</v>
      </c>
      <c r="D81" s="11">
        <f t="shared" ref="D81:AN81" si="9">SUM(D74:D80)</f>
        <v>0</v>
      </c>
      <c r="E81" s="11">
        <f t="shared" si="9"/>
        <v>0</v>
      </c>
      <c r="F81" s="11">
        <f t="shared" si="9"/>
        <v>0</v>
      </c>
      <c r="G81" s="11">
        <f t="shared" si="9"/>
        <v>0</v>
      </c>
      <c r="H81" s="123">
        <f t="shared" si="9"/>
        <v>0</v>
      </c>
      <c r="I81" s="11">
        <f t="shared" si="9"/>
        <v>0</v>
      </c>
      <c r="J81" s="11">
        <f t="shared" si="9"/>
        <v>0</v>
      </c>
      <c r="K81" s="11">
        <f t="shared" si="9"/>
        <v>0</v>
      </c>
      <c r="L81" s="11">
        <f t="shared" si="9"/>
        <v>0</v>
      </c>
      <c r="M81" s="11">
        <f t="shared" si="9"/>
        <v>0</v>
      </c>
      <c r="N81" s="124">
        <f t="shared" si="9"/>
        <v>0</v>
      </c>
      <c r="O81" s="11">
        <f t="shared" si="9"/>
        <v>0</v>
      </c>
      <c r="P81" s="11">
        <f t="shared" si="9"/>
        <v>0</v>
      </c>
      <c r="Q81" s="11">
        <f t="shared" si="9"/>
        <v>0</v>
      </c>
      <c r="R81" s="11">
        <f t="shared" si="9"/>
        <v>0</v>
      </c>
      <c r="S81" s="11">
        <f t="shared" si="9"/>
        <v>0</v>
      </c>
      <c r="T81" s="124">
        <f t="shared" si="9"/>
        <v>0</v>
      </c>
      <c r="U81" s="11">
        <f t="shared" si="9"/>
        <v>0</v>
      </c>
      <c r="V81" s="11">
        <f t="shared" si="9"/>
        <v>0</v>
      </c>
      <c r="W81" s="11">
        <f t="shared" si="9"/>
        <v>0</v>
      </c>
      <c r="X81" s="11">
        <f t="shared" si="9"/>
        <v>0</v>
      </c>
      <c r="Y81" s="11">
        <f t="shared" si="9"/>
        <v>0</v>
      </c>
      <c r="Z81" s="124">
        <f t="shared" si="9"/>
        <v>0</v>
      </c>
      <c r="AA81" s="11">
        <f t="shared" si="9"/>
        <v>0</v>
      </c>
      <c r="AB81" s="11">
        <f t="shared" si="9"/>
        <v>0</v>
      </c>
      <c r="AC81" s="11">
        <f t="shared" si="9"/>
        <v>0</v>
      </c>
      <c r="AD81" s="11">
        <f t="shared" si="9"/>
        <v>0</v>
      </c>
      <c r="AE81" s="11">
        <f t="shared" si="9"/>
        <v>0</v>
      </c>
      <c r="AF81" s="124">
        <f t="shared" si="9"/>
        <v>0</v>
      </c>
      <c r="AG81" s="11">
        <f t="shared" si="9"/>
        <v>0</v>
      </c>
      <c r="AH81" s="11">
        <f t="shared" si="9"/>
        <v>0</v>
      </c>
      <c r="AI81" s="11">
        <f t="shared" si="9"/>
        <v>0</v>
      </c>
      <c r="AJ81" s="11"/>
      <c r="AK81" s="11"/>
      <c r="AL81" s="124">
        <f t="shared" si="9"/>
        <v>0</v>
      </c>
      <c r="AM81" s="11">
        <f t="shared" si="9"/>
        <v>0</v>
      </c>
      <c r="AN81" s="124">
        <f t="shared" si="9"/>
        <v>0</v>
      </c>
      <c r="AP81" s="125">
        <f>SUM(AP74:AP80)</f>
        <v>0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71:AP71"/>
    <mergeCell ref="C72:H72"/>
    <mergeCell ref="I72:N72"/>
    <mergeCell ref="O72:T72"/>
    <mergeCell ref="U72:Z72"/>
    <mergeCell ref="AA72:AF72"/>
    <mergeCell ref="AG72:AL72"/>
    <mergeCell ref="AM72:AM73"/>
    <mergeCell ref="AN72:AN73"/>
    <mergeCell ref="A73:A80"/>
    <mergeCell ref="F63:I63"/>
    <mergeCell ref="J63:M63"/>
    <mergeCell ref="F64:G64"/>
    <mergeCell ref="H64:I64"/>
    <mergeCell ref="J64:M64"/>
    <mergeCell ref="A44:A50"/>
    <mergeCell ref="A52:A58"/>
    <mergeCell ref="B61:D62"/>
    <mergeCell ref="F61:M61"/>
    <mergeCell ref="F62:I62"/>
    <mergeCell ref="J62:M62"/>
    <mergeCell ref="A1:B1"/>
    <mergeCell ref="C1:E1"/>
    <mergeCell ref="F1:AB2"/>
    <mergeCell ref="AC1:AO4"/>
    <mergeCell ref="A2:B2"/>
    <mergeCell ref="C2:E2"/>
    <mergeCell ref="A3:B3"/>
    <mergeCell ref="C3:E3"/>
    <mergeCell ref="F3:AB4"/>
    <mergeCell ref="A4:B4"/>
    <mergeCell ref="C4:E4"/>
    <mergeCell ref="C5:E5"/>
    <mergeCell ref="F5:AB6"/>
    <mergeCell ref="C6:E6"/>
    <mergeCell ref="A8:O8"/>
    <mergeCell ref="P8:AA8"/>
    <mergeCell ref="AB8:AG9"/>
    <mergeCell ref="A9:O9"/>
    <mergeCell ref="P9:AA9"/>
    <mergeCell ref="A5:B5"/>
    <mergeCell ref="A6:B6"/>
    <mergeCell ref="AC5:AO6"/>
    <mergeCell ref="AH8:AL9"/>
    <mergeCell ref="AM8:AO9"/>
    <mergeCell ref="A37:A43"/>
    <mergeCell ref="C11:H11"/>
    <mergeCell ref="AM11:AM12"/>
    <mergeCell ref="AN11:AN12"/>
    <mergeCell ref="A13:A19"/>
    <mergeCell ref="A21:A27"/>
    <mergeCell ref="A29:A35"/>
    <mergeCell ref="I11:N11"/>
    <mergeCell ref="O11:T11"/>
    <mergeCell ref="U11:Z11"/>
    <mergeCell ref="AA11:AF11"/>
    <mergeCell ref="AG11:AL11"/>
  </mergeCells>
  <conditionalFormatting sqref="B13:B19">
    <cfRule type="cellIs" dxfId="55" priority="13" operator="equal">
      <formula>0</formula>
    </cfRule>
  </conditionalFormatting>
  <conditionalFormatting sqref="B21:B35">
    <cfRule type="cellIs" dxfId="54" priority="4" operator="equal">
      <formula>0</formula>
    </cfRule>
  </conditionalFormatting>
  <conditionalFormatting sqref="B37:B50">
    <cfRule type="cellIs" dxfId="53" priority="2" operator="equal">
      <formula>0</formula>
    </cfRule>
  </conditionalFormatting>
  <conditionalFormatting sqref="B52:B58">
    <cfRule type="cellIs" dxfId="52" priority="1" operator="equal">
      <formula>0</formula>
    </cfRule>
  </conditionalFormatting>
  <conditionalFormatting sqref="B74:B80">
    <cfRule type="cellIs" dxfId="51" priority="12" operator="equal">
      <formula>0</formula>
    </cfRule>
  </conditionalFormatting>
  <conditionalFormatting sqref="B108:B109">
    <cfRule type="cellIs" dxfId="50" priority="10" operator="equal">
      <formula>0</formula>
    </cfRule>
  </conditionalFormatting>
  <conditionalFormatting sqref="B111:B116">
    <cfRule type="cellIs" dxfId="49" priority="9" operator="equal">
      <formula>0</formula>
    </cfRule>
  </conditionalFormatting>
  <conditionalFormatting sqref="B118:B123">
    <cfRule type="cellIs" dxfId="48" priority="8" operator="equal">
      <formula>0</formula>
    </cfRule>
  </conditionalFormatting>
  <conditionalFormatting sqref="C85:H85">
    <cfRule type="cellIs" dxfId="47" priority="11" operator="equal">
      <formula>0</formula>
    </cfRule>
  </conditionalFormatting>
  <conditionalFormatting sqref="C74:AN80">
    <cfRule type="cellIs" dxfId="46" priority="7" operator="equal">
      <formula>0</formula>
    </cfRule>
  </conditionalFormatting>
  <pageMargins left="0.7" right="0.7" top="0.75" bottom="0.75" header="0.3" footer="0.3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"/>
  <dimension ref="A1:AR115"/>
  <sheetViews>
    <sheetView workbookViewId="0">
      <pane xSplit="2" ySplit="3" topLeftCell="C46" activePane="bottomRight" state="frozen"/>
      <selection pane="topRight"/>
      <selection pane="bottomLeft"/>
      <selection pane="bottomRight" activeCell="I38" sqref="I38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69" t="s">
        <v>0</v>
      </c>
      <c r="D2" s="169"/>
      <c r="E2" s="169"/>
      <c r="F2" s="169"/>
      <c r="G2" s="169"/>
      <c r="H2" s="169"/>
      <c r="I2" s="169" t="s">
        <v>1</v>
      </c>
      <c r="J2" s="169"/>
      <c r="K2" s="169"/>
      <c r="L2" s="169"/>
      <c r="M2" s="169"/>
      <c r="N2" s="169"/>
      <c r="O2" s="169" t="s">
        <v>2</v>
      </c>
      <c r="P2" s="169"/>
      <c r="Q2" s="169"/>
      <c r="R2" s="169"/>
      <c r="S2" s="169"/>
      <c r="T2" s="169"/>
      <c r="U2" s="169" t="s">
        <v>3</v>
      </c>
      <c r="V2" s="169"/>
      <c r="W2" s="169"/>
      <c r="X2" s="169"/>
      <c r="Y2" s="169"/>
      <c r="Z2" s="169"/>
      <c r="AA2" s="169" t="s">
        <v>4</v>
      </c>
      <c r="AB2" s="169"/>
      <c r="AC2" s="169"/>
      <c r="AD2" s="169"/>
      <c r="AE2" s="169"/>
      <c r="AF2" s="169"/>
      <c r="AG2" s="169" t="s">
        <v>5</v>
      </c>
      <c r="AH2" s="169"/>
      <c r="AI2" s="169"/>
      <c r="AJ2" s="169"/>
      <c r="AK2" s="160" t="s">
        <v>6</v>
      </c>
      <c r="AL2" s="160" t="s">
        <v>7</v>
      </c>
      <c r="AM2" s="87" t="s">
        <v>8</v>
      </c>
      <c r="AN2" s="87"/>
    </row>
    <row r="3" spans="1:40">
      <c r="B3" s="54" t="s">
        <v>9</v>
      </c>
      <c r="C3" s="55">
        <v>1</v>
      </c>
      <c r="D3" s="56">
        <v>2</v>
      </c>
      <c r="E3" s="56">
        <v>3</v>
      </c>
      <c r="F3" s="56">
        <v>4</v>
      </c>
      <c r="G3" s="56">
        <v>5</v>
      </c>
      <c r="H3" s="57">
        <v>6</v>
      </c>
      <c r="I3" s="55">
        <v>1</v>
      </c>
      <c r="J3" s="56">
        <v>2</v>
      </c>
      <c r="K3" s="56">
        <v>3</v>
      </c>
      <c r="L3" s="56">
        <v>4</v>
      </c>
      <c r="M3" s="56">
        <v>5</v>
      </c>
      <c r="N3" s="57">
        <v>6</v>
      </c>
      <c r="O3" s="55">
        <v>1</v>
      </c>
      <c r="P3" s="56">
        <v>2</v>
      </c>
      <c r="Q3" s="56">
        <v>3</v>
      </c>
      <c r="R3" s="56">
        <v>4</v>
      </c>
      <c r="S3" s="56">
        <v>5</v>
      </c>
      <c r="T3" s="57">
        <v>6</v>
      </c>
      <c r="U3" s="55">
        <v>1</v>
      </c>
      <c r="V3" s="56">
        <v>2</v>
      </c>
      <c r="W3" s="56">
        <v>3</v>
      </c>
      <c r="X3" s="56">
        <v>4</v>
      </c>
      <c r="Y3" s="56">
        <v>5</v>
      </c>
      <c r="Z3" s="57">
        <v>6</v>
      </c>
      <c r="AA3" s="55">
        <v>1</v>
      </c>
      <c r="AB3" s="56">
        <v>2</v>
      </c>
      <c r="AC3" s="56">
        <v>3</v>
      </c>
      <c r="AD3" s="56">
        <v>4</v>
      </c>
      <c r="AE3" s="56">
        <v>5</v>
      </c>
      <c r="AF3" s="57">
        <v>6</v>
      </c>
      <c r="AG3" s="55">
        <v>1</v>
      </c>
      <c r="AH3" s="56">
        <v>2</v>
      </c>
      <c r="AI3" s="56">
        <v>3</v>
      </c>
      <c r="AJ3" s="56">
        <v>4</v>
      </c>
      <c r="AK3" s="160"/>
      <c r="AL3" s="160"/>
      <c r="AM3" s="88" t="s">
        <v>10</v>
      </c>
      <c r="AN3" s="89" t="s">
        <v>11</v>
      </c>
    </row>
    <row r="4" spans="1:40" ht="14.25" customHeight="1">
      <c r="A4" s="175" t="s">
        <v>12</v>
      </c>
      <c r="B4" s="58" t="s">
        <v>13</v>
      </c>
      <c r="C4" s="59"/>
      <c r="D4" s="60"/>
      <c r="E4" s="60"/>
      <c r="F4" s="60"/>
      <c r="G4" s="60"/>
      <c r="H4" s="61"/>
      <c r="I4" s="17"/>
      <c r="J4" s="60"/>
      <c r="K4" s="60"/>
      <c r="L4" s="60"/>
      <c r="M4" s="60"/>
      <c r="N4" s="82"/>
      <c r="O4" s="17"/>
      <c r="P4" s="60"/>
      <c r="Q4" s="60"/>
      <c r="R4" s="60"/>
      <c r="S4" s="60"/>
      <c r="T4" s="82"/>
      <c r="U4" s="17"/>
      <c r="V4" s="60"/>
      <c r="W4" s="60"/>
      <c r="X4" s="60"/>
      <c r="Y4" s="60"/>
      <c r="Z4" s="82"/>
      <c r="AA4" s="17"/>
      <c r="AB4" s="60"/>
      <c r="AC4" s="60"/>
      <c r="AD4" s="60"/>
      <c r="AE4" s="60"/>
      <c r="AF4" s="82"/>
      <c r="AG4" s="17"/>
      <c r="AH4" s="60"/>
      <c r="AI4" s="60"/>
      <c r="AJ4" s="61"/>
      <c r="AK4" s="90"/>
      <c r="AL4" s="91"/>
      <c r="AM4" s="92">
        <f>SUM(C4:AL4)</f>
        <v>0</v>
      </c>
      <c r="AN4" s="93">
        <f>AM4*25</f>
        <v>0</v>
      </c>
    </row>
    <row r="5" spans="1:40" ht="14.25" customHeight="1">
      <c r="A5" s="175"/>
      <c r="B5" s="62" t="s">
        <v>14</v>
      </c>
      <c r="C5" s="63"/>
      <c r="D5" s="64"/>
      <c r="E5" s="64"/>
      <c r="F5" s="64"/>
      <c r="G5" s="64"/>
      <c r="H5" s="65"/>
      <c r="I5" s="83"/>
      <c r="J5" s="64"/>
      <c r="K5" s="64"/>
      <c r="L5" s="64"/>
      <c r="M5" s="64"/>
      <c r="N5" s="84"/>
      <c r="O5" s="83"/>
      <c r="P5" s="64"/>
      <c r="Q5" s="64"/>
      <c r="R5" s="64"/>
      <c r="S5" s="64"/>
      <c r="T5" s="84"/>
      <c r="U5" s="83"/>
      <c r="V5" s="64"/>
      <c r="W5" s="64"/>
      <c r="X5" s="64"/>
      <c r="Y5" s="64"/>
      <c r="Z5" s="84"/>
      <c r="AA5" s="83"/>
      <c r="AB5" s="64"/>
      <c r="AC5" s="64"/>
      <c r="AD5" s="64"/>
      <c r="AE5" s="64"/>
      <c r="AF5" s="84"/>
      <c r="AG5" s="83"/>
      <c r="AH5" s="64"/>
      <c r="AI5" s="64"/>
      <c r="AJ5" s="65"/>
      <c r="AK5" s="94"/>
      <c r="AL5" s="95"/>
      <c r="AM5" s="92">
        <f t="shared" ref="AM5:AM49" si="0">SUM(C5:AL5)</f>
        <v>0</v>
      </c>
      <c r="AN5" s="93">
        <f t="shared" ref="AN5:AN49" si="1">AM5*25</f>
        <v>0</v>
      </c>
    </row>
    <row r="6" spans="1:40" ht="14.25" customHeight="1">
      <c r="A6" s="175"/>
      <c r="B6" s="62" t="s">
        <v>15</v>
      </c>
      <c r="C6" s="63"/>
      <c r="D6" s="64"/>
      <c r="E6" s="64"/>
      <c r="F6" s="64"/>
      <c r="G6" s="64"/>
      <c r="H6" s="65"/>
      <c r="I6" s="83"/>
      <c r="J6" s="64"/>
      <c r="K6" s="64"/>
      <c r="L6" s="64"/>
      <c r="M6" s="64"/>
      <c r="N6" s="84"/>
      <c r="O6" s="83"/>
      <c r="P6" s="64"/>
      <c r="Q6" s="64"/>
      <c r="R6" s="64"/>
      <c r="S6" s="64"/>
      <c r="T6" s="84"/>
      <c r="U6" s="83"/>
      <c r="V6" s="64"/>
      <c r="W6" s="64"/>
      <c r="X6" s="64"/>
      <c r="Y6" s="64"/>
      <c r="Z6" s="84"/>
      <c r="AA6" s="83"/>
      <c r="AB6" s="64"/>
      <c r="AC6" s="64"/>
      <c r="AD6" s="64"/>
      <c r="AE6" s="64"/>
      <c r="AF6" s="84"/>
      <c r="AG6" s="83"/>
      <c r="AH6" s="64"/>
      <c r="AI6" s="64"/>
      <c r="AJ6" s="65"/>
      <c r="AK6" s="94"/>
      <c r="AL6" s="95"/>
      <c r="AM6" s="92">
        <f t="shared" si="0"/>
        <v>0</v>
      </c>
      <c r="AN6" s="93">
        <f t="shared" si="1"/>
        <v>0</v>
      </c>
    </row>
    <row r="7" spans="1:40" ht="14.25" customHeight="1">
      <c r="A7" s="175"/>
      <c r="B7" s="62" t="s">
        <v>131</v>
      </c>
      <c r="C7" s="63"/>
      <c r="D7" s="64"/>
      <c r="E7" s="64"/>
      <c r="F7" s="64"/>
      <c r="G7" s="64"/>
      <c r="H7" s="65"/>
      <c r="I7" s="83"/>
      <c r="J7" s="64"/>
      <c r="K7" s="64"/>
      <c r="L7" s="64"/>
      <c r="M7" s="64"/>
      <c r="N7" s="84"/>
      <c r="O7" s="83"/>
      <c r="P7" s="64"/>
      <c r="Q7" s="64"/>
      <c r="R7" s="64"/>
      <c r="S7" s="64"/>
      <c r="T7" s="84"/>
      <c r="U7" s="83"/>
      <c r="V7" s="64"/>
      <c r="W7" s="64"/>
      <c r="X7" s="64"/>
      <c r="Y7" s="64"/>
      <c r="Z7" s="84"/>
      <c r="AA7" s="83"/>
      <c r="AB7" s="64"/>
      <c r="AC7" s="64"/>
      <c r="AD7" s="64"/>
      <c r="AE7" s="64"/>
      <c r="AF7" s="84"/>
      <c r="AG7" s="83"/>
      <c r="AH7" s="64"/>
      <c r="AI7" s="64"/>
      <c r="AJ7" s="65"/>
      <c r="AK7" s="94"/>
      <c r="AL7" s="95"/>
      <c r="AM7" s="92">
        <f t="shared" si="0"/>
        <v>0</v>
      </c>
      <c r="AN7" s="93">
        <f t="shared" si="1"/>
        <v>0</v>
      </c>
    </row>
    <row r="8" spans="1:40" ht="14.25" customHeight="1">
      <c r="A8" s="175"/>
      <c r="B8" s="127"/>
      <c r="C8" s="128"/>
      <c r="D8" s="129"/>
      <c r="E8" s="129"/>
      <c r="F8" s="129"/>
      <c r="G8" s="129"/>
      <c r="H8" s="130"/>
      <c r="I8" s="131"/>
      <c r="J8" s="129"/>
      <c r="K8" s="129"/>
      <c r="L8" s="129"/>
      <c r="M8" s="129"/>
      <c r="N8" s="132"/>
      <c r="O8" s="131"/>
      <c r="P8" s="129"/>
      <c r="Q8" s="129"/>
      <c r="R8" s="129"/>
      <c r="S8" s="129"/>
      <c r="T8" s="132"/>
      <c r="U8" s="131"/>
      <c r="V8" s="129"/>
      <c r="W8" s="129"/>
      <c r="X8" s="129"/>
      <c r="Y8" s="129"/>
      <c r="Z8" s="132"/>
      <c r="AA8" s="131"/>
      <c r="AB8" s="129"/>
      <c r="AC8" s="129"/>
      <c r="AD8" s="129"/>
      <c r="AE8" s="129"/>
      <c r="AF8" s="132"/>
      <c r="AG8" s="131"/>
      <c r="AH8" s="129"/>
      <c r="AI8" s="129"/>
      <c r="AJ8" s="130"/>
      <c r="AK8" s="128"/>
      <c r="AL8" s="133"/>
      <c r="AM8" s="92">
        <f t="shared" si="0"/>
        <v>0</v>
      </c>
      <c r="AN8" s="93">
        <f t="shared" si="1"/>
        <v>0</v>
      </c>
    </row>
    <row r="9" spans="1:40" ht="14.25" customHeight="1">
      <c r="A9" s="175"/>
      <c r="B9" s="62" t="s">
        <v>17</v>
      </c>
      <c r="C9" s="63"/>
      <c r="D9" s="64"/>
      <c r="E9" s="64"/>
      <c r="F9" s="64"/>
      <c r="G9" s="64"/>
      <c r="H9" s="65"/>
      <c r="I9" s="83"/>
      <c r="J9" s="64"/>
      <c r="K9" s="64"/>
      <c r="L9" s="64"/>
      <c r="M9" s="64"/>
      <c r="N9" s="84"/>
      <c r="O9" s="83"/>
      <c r="P9" s="64"/>
      <c r="Q9" s="64"/>
      <c r="R9" s="64"/>
      <c r="S9" s="64"/>
      <c r="T9" s="84"/>
      <c r="U9" s="83"/>
      <c r="V9" s="64"/>
      <c r="W9" s="64"/>
      <c r="X9" s="64"/>
      <c r="Y9" s="64"/>
      <c r="Z9" s="84"/>
      <c r="AA9" s="83"/>
      <c r="AB9" s="64"/>
      <c r="AC9" s="64"/>
      <c r="AD9" s="64"/>
      <c r="AE9" s="64"/>
      <c r="AF9" s="84"/>
      <c r="AG9" s="83"/>
      <c r="AH9" s="64"/>
      <c r="AI9" s="64"/>
      <c r="AJ9" s="65"/>
      <c r="AK9" s="94"/>
      <c r="AL9" s="95"/>
      <c r="AM9" s="92">
        <f t="shared" si="0"/>
        <v>0</v>
      </c>
      <c r="AN9" s="93">
        <f t="shared" si="1"/>
        <v>0</v>
      </c>
    </row>
    <row r="10" spans="1:40" ht="14.25" customHeight="1">
      <c r="A10" s="175"/>
      <c r="B10" s="62"/>
      <c r="C10" s="63"/>
      <c r="D10" s="64"/>
      <c r="E10" s="64"/>
      <c r="F10" s="64"/>
      <c r="G10" s="64"/>
      <c r="H10" s="65"/>
      <c r="I10" s="83"/>
      <c r="J10" s="64"/>
      <c r="K10" s="64"/>
      <c r="L10" s="64"/>
      <c r="M10" s="64"/>
      <c r="N10" s="84"/>
      <c r="O10" s="83"/>
      <c r="P10" s="64"/>
      <c r="Q10" s="64"/>
      <c r="R10" s="64"/>
      <c r="S10" s="64"/>
      <c r="T10" s="84"/>
      <c r="U10" s="83"/>
      <c r="V10" s="64"/>
      <c r="W10" s="64"/>
      <c r="X10" s="64"/>
      <c r="Y10" s="64"/>
      <c r="Z10" s="84"/>
      <c r="AA10" s="83"/>
      <c r="AB10" s="64"/>
      <c r="AC10" s="64"/>
      <c r="AD10" s="64"/>
      <c r="AE10" s="64"/>
      <c r="AF10" s="84"/>
      <c r="AG10" s="83"/>
      <c r="AH10" s="64"/>
      <c r="AI10" s="64"/>
      <c r="AJ10" s="65"/>
      <c r="AK10" s="94"/>
      <c r="AL10" s="95"/>
      <c r="AM10" s="92">
        <f t="shared" si="0"/>
        <v>0</v>
      </c>
      <c r="AN10" s="93">
        <f t="shared" si="1"/>
        <v>0</v>
      </c>
    </row>
    <row r="11" spans="1:40" ht="6.75" customHeight="1">
      <c r="A11" s="66"/>
      <c r="B11" s="67"/>
      <c r="I11" s="85"/>
      <c r="O11" s="85"/>
      <c r="U11" s="85"/>
      <c r="AA11" s="85"/>
      <c r="AG11" s="85"/>
      <c r="AK11" s="96"/>
      <c r="AL11" s="96"/>
      <c r="AM11" s="92">
        <f t="shared" si="0"/>
        <v>0</v>
      </c>
      <c r="AN11" s="93">
        <f t="shared" si="1"/>
        <v>0</v>
      </c>
    </row>
    <row r="12" spans="1:40" ht="14.25" customHeight="1">
      <c r="A12" s="170" t="s">
        <v>18</v>
      </c>
      <c r="B12" s="58" t="s">
        <v>13</v>
      </c>
      <c r="C12" s="59"/>
      <c r="D12" s="60"/>
      <c r="E12" s="60"/>
      <c r="F12" s="60"/>
      <c r="G12" s="60"/>
      <c r="H12" s="61"/>
      <c r="I12" s="17"/>
      <c r="J12" s="60"/>
      <c r="K12" s="60"/>
      <c r="L12" s="60"/>
      <c r="M12" s="60"/>
      <c r="N12" s="82"/>
      <c r="O12" s="17"/>
      <c r="P12" s="60"/>
      <c r="Q12" s="60"/>
      <c r="R12" s="60"/>
      <c r="S12" s="60"/>
      <c r="T12" s="82"/>
      <c r="U12" s="17"/>
      <c r="V12" s="60"/>
      <c r="W12" s="60"/>
      <c r="X12" s="60"/>
      <c r="Y12" s="60"/>
      <c r="Z12" s="82"/>
      <c r="AA12" s="17"/>
      <c r="AB12" s="60"/>
      <c r="AC12" s="60"/>
      <c r="AD12" s="60"/>
      <c r="AE12" s="60"/>
      <c r="AF12" s="82"/>
      <c r="AG12" s="17"/>
      <c r="AH12" s="60"/>
      <c r="AI12" s="60"/>
      <c r="AJ12" s="61"/>
      <c r="AK12" s="90"/>
      <c r="AL12" s="91"/>
      <c r="AM12" s="92">
        <f t="shared" si="0"/>
        <v>0</v>
      </c>
      <c r="AN12" s="93">
        <f t="shared" si="1"/>
        <v>0</v>
      </c>
    </row>
    <row r="13" spans="1:40" ht="14.25" customHeight="1">
      <c r="A13" s="171"/>
      <c r="B13" s="62" t="s">
        <v>14</v>
      </c>
      <c r="C13" s="63"/>
      <c r="D13" s="64"/>
      <c r="E13" s="64"/>
      <c r="F13" s="64"/>
      <c r="G13" s="64"/>
      <c r="H13" s="65"/>
      <c r="I13" s="83"/>
      <c r="J13" s="64"/>
      <c r="K13" s="64"/>
      <c r="L13" s="64"/>
      <c r="M13" s="64"/>
      <c r="N13" s="84"/>
      <c r="O13" s="83"/>
      <c r="P13" s="64"/>
      <c r="Q13" s="64"/>
      <c r="R13" s="64"/>
      <c r="S13" s="64"/>
      <c r="T13" s="84"/>
      <c r="U13" s="83"/>
      <c r="V13" s="64"/>
      <c r="W13" s="64"/>
      <c r="X13" s="64"/>
      <c r="Y13" s="64"/>
      <c r="Z13" s="84"/>
      <c r="AA13" s="83"/>
      <c r="AB13" s="64"/>
      <c r="AC13" s="64"/>
      <c r="AD13" s="64"/>
      <c r="AE13" s="64"/>
      <c r="AF13" s="84"/>
      <c r="AG13" s="83"/>
      <c r="AH13" s="64"/>
      <c r="AI13" s="64"/>
      <c r="AJ13" s="65"/>
      <c r="AK13" s="94"/>
      <c r="AL13" s="95"/>
      <c r="AM13" s="92">
        <f t="shared" si="0"/>
        <v>0</v>
      </c>
      <c r="AN13" s="93">
        <f t="shared" si="1"/>
        <v>0</v>
      </c>
    </row>
    <row r="14" spans="1:40" ht="14.25" customHeight="1">
      <c r="A14" s="171"/>
      <c r="B14" s="62" t="s">
        <v>15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83"/>
      <c r="AH14" s="64"/>
      <c r="AI14" s="64"/>
      <c r="AJ14" s="65"/>
      <c r="AK14" s="94"/>
      <c r="AL14" s="95"/>
      <c r="AM14" s="92">
        <f t="shared" si="0"/>
        <v>0</v>
      </c>
      <c r="AN14" s="93">
        <f t="shared" si="1"/>
        <v>0</v>
      </c>
    </row>
    <row r="15" spans="1:40" ht="14.25" customHeight="1">
      <c r="A15" s="171"/>
      <c r="B15" s="62" t="s">
        <v>131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83"/>
      <c r="AH15" s="64"/>
      <c r="AI15" s="64"/>
      <c r="AJ15" s="65"/>
      <c r="AK15" s="94"/>
      <c r="AL15" s="95"/>
      <c r="AM15" s="92">
        <f t="shared" si="0"/>
        <v>0</v>
      </c>
      <c r="AN15" s="93">
        <f t="shared" si="1"/>
        <v>0</v>
      </c>
    </row>
    <row r="16" spans="1:40" ht="14.25" customHeight="1">
      <c r="A16" s="171"/>
      <c r="B16" s="127"/>
      <c r="C16" s="128"/>
      <c r="D16" s="129"/>
      <c r="E16" s="129"/>
      <c r="F16" s="129"/>
      <c r="G16" s="129"/>
      <c r="H16" s="130"/>
      <c r="I16" s="131"/>
      <c r="J16" s="129"/>
      <c r="K16" s="129"/>
      <c r="L16" s="129"/>
      <c r="M16" s="129"/>
      <c r="N16" s="132"/>
      <c r="O16" s="131"/>
      <c r="P16" s="129"/>
      <c r="Q16" s="129"/>
      <c r="R16" s="129"/>
      <c r="S16" s="129"/>
      <c r="T16" s="132"/>
      <c r="U16" s="131"/>
      <c r="V16" s="129"/>
      <c r="W16" s="129"/>
      <c r="X16" s="129"/>
      <c r="Y16" s="129"/>
      <c r="Z16" s="132"/>
      <c r="AA16" s="131"/>
      <c r="AB16" s="129"/>
      <c r="AC16" s="129"/>
      <c r="AD16" s="129"/>
      <c r="AE16" s="129"/>
      <c r="AF16" s="132"/>
      <c r="AG16" s="131"/>
      <c r="AH16" s="129"/>
      <c r="AI16" s="129"/>
      <c r="AJ16" s="130"/>
      <c r="AK16" s="128"/>
      <c r="AL16" s="133"/>
      <c r="AM16" s="92">
        <f t="shared" si="0"/>
        <v>0</v>
      </c>
      <c r="AN16" s="93">
        <f t="shared" si="1"/>
        <v>0</v>
      </c>
    </row>
    <row r="17" spans="1:40" ht="14.25" customHeight="1">
      <c r="A17" s="171"/>
      <c r="B17" s="62" t="s">
        <v>17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83"/>
      <c r="AH17" s="64"/>
      <c r="AI17" s="64"/>
      <c r="AJ17" s="65"/>
      <c r="AK17" s="94"/>
      <c r="AL17" s="95"/>
      <c r="AM17" s="92">
        <f t="shared" si="0"/>
        <v>0</v>
      </c>
      <c r="AN17" s="93">
        <f t="shared" si="1"/>
        <v>0</v>
      </c>
    </row>
    <row r="18" spans="1:40" ht="14.25" customHeight="1">
      <c r="A18" s="172"/>
      <c r="B18" s="62"/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83"/>
      <c r="AH18" s="64"/>
      <c r="AI18" s="64"/>
      <c r="AJ18" s="65"/>
      <c r="AK18" s="94"/>
      <c r="AL18" s="95"/>
      <c r="AM18" s="92">
        <f t="shared" si="0"/>
        <v>0</v>
      </c>
      <c r="AN18" s="93">
        <f t="shared" si="1"/>
        <v>0</v>
      </c>
    </row>
    <row r="19" spans="1:40" ht="7.5" customHeight="1">
      <c r="A19" s="66"/>
      <c r="B19" s="68"/>
      <c r="I19" s="85"/>
      <c r="N19" s="85"/>
      <c r="O19" s="85"/>
      <c r="T19" s="85"/>
      <c r="U19" s="85"/>
      <c r="Z19" s="85"/>
      <c r="AA19" s="85"/>
      <c r="AF19" s="85"/>
      <c r="AG19" s="85"/>
      <c r="AK19" s="96"/>
      <c r="AL19" s="98"/>
      <c r="AM19" s="92">
        <f t="shared" si="0"/>
        <v>0</v>
      </c>
      <c r="AN19" s="93">
        <f t="shared" si="1"/>
        <v>0</v>
      </c>
    </row>
    <row r="20" spans="1:40" ht="14.25" customHeight="1">
      <c r="A20" s="170" t="s">
        <v>19</v>
      </c>
      <c r="B20" s="58" t="s">
        <v>13</v>
      </c>
      <c r="C20" s="59"/>
      <c r="D20" s="60"/>
      <c r="E20" s="60"/>
      <c r="F20" s="60"/>
      <c r="G20" s="60"/>
      <c r="H20" s="61"/>
      <c r="I20" s="17"/>
      <c r="J20" s="60"/>
      <c r="K20" s="60"/>
      <c r="L20" s="60"/>
      <c r="M20" s="60"/>
      <c r="N20" s="82"/>
      <c r="O20" s="17"/>
      <c r="P20" s="60"/>
      <c r="Q20" s="60"/>
      <c r="R20" s="60"/>
      <c r="S20" s="60"/>
      <c r="T20" s="82"/>
      <c r="U20" s="17"/>
      <c r="V20" s="60"/>
      <c r="W20" s="60"/>
      <c r="X20" s="60"/>
      <c r="Y20" s="60"/>
      <c r="Z20" s="82"/>
      <c r="AA20" s="17"/>
      <c r="AB20" s="60"/>
      <c r="AC20" s="60"/>
      <c r="AD20" s="60"/>
      <c r="AE20" s="60"/>
      <c r="AF20" s="82"/>
      <c r="AG20" s="17"/>
      <c r="AH20" s="60"/>
      <c r="AI20" s="60"/>
      <c r="AJ20" s="61"/>
      <c r="AK20" s="90"/>
      <c r="AL20" s="91"/>
      <c r="AM20" s="92">
        <f t="shared" si="0"/>
        <v>0</v>
      </c>
      <c r="AN20" s="93">
        <f t="shared" si="1"/>
        <v>0</v>
      </c>
    </row>
    <row r="21" spans="1:40" ht="14.25" customHeight="1">
      <c r="A21" s="171"/>
      <c r="B21" s="62" t="s">
        <v>14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65"/>
      <c r="AK21" s="94"/>
      <c r="AL21" s="95"/>
      <c r="AM21" s="92">
        <f t="shared" si="0"/>
        <v>0</v>
      </c>
      <c r="AN21" s="93">
        <f t="shared" si="1"/>
        <v>0</v>
      </c>
    </row>
    <row r="22" spans="1:40" ht="14.25" customHeight="1">
      <c r="A22" s="171"/>
      <c r="B22" s="62" t="s">
        <v>15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65"/>
      <c r="AK22" s="94"/>
      <c r="AL22" s="95"/>
      <c r="AM22" s="92">
        <f t="shared" si="0"/>
        <v>0</v>
      </c>
      <c r="AN22" s="93">
        <f t="shared" si="1"/>
        <v>0</v>
      </c>
    </row>
    <row r="23" spans="1:40" ht="14.25" customHeight="1">
      <c r="A23" s="171"/>
      <c r="B23" s="62" t="s">
        <v>131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65"/>
      <c r="AK23" s="94"/>
      <c r="AL23" s="95"/>
      <c r="AM23" s="92">
        <f t="shared" si="0"/>
        <v>0</v>
      </c>
      <c r="AN23" s="93">
        <f t="shared" si="1"/>
        <v>0</v>
      </c>
    </row>
    <row r="24" spans="1:40" ht="14.25" customHeight="1">
      <c r="A24" s="171"/>
      <c r="B24" s="127"/>
      <c r="C24" s="128"/>
      <c r="D24" s="129"/>
      <c r="E24" s="129"/>
      <c r="F24" s="129"/>
      <c r="G24" s="129"/>
      <c r="H24" s="130"/>
      <c r="I24" s="131"/>
      <c r="J24" s="129"/>
      <c r="K24" s="129"/>
      <c r="L24" s="129"/>
      <c r="M24" s="129"/>
      <c r="N24" s="132"/>
      <c r="O24" s="131"/>
      <c r="P24" s="129"/>
      <c r="Q24" s="129"/>
      <c r="R24" s="129"/>
      <c r="S24" s="129"/>
      <c r="T24" s="132"/>
      <c r="U24" s="131"/>
      <c r="V24" s="129"/>
      <c r="W24" s="129"/>
      <c r="X24" s="129"/>
      <c r="Y24" s="129"/>
      <c r="Z24" s="132"/>
      <c r="AA24" s="131"/>
      <c r="AB24" s="129"/>
      <c r="AC24" s="129"/>
      <c r="AD24" s="129"/>
      <c r="AE24" s="129"/>
      <c r="AF24" s="132"/>
      <c r="AG24" s="131"/>
      <c r="AH24" s="129"/>
      <c r="AI24" s="129"/>
      <c r="AJ24" s="130"/>
      <c r="AK24" s="128"/>
      <c r="AL24" s="133"/>
      <c r="AM24" s="92">
        <f t="shared" si="0"/>
        <v>0</v>
      </c>
      <c r="AN24" s="93">
        <f t="shared" si="1"/>
        <v>0</v>
      </c>
    </row>
    <row r="25" spans="1:40" ht="14.25" customHeight="1">
      <c r="A25" s="171"/>
      <c r="B25" s="62" t="s">
        <v>17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65"/>
      <c r="AK25" s="94"/>
      <c r="AL25" s="95"/>
      <c r="AM25" s="92">
        <f t="shared" si="0"/>
        <v>0</v>
      </c>
      <c r="AN25" s="93">
        <f t="shared" si="1"/>
        <v>0</v>
      </c>
    </row>
    <row r="26" spans="1:40" ht="14.25" customHeight="1">
      <c r="A26" s="172"/>
      <c r="B26" s="62"/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65"/>
      <c r="AK26" s="94"/>
      <c r="AL26" s="95"/>
      <c r="AM26" s="92">
        <f t="shared" si="0"/>
        <v>0</v>
      </c>
      <c r="AN26" s="93">
        <f t="shared" si="1"/>
        <v>0</v>
      </c>
    </row>
    <row r="27" spans="1:40" ht="7.5" customHeight="1">
      <c r="A27" s="66"/>
      <c r="B27" s="67"/>
      <c r="I27" s="85"/>
      <c r="O27" s="85"/>
      <c r="U27" s="85"/>
      <c r="AA27" s="85"/>
      <c r="AG27" s="85"/>
      <c r="AK27" s="96"/>
      <c r="AL27" s="96"/>
      <c r="AM27" s="92">
        <f t="shared" si="0"/>
        <v>0</v>
      </c>
      <c r="AN27" s="93">
        <f t="shared" si="1"/>
        <v>0</v>
      </c>
    </row>
    <row r="28" spans="1:40" ht="14.25" customHeight="1">
      <c r="A28" s="170" t="s">
        <v>20</v>
      </c>
      <c r="B28" s="58" t="s">
        <v>13</v>
      </c>
      <c r="C28" s="59"/>
      <c r="D28" s="60"/>
      <c r="E28" s="60"/>
      <c r="F28" s="60"/>
      <c r="G28" s="60"/>
      <c r="H28" s="61"/>
      <c r="I28" s="17"/>
      <c r="J28" s="60"/>
      <c r="K28" s="60"/>
      <c r="L28" s="60"/>
      <c r="M28" s="60"/>
      <c r="N28" s="82"/>
      <c r="O28" s="17"/>
      <c r="P28" s="60"/>
      <c r="Q28" s="60"/>
      <c r="R28" s="60"/>
      <c r="S28" s="60"/>
      <c r="T28" s="82"/>
      <c r="U28" s="17"/>
      <c r="V28" s="60"/>
      <c r="W28" s="60"/>
      <c r="X28" s="60"/>
      <c r="Y28" s="60"/>
      <c r="Z28" s="82"/>
      <c r="AA28" s="17"/>
      <c r="AB28" s="60"/>
      <c r="AC28" s="60"/>
      <c r="AD28" s="60"/>
      <c r="AE28" s="60"/>
      <c r="AF28" s="82"/>
      <c r="AG28" s="17"/>
      <c r="AH28" s="60"/>
      <c r="AI28" s="60"/>
      <c r="AJ28" s="61"/>
      <c r="AK28" s="90"/>
      <c r="AL28" s="91"/>
      <c r="AM28" s="99">
        <f t="shared" si="0"/>
        <v>0</v>
      </c>
      <c r="AN28" s="93">
        <f t="shared" si="1"/>
        <v>0</v>
      </c>
    </row>
    <row r="29" spans="1:40" ht="14.25" customHeight="1">
      <c r="A29" s="171"/>
      <c r="B29" s="62" t="s">
        <v>14</v>
      </c>
      <c r="C29" s="63"/>
      <c r="D29" s="64"/>
      <c r="E29" s="64"/>
      <c r="F29" s="64"/>
      <c r="G29" s="64"/>
      <c r="H29" s="65"/>
      <c r="I29" s="83"/>
      <c r="J29" s="64"/>
      <c r="K29" s="64"/>
      <c r="L29" s="64"/>
      <c r="M29" s="64"/>
      <c r="N29" s="84"/>
      <c r="O29" s="83"/>
      <c r="P29" s="64"/>
      <c r="Q29" s="64"/>
      <c r="R29" s="64"/>
      <c r="S29" s="64"/>
      <c r="T29" s="84"/>
      <c r="U29" s="83"/>
      <c r="V29" s="64"/>
      <c r="W29" s="64"/>
      <c r="X29" s="64"/>
      <c r="Y29" s="64"/>
      <c r="Z29" s="84"/>
      <c r="AA29" s="83"/>
      <c r="AB29" s="64"/>
      <c r="AC29" s="64"/>
      <c r="AD29" s="64"/>
      <c r="AE29" s="64"/>
      <c r="AF29" s="84"/>
      <c r="AG29" s="83"/>
      <c r="AH29" s="64"/>
      <c r="AI29" s="64"/>
      <c r="AJ29" s="65"/>
      <c r="AK29" s="94"/>
      <c r="AL29" s="95"/>
      <c r="AM29" s="92">
        <f t="shared" si="0"/>
        <v>0</v>
      </c>
      <c r="AN29" s="93">
        <f t="shared" si="1"/>
        <v>0</v>
      </c>
    </row>
    <row r="30" spans="1:40" ht="14.25" customHeight="1">
      <c r="A30" s="171"/>
      <c r="B30" s="62" t="s">
        <v>15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83"/>
      <c r="AH30" s="64"/>
      <c r="AI30" s="64"/>
      <c r="AJ30" s="65"/>
      <c r="AK30" s="94"/>
      <c r="AL30" s="95"/>
      <c r="AM30" s="92">
        <f t="shared" si="0"/>
        <v>0</v>
      </c>
      <c r="AN30" s="93">
        <f t="shared" si="1"/>
        <v>0</v>
      </c>
    </row>
    <row r="31" spans="1:40" ht="14.25" customHeight="1">
      <c r="A31" s="171"/>
      <c r="B31" s="62" t="s">
        <v>131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83"/>
      <c r="AH31" s="64"/>
      <c r="AI31" s="64"/>
      <c r="AJ31" s="65"/>
      <c r="AK31" s="94"/>
      <c r="AL31" s="95"/>
      <c r="AM31" s="92">
        <f t="shared" si="0"/>
        <v>0</v>
      </c>
      <c r="AN31" s="93">
        <f t="shared" si="1"/>
        <v>0</v>
      </c>
    </row>
    <row r="32" spans="1:40" ht="14.25" customHeight="1">
      <c r="A32" s="171"/>
      <c r="B32" s="127"/>
      <c r="C32" s="128"/>
      <c r="D32" s="129"/>
      <c r="E32" s="129"/>
      <c r="F32" s="129"/>
      <c r="G32" s="129"/>
      <c r="H32" s="130"/>
      <c r="I32" s="131"/>
      <c r="J32" s="129"/>
      <c r="K32" s="129"/>
      <c r="L32" s="129"/>
      <c r="M32" s="129"/>
      <c r="N32" s="132"/>
      <c r="O32" s="131"/>
      <c r="P32" s="129"/>
      <c r="Q32" s="129"/>
      <c r="R32" s="129"/>
      <c r="S32" s="129"/>
      <c r="T32" s="132"/>
      <c r="U32" s="131"/>
      <c r="V32" s="129"/>
      <c r="W32" s="129"/>
      <c r="X32" s="129"/>
      <c r="Y32" s="129"/>
      <c r="Z32" s="132"/>
      <c r="AA32" s="131"/>
      <c r="AB32" s="129"/>
      <c r="AC32" s="129"/>
      <c r="AD32" s="129"/>
      <c r="AE32" s="129"/>
      <c r="AF32" s="132"/>
      <c r="AG32" s="131"/>
      <c r="AH32" s="129"/>
      <c r="AI32" s="129"/>
      <c r="AJ32" s="130"/>
      <c r="AK32" s="128"/>
      <c r="AL32" s="133"/>
      <c r="AM32" s="92">
        <f t="shared" si="0"/>
        <v>0</v>
      </c>
      <c r="AN32" s="93">
        <f t="shared" si="1"/>
        <v>0</v>
      </c>
    </row>
    <row r="33" spans="1:44" ht="14.25" customHeight="1">
      <c r="A33" s="171"/>
      <c r="B33" s="62" t="s">
        <v>17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83"/>
      <c r="AH33" s="64"/>
      <c r="AI33" s="64"/>
      <c r="AJ33" s="65"/>
      <c r="AK33" s="94"/>
      <c r="AL33" s="95"/>
      <c r="AM33" s="92">
        <f t="shared" si="0"/>
        <v>0</v>
      </c>
      <c r="AN33" s="93">
        <f t="shared" si="1"/>
        <v>0</v>
      </c>
    </row>
    <row r="34" spans="1:44" ht="7.5" customHeight="1">
      <c r="A34" s="171"/>
      <c r="B34" s="62"/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83"/>
      <c r="AH34" s="64"/>
      <c r="AI34" s="64"/>
      <c r="AJ34" s="65"/>
      <c r="AK34" s="94"/>
      <c r="AL34" s="95"/>
      <c r="AM34" s="92">
        <f t="shared" si="0"/>
        <v>0</v>
      </c>
      <c r="AN34" s="93">
        <f t="shared" si="1"/>
        <v>0</v>
      </c>
    </row>
    <row r="35" spans="1:44" ht="14.25" customHeight="1">
      <c r="A35" s="170" t="s">
        <v>21</v>
      </c>
      <c r="B35" s="58" t="s">
        <v>13</v>
      </c>
      <c r="C35" s="59"/>
      <c r="D35" s="60"/>
      <c r="E35" s="60"/>
      <c r="F35" s="60"/>
      <c r="G35" s="60"/>
      <c r="H35" s="61"/>
      <c r="I35" s="17"/>
      <c r="J35" s="60"/>
      <c r="K35" s="60"/>
      <c r="L35" s="60"/>
      <c r="M35" s="60"/>
      <c r="N35" s="82"/>
      <c r="O35" s="17"/>
      <c r="P35" s="60"/>
      <c r="Q35" s="60"/>
      <c r="R35" s="60"/>
      <c r="S35" s="60"/>
      <c r="T35" s="82"/>
      <c r="U35" s="17"/>
      <c r="V35" s="60"/>
      <c r="W35" s="60"/>
      <c r="X35" s="60"/>
      <c r="Y35" s="60"/>
      <c r="Z35" s="82"/>
      <c r="AA35" s="17"/>
      <c r="AB35" s="60"/>
      <c r="AC35" s="60"/>
      <c r="AD35" s="60"/>
      <c r="AE35" s="60"/>
      <c r="AF35" s="82"/>
      <c r="AG35" s="17"/>
      <c r="AH35" s="60"/>
      <c r="AI35" s="60"/>
      <c r="AJ35" s="61"/>
      <c r="AK35" s="90"/>
      <c r="AL35" s="91"/>
      <c r="AM35" s="92">
        <f t="shared" si="0"/>
        <v>0</v>
      </c>
      <c r="AN35" s="93">
        <f t="shared" si="1"/>
        <v>0</v>
      </c>
    </row>
    <row r="36" spans="1:44" ht="14.25" customHeight="1">
      <c r="A36" s="171"/>
      <c r="B36" s="62" t="s">
        <v>14</v>
      </c>
      <c r="C36" s="63"/>
      <c r="D36" s="64"/>
      <c r="E36" s="64"/>
      <c r="F36" s="64"/>
      <c r="G36" s="64"/>
      <c r="H36" s="65"/>
      <c r="I36" s="83"/>
      <c r="J36" s="64"/>
      <c r="K36" s="64"/>
      <c r="L36" s="64"/>
      <c r="M36" s="64"/>
      <c r="N36" s="84"/>
      <c r="O36" s="83"/>
      <c r="P36" s="64"/>
      <c r="Q36" s="64"/>
      <c r="R36" s="64"/>
      <c r="S36" s="64"/>
      <c r="T36" s="84"/>
      <c r="U36" s="83"/>
      <c r="V36" s="64"/>
      <c r="W36" s="64"/>
      <c r="X36" s="64"/>
      <c r="Y36" s="64"/>
      <c r="Z36" s="84"/>
      <c r="AA36" s="83"/>
      <c r="AB36" s="64"/>
      <c r="AC36" s="64"/>
      <c r="AD36" s="64"/>
      <c r="AE36" s="64"/>
      <c r="AF36" s="84"/>
      <c r="AG36" s="83"/>
      <c r="AH36" s="64"/>
      <c r="AI36" s="64"/>
      <c r="AJ36" s="65"/>
      <c r="AK36" s="94"/>
      <c r="AL36" s="95"/>
      <c r="AM36" s="92">
        <f t="shared" si="0"/>
        <v>0</v>
      </c>
      <c r="AN36" s="93">
        <f t="shared" si="1"/>
        <v>0</v>
      </c>
    </row>
    <row r="37" spans="1:44" ht="14.25" customHeight="1">
      <c r="A37" s="171"/>
      <c r="B37" s="62" t="s">
        <v>15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65"/>
      <c r="AK37" s="94"/>
      <c r="AL37" s="95"/>
      <c r="AM37" s="92">
        <f t="shared" si="0"/>
        <v>0</v>
      </c>
      <c r="AN37" s="93">
        <f t="shared" si="1"/>
        <v>0</v>
      </c>
    </row>
    <row r="38" spans="1:44" ht="14.25" customHeight="1">
      <c r="A38" s="171"/>
      <c r="B38" s="62" t="s">
        <v>131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65"/>
      <c r="AK38" s="94"/>
      <c r="AL38" s="95"/>
      <c r="AM38" s="92">
        <f t="shared" si="0"/>
        <v>0</v>
      </c>
      <c r="AN38" s="93">
        <f t="shared" si="1"/>
        <v>0</v>
      </c>
    </row>
    <row r="39" spans="1:44" ht="14.25" customHeight="1">
      <c r="A39" s="171"/>
      <c r="B39" s="127"/>
      <c r="C39" s="128"/>
      <c r="D39" s="129"/>
      <c r="E39" s="129"/>
      <c r="F39" s="129"/>
      <c r="G39" s="129"/>
      <c r="H39" s="130"/>
      <c r="I39" s="131"/>
      <c r="J39" s="129"/>
      <c r="K39" s="129"/>
      <c r="L39" s="129"/>
      <c r="M39" s="129"/>
      <c r="N39" s="132"/>
      <c r="O39" s="131"/>
      <c r="P39" s="129"/>
      <c r="Q39" s="129"/>
      <c r="R39" s="129"/>
      <c r="S39" s="129"/>
      <c r="T39" s="132"/>
      <c r="U39" s="131"/>
      <c r="V39" s="129"/>
      <c r="W39" s="129"/>
      <c r="X39" s="129"/>
      <c r="Y39" s="129"/>
      <c r="Z39" s="132"/>
      <c r="AA39" s="131"/>
      <c r="AB39" s="129"/>
      <c r="AC39" s="129"/>
      <c r="AD39" s="129"/>
      <c r="AE39" s="129"/>
      <c r="AF39" s="132"/>
      <c r="AG39" s="131"/>
      <c r="AH39" s="129"/>
      <c r="AI39" s="129"/>
      <c r="AJ39" s="130"/>
      <c r="AK39" s="128"/>
      <c r="AL39" s="133"/>
      <c r="AM39" s="92">
        <f t="shared" si="0"/>
        <v>0</v>
      </c>
      <c r="AN39" s="93">
        <f t="shared" si="1"/>
        <v>0</v>
      </c>
    </row>
    <row r="40" spans="1:44" ht="14.25" customHeight="1">
      <c r="A40" s="171"/>
      <c r="B40" s="62" t="s">
        <v>17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65"/>
      <c r="AK40" s="94"/>
      <c r="AL40" s="95"/>
      <c r="AM40" s="92">
        <f t="shared" si="0"/>
        <v>0</v>
      </c>
      <c r="AN40" s="93">
        <f t="shared" si="1"/>
        <v>0</v>
      </c>
      <c r="AR40" t="s">
        <v>22</v>
      </c>
    </row>
    <row r="41" spans="1:44" ht="14.25" customHeight="1">
      <c r="A41" s="172"/>
      <c r="B41" s="62"/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65"/>
      <c r="AK41" s="94"/>
      <c r="AL41" s="95"/>
      <c r="AM41" s="92">
        <f t="shared" si="0"/>
        <v>0</v>
      </c>
      <c r="AN41" s="93">
        <f t="shared" si="1"/>
        <v>0</v>
      </c>
    </row>
    <row r="42" spans="1:44" ht="5.25" customHeight="1">
      <c r="B42" s="67"/>
      <c r="I42" s="85"/>
      <c r="O42" s="85"/>
      <c r="U42" s="85"/>
      <c r="AA42" s="85"/>
      <c r="AG42" s="85"/>
      <c r="AK42" s="96"/>
      <c r="AL42" s="96"/>
      <c r="AM42" s="92">
        <f t="shared" si="0"/>
        <v>0</v>
      </c>
      <c r="AN42" s="93">
        <f t="shared" si="1"/>
        <v>0</v>
      </c>
    </row>
    <row r="43" spans="1:44" ht="14.25" customHeight="1">
      <c r="A43" s="170" t="s">
        <v>24</v>
      </c>
      <c r="B43" s="58" t="s">
        <v>13</v>
      </c>
      <c r="C43" s="59"/>
      <c r="D43" s="60"/>
      <c r="E43" s="60"/>
      <c r="F43" s="60"/>
      <c r="G43" s="60"/>
      <c r="H43" s="61"/>
      <c r="I43" s="17"/>
      <c r="J43" s="60"/>
      <c r="K43" s="60"/>
      <c r="L43" s="60"/>
      <c r="M43" s="60"/>
      <c r="N43" s="82"/>
      <c r="O43" s="17"/>
      <c r="P43" s="60"/>
      <c r="Q43" s="60"/>
      <c r="R43" s="60"/>
      <c r="S43" s="60"/>
      <c r="T43" s="82"/>
      <c r="U43" s="17"/>
      <c r="V43" s="60"/>
      <c r="W43" s="60"/>
      <c r="X43" s="60"/>
      <c r="Y43" s="60"/>
      <c r="Z43" s="82"/>
      <c r="AA43" s="17"/>
      <c r="AB43" s="60"/>
      <c r="AC43" s="60"/>
      <c r="AD43" s="60"/>
      <c r="AE43" s="60"/>
      <c r="AF43" s="82"/>
      <c r="AG43" s="17"/>
      <c r="AH43" s="60"/>
      <c r="AI43" s="60"/>
      <c r="AJ43" s="61"/>
      <c r="AK43" s="90"/>
      <c r="AL43" s="91"/>
      <c r="AM43" s="92">
        <f t="shared" si="0"/>
        <v>0</v>
      </c>
      <c r="AN43" s="93">
        <f t="shared" si="1"/>
        <v>0</v>
      </c>
    </row>
    <row r="44" spans="1:44" ht="14.25" customHeight="1">
      <c r="A44" s="171"/>
      <c r="B44" s="62" t="s">
        <v>14</v>
      </c>
      <c r="C44" s="63"/>
      <c r="D44" s="64"/>
      <c r="E44" s="64"/>
      <c r="F44" s="64"/>
      <c r="G44" s="64"/>
      <c r="H44" s="65"/>
      <c r="I44" s="83"/>
      <c r="J44" s="64"/>
      <c r="K44" s="64"/>
      <c r="L44" s="64"/>
      <c r="M44" s="64"/>
      <c r="N44" s="84"/>
      <c r="O44" s="83"/>
      <c r="P44" s="64"/>
      <c r="Q44" s="64"/>
      <c r="R44" s="64"/>
      <c r="S44" s="64"/>
      <c r="T44" s="84"/>
      <c r="U44" s="83"/>
      <c r="V44" s="64"/>
      <c r="W44" s="64"/>
      <c r="X44" s="64"/>
      <c r="Y44" s="64"/>
      <c r="Z44" s="84"/>
      <c r="AA44" s="83"/>
      <c r="AB44" s="64"/>
      <c r="AC44" s="64"/>
      <c r="AD44" s="64"/>
      <c r="AE44" s="64"/>
      <c r="AF44" s="84"/>
      <c r="AG44" s="83"/>
      <c r="AH44" s="64"/>
      <c r="AI44" s="64"/>
      <c r="AJ44" s="65"/>
      <c r="AK44" s="94"/>
      <c r="AL44" s="95"/>
      <c r="AM44" s="92">
        <f t="shared" si="0"/>
        <v>0</v>
      </c>
      <c r="AN44" s="93">
        <f t="shared" si="1"/>
        <v>0</v>
      </c>
    </row>
    <row r="45" spans="1:44" ht="14.25" customHeight="1">
      <c r="A45" s="171"/>
      <c r="B45" s="62" t="s">
        <v>15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83"/>
      <c r="AH45" s="64"/>
      <c r="AI45" s="64"/>
      <c r="AJ45" s="65"/>
      <c r="AK45" s="94"/>
      <c r="AL45" s="95"/>
      <c r="AM45" s="92">
        <f t="shared" si="0"/>
        <v>0</v>
      </c>
      <c r="AN45" s="93">
        <f t="shared" si="1"/>
        <v>0</v>
      </c>
    </row>
    <row r="46" spans="1:44" ht="14.25" customHeight="1">
      <c r="A46" s="171"/>
      <c r="B46" s="62" t="s">
        <v>131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83"/>
      <c r="AH46" s="64"/>
      <c r="AI46" s="64"/>
      <c r="AJ46" s="65"/>
      <c r="AK46" s="94"/>
      <c r="AL46" s="95"/>
      <c r="AM46" s="92">
        <f t="shared" si="0"/>
        <v>0</v>
      </c>
      <c r="AN46" s="93">
        <f t="shared" si="1"/>
        <v>0</v>
      </c>
    </row>
    <row r="47" spans="1:44" ht="14.25" customHeight="1">
      <c r="A47" s="171"/>
      <c r="B47" s="127"/>
      <c r="C47" s="128"/>
      <c r="D47" s="129"/>
      <c r="E47" s="129"/>
      <c r="F47" s="129"/>
      <c r="G47" s="129"/>
      <c r="H47" s="130"/>
      <c r="I47" s="131"/>
      <c r="J47" s="129"/>
      <c r="K47" s="129"/>
      <c r="L47" s="129"/>
      <c r="M47" s="129"/>
      <c r="N47" s="132"/>
      <c r="O47" s="131"/>
      <c r="P47" s="129"/>
      <c r="Q47" s="129"/>
      <c r="R47" s="129"/>
      <c r="S47" s="129"/>
      <c r="T47" s="132"/>
      <c r="U47" s="131"/>
      <c r="V47" s="129"/>
      <c r="W47" s="129"/>
      <c r="X47" s="129"/>
      <c r="Y47" s="129"/>
      <c r="Z47" s="132"/>
      <c r="AA47" s="131"/>
      <c r="AB47" s="129"/>
      <c r="AC47" s="129"/>
      <c r="AD47" s="129"/>
      <c r="AE47" s="129"/>
      <c r="AF47" s="132"/>
      <c r="AG47" s="131"/>
      <c r="AH47" s="129"/>
      <c r="AI47" s="129"/>
      <c r="AJ47" s="130"/>
      <c r="AK47" s="128"/>
      <c r="AL47" s="133"/>
      <c r="AM47" s="92">
        <f t="shared" si="0"/>
        <v>0</v>
      </c>
      <c r="AN47" s="93">
        <f t="shared" si="1"/>
        <v>0</v>
      </c>
    </row>
    <row r="48" spans="1:44" ht="14.25" customHeight="1">
      <c r="A48" s="171"/>
      <c r="B48" s="62" t="s">
        <v>17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/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83"/>
      <c r="AH48" s="64"/>
      <c r="AI48" s="64"/>
      <c r="AJ48" s="65"/>
      <c r="AK48" s="94"/>
      <c r="AL48" s="95"/>
      <c r="AM48" s="92">
        <f t="shared" si="0"/>
        <v>0</v>
      </c>
      <c r="AN48" s="93">
        <f t="shared" si="1"/>
        <v>0</v>
      </c>
    </row>
    <row r="49" spans="1:40" ht="14.25" customHeight="1">
      <c r="A49" s="172"/>
      <c r="B49" s="62"/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/>
      <c r="V49" s="64"/>
      <c r="W49" s="64"/>
      <c r="X49" s="64"/>
      <c r="Y49" s="64"/>
      <c r="Z49" s="84"/>
      <c r="AA49" s="83"/>
      <c r="AB49" s="64"/>
      <c r="AC49" s="64"/>
      <c r="AD49" s="64"/>
      <c r="AE49" s="64"/>
      <c r="AF49" s="84"/>
      <c r="AG49" s="83"/>
      <c r="AH49" s="64"/>
      <c r="AI49" s="64"/>
      <c r="AJ49" s="65"/>
      <c r="AK49" s="94"/>
      <c r="AL49" s="95"/>
      <c r="AM49" s="92">
        <f t="shared" si="0"/>
        <v>0</v>
      </c>
      <c r="AN49" s="93">
        <f t="shared" si="1"/>
        <v>0</v>
      </c>
    </row>
    <row r="50" spans="1:40" ht="12.75" customHeight="1">
      <c r="A50" s="71"/>
      <c r="B50" s="72"/>
      <c r="I50" s="11"/>
      <c r="N50" s="86"/>
      <c r="O50" s="11"/>
      <c r="T50" s="86"/>
      <c r="U50" s="11"/>
      <c r="Z50" s="86"/>
      <c r="AA50" s="11"/>
      <c r="AF50" s="86"/>
      <c r="AG50" s="11"/>
      <c r="AL50" s="86"/>
      <c r="AN50" s="100"/>
    </row>
    <row r="51" spans="1:40" ht="18" customHeight="1">
      <c r="A51" s="71"/>
      <c r="B51" s="72"/>
      <c r="I51" s="11"/>
      <c r="N51" s="86"/>
      <c r="O51" s="11"/>
      <c r="T51" s="86"/>
      <c r="U51" s="11"/>
      <c r="Z51" s="86"/>
      <c r="AA51" s="11"/>
      <c r="AF51" s="86"/>
      <c r="AG51" s="11"/>
      <c r="AL51" s="86"/>
      <c r="AN51" s="100"/>
    </row>
    <row r="52" spans="1:40" ht="18" customHeight="1">
      <c r="A52" s="71"/>
      <c r="B52" s="165" t="s">
        <v>25</v>
      </c>
      <c r="C52" s="165"/>
      <c r="D52" s="165"/>
      <c r="E52" s="73"/>
      <c r="F52" s="176" t="s">
        <v>26</v>
      </c>
      <c r="G52" s="176"/>
      <c r="H52" s="176"/>
      <c r="I52" s="176"/>
      <c r="J52" s="176"/>
      <c r="K52" s="176"/>
      <c r="L52" s="176"/>
      <c r="M52" s="176"/>
      <c r="N52" s="86"/>
      <c r="O52" s="11"/>
      <c r="T52" s="86"/>
      <c r="U52" s="11"/>
      <c r="Z52" s="86"/>
      <c r="AA52" s="11"/>
      <c r="AF52" s="86"/>
      <c r="AG52" s="11"/>
      <c r="AL52" s="86"/>
      <c r="AN52" s="100"/>
    </row>
    <row r="53" spans="1:40" ht="18" customHeight="1">
      <c r="A53" s="71"/>
      <c r="B53" s="165"/>
      <c r="C53" s="165"/>
      <c r="D53" s="165"/>
      <c r="E53" s="73"/>
      <c r="F53" s="177" t="s">
        <v>27</v>
      </c>
      <c r="G53" s="177"/>
      <c r="H53" s="177"/>
      <c r="I53" s="177"/>
      <c r="J53" s="177" t="s">
        <v>28</v>
      </c>
      <c r="K53" s="177"/>
      <c r="L53" s="177"/>
      <c r="M53" s="177"/>
      <c r="N53" s="86"/>
      <c r="O53" s="11"/>
      <c r="T53" s="86"/>
      <c r="U53" s="11"/>
      <c r="Z53" s="86"/>
      <c r="AA53" s="11"/>
      <c r="AF53" s="86"/>
      <c r="AG53" s="11"/>
      <c r="AL53" s="86"/>
      <c r="AN53" s="100"/>
    </row>
    <row r="54" spans="1:40" ht="18" customHeight="1">
      <c r="A54" s="71"/>
      <c r="B54" s="74" t="s">
        <v>12</v>
      </c>
      <c r="C54" s="52">
        <f>SUM(AM4:AM10)</f>
        <v>0</v>
      </c>
      <c r="D54" s="52">
        <f>SUM(AN4:AN10)</f>
        <v>0</v>
      </c>
      <c r="E54" s="68"/>
      <c r="F54" s="166">
        <f>'1'!F63</f>
        <v>0</v>
      </c>
      <c r="G54" s="166"/>
      <c r="H54" s="166"/>
      <c r="I54" s="166"/>
      <c r="J54" s="179"/>
      <c r="K54" s="179"/>
      <c r="L54" s="179"/>
      <c r="M54" s="180"/>
      <c r="N54" s="86"/>
      <c r="O54" s="11"/>
      <c r="T54" s="86"/>
      <c r="U54" s="11"/>
      <c r="Z54" s="86"/>
      <c r="AA54" s="11"/>
      <c r="AF54" s="86"/>
      <c r="AG54" s="11"/>
      <c r="AL54" s="86"/>
      <c r="AN54" s="100"/>
    </row>
    <row r="55" spans="1:40" ht="18" customHeight="1">
      <c r="A55" s="71"/>
      <c r="B55" s="75" t="s">
        <v>18</v>
      </c>
      <c r="C55" s="52">
        <f>SUM(AM12:AM18)</f>
        <v>0</v>
      </c>
      <c r="D55" s="52">
        <f>SUM(AN12:AN18)</f>
        <v>0</v>
      </c>
      <c r="E55" s="76"/>
      <c r="F55" s="166"/>
      <c r="G55" s="166"/>
      <c r="H55" s="166"/>
      <c r="I55" s="166"/>
      <c r="J55" s="167"/>
      <c r="K55" s="168"/>
      <c r="L55" s="168"/>
      <c r="M55" s="168"/>
      <c r="N55" s="86"/>
      <c r="O55" s="11"/>
      <c r="T55" s="86"/>
      <c r="U55" s="11"/>
      <c r="Z55" s="86"/>
      <c r="AA55" s="11"/>
      <c r="AF55" s="86"/>
      <c r="AG55" s="11"/>
      <c r="AL55" s="86"/>
      <c r="AN55" s="100"/>
    </row>
    <row r="56" spans="1:40" ht="18" customHeight="1">
      <c r="A56" s="71"/>
      <c r="B56" s="75" t="s">
        <v>19</v>
      </c>
      <c r="C56" s="52">
        <f>SUM(AM20:AM26)</f>
        <v>0</v>
      </c>
      <c r="D56" s="52">
        <f>SUM(AN20:AN26)</f>
        <v>0</v>
      </c>
      <c r="E56" s="76"/>
      <c r="N56" s="86"/>
      <c r="O56" s="11"/>
      <c r="T56" s="86"/>
      <c r="U56" s="11"/>
      <c r="Z56" s="86"/>
      <c r="AA56" s="11"/>
      <c r="AF56" s="86"/>
      <c r="AG56" s="11"/>
      <c r="AL56" s="86"/>
      <c r="AN56" s="100"/>
    </row>
    <row r="57" spans="1:40" ht="18" customHeight="1">
      <c r="A57" s="71"/>
      <c r="B57" s="74" t="s">
        <v>20</v>
      </c>
      <c r="C57" s="52">
        <f>SUM(AM28:AM33)</f>
        <v>0</v>
      </c>
      <c r="D57" s="52">
        <f>SUM(AN28:AN33)</f>
        <v>0</v>
      </c>
      <c r="E57" s="76"/>
      <c r="N57" s="86"/>
      <c r="O57" s="11"/>
      <c r="T57" s="86"/>
      <c r="U57" s="11"/>
      <c r="Z57" s="86"/>
      <c r="AA57" s="11"/>
      <c r="AF57" s="86"/>
      <c r="AG57" s="11"/>
      <c r="AL57" s="86"/>
      <c r="AN57" s="100"/>
    </row>
    <row r="58" spans="1:40" ht="18" customHeight="1">
      <c r="A58" s="71"/>
      <c r="B58" s="74" t="s">
        <v>21</v>
      </c>
      <c r="C58" s="52">
        <f>SUM(AM35:AM41)</f>
        <v>0</v>
      </c>
      <c r="D58" s="52">
        <f>SUM(AN35:AN41)</f>
        <v>0</v>
      </c>
      <c r="E58" s="76"/>
      <c r="N58" s="86"/>
      <c r="O58" s="11"/>
      <c r="T58" s="86"/>
      <c r="U58" s="11"/>
      <c r="Z58" s="86"/>
      <c r="AA58" s="11"/>
      <c r="AF58" s="86"/>
      <c r="AG58" s="11"/>
      <c r="AL58" s="86"/>
      <c r="AN58" s="100"/>
    </row>
    <row r="59" spans="1:40" ht="18" customHeight="1">
      <c r="A59" s="71"/>
      <c r="B59" s="77" t="s">
        <v>29</v>
      </c>
      <c r="C59" s="52">
        <f>SUM(AM43:AM49)</f>
        <v>0</v>
      </c>
      <c r="D59" s="52">
        <f>SUM(AN43:AN49)</f>
        <v>0</v>
      </c>
      <c r="E59" s="66"/>
      <c r="N59" s="86"/>
      <c r="O59" s="11"/>
      <c r="T59" s="86"/>
      <c r="U59" s="11"/>
      <c r="Z59" s="86"/>
      <c r="AA59" s="11"/>
      <c r="AF59" s="86"/>
      <c r="AG59" s="11"/>
      <c r="AL59" s="86"/>
      <c r="AN59" s="100"/>
    </row>
    <row r="60" spans="1:40" ht="18" customHeight="1">
      <c r="A60" s="71"/>
      <c r="B60" s="78" t="s">
        <v>30</v>
      </c>
      <c r="C60" s="79">
        <f>SUM(C54:C59)</f>
        <v>0</v>
      </c>
      <c r="D60" s="80">
        <f>SUM(D54:D59)</f>
        <v>0</v>
      </c>
      <c r="E60" s="81"/>
      <c r="N60" s="86"/>
      <c r="O60" s="11"/>
      <c r="T60" s="86"/>
      <c r="U60" s="11"/>
      <c r="Z60" s="86"/>
      <c r="AA60" s="11"/>
      <c r="AF60" s="86"/>
      <c r="AG60" s="11"/>
      <c r="AL60" s="86"/>
      <c r="AN60" s="100"/>
    </row>
    <row r="61" spans="1:40" ht="18" customHeight="1">
      <c r="A61" s="71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86"/>
      <c r="O61" s="11"/>
      <c r="T61" s="86"/>
      <c r="U61" s="11"/>
      <c r="Z61" s="86"/>
      <c r="AA61" s="11"/>
      <c r="AF61" s="86"/>
      <c r="AG61" s="11"/>
      <c r="AL61" s="86"/>
      <c r="AN61" s="100"/>
    </row>
    <row r="63" spans="1:40">
      <c r="A63" s="169" t="s">
        <v>31</v>
      </c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  <c r="X63" s="169"/>
      <c r="Y63" s="169"/>
      <c r="Z63" s="169"/>
      <c r="AA63" s="169"/>
      <c r="AB63" s="169"/>
      <c r="AC63" s="169"/>
      <c r="AD63" s="169"/>
      <c r="AE63" s="169"/>
      <c r="AF63" s="169"/>
      <c r="AG63" s="169"/>
      <c r="AH63" s="169"/>
      <c r="AI63" s="169"/>
      <c r="AJ63" s="169"/>
      <c r="AK63" s="169"/>
      <c r="AL63" s="169"/>
      <c r="AM63" s="169"/>
      <c r="AN63" s="169"/>
    </row>
    <row r="64" spans="1:40">
      <c r="C64" s="162" t="s">
        <v>0</v>
      </c>
      <c r="D64" s="162"/>
      <c r="E64" s="162"/>
      <c r="F64" s="162"/>
      <c r="G64" s="162"/>
      <c r="H64" s="163"/>
      <c r="I64" s="162" t="s">
        <v>1</v>
      </c>
      <c r="J64" s="162"/>
      <c r="K64" s="162"/>
      <c r="L64" s="162"/>
      <c r="M64" s="162"/>
      <c r="N64" s="163"/>
      <c r="O64" s="161" t="s">
        <v>2</v>
      </c>
      <c r="P64" s="162"/>
      <c r="Q64" s="162"/>
      <c r="R64" s="162"/>
      <c r="S64" s="162"/>
      <c r="T64" s="163"/>
      <c r="U64" s="162" t="s">
        <v>32</v>
      </c>
      <c r="V64" s="162"/>
      <c r="W64" s="162"/>
      <c r="X64" s="162"/>
      <c r="Y64" s="162"/>
      <c r="Z64" s="163"/>
      <c r="AA64" s="162" t="s">
        <v>4</v>
      </c>
      <c r="AB64" s="162"/>
      <c r="AC64" s="162"/>
      <c r="AD64" s="162"/>
      <c r="AE64" s="162"/>
      <c r="AF64" s="163"/>
      <c r="AG64" s="162" t="s">
        <v>5</v>
      </c>
      <c r="AH64" s="162"/>
      <c r="AI64" s="162"/>
      <c r="AJ64" s="163"/>
      <c r="AK64" s="174" t="s">
        <v>6</v>
      </c>
      <c r="AL64" s="164" t="s">
        <v>7</v>
      </c>
      <c r="AM64" s="96"/>
      <c r="AN64" s="96"/>
    </row>
    <row r="65" spans="1:40">
      <c r="A65" s="173" t="s">
        <v>33</v>
      </c>
      <c r="B65" s="101" t="s">
        <v>9</v>
      </c>
      <c r="C65" s="102">
        <v>1</v>
      </c>
      <c r="D65" s="102">
        <v>2</v>
      </c>
      <c r="E65" s="103">
        <v>3</v>
      </c>
      <c r="F65" s="103">
        <v>4</v>
      </c>
      <c r="G65" s="103">
        <v>5</v>
      </c>
      <c r="H65" s="104">
        <v>6</v>
      </c>
      <c r="I65" s="102">
        <v>1</v>
      </c>
      <c r="J65" s="103">
        <v>2</v>
      </c>
      <c r="K65" s="103">
        <v>3</v>
      </c>
      <c r="L65" s="103">
        <v>4</v>
      </c>
      <c r="M65" s="103">
        <v>5</v>
      </c>
      <c r="N65" s="104">
        <v>6</v>
      </c>
      <c r="O65" s="102">
        <v>1</v>
      </c>
      <c r="P65" s="103">
        <v>2</v>
      </c>
      <c r="Q65" s="103">
        <v>3</v>
      </c>
      <c r="R65" s="103">
        <v>4</v>
      </c>
      <c r="S65" s="103">
        <v>5</v>
      </c>
      <c r="T65" s="104">
        <v>6</v>
      </c>
      <c r="U65" s="102">
        <v>1</v>
      </c>
      <c r="V65" s="103">
        <v>2</v>
      </c>
      <c r="W65" s="103">
        <v>3</v>
      </c>
      <c r="X65" s="103">
        <v>4</v>
      </c>
      <c r="Y65" s="103">
        <v>5</v>
      </c>
      <c r="Z65" s="104">
        <v>6</v>
      </c>
      <c r="AA65" s="102">
        <v>1</v>
      </c>
      <c r="AB65" s="103">
        <v>2</v>
      </c>
      <c r="AC65" s="103">
        <v>3</v>
      </c>
      <c r="AD65" s="103">
        <v>4</v>
      </c>
      <c r="AE65" s="103">
        <v>5</v>
      </c>
      <c r="AF65" s="104">
        <v>6</v>
      </c>
      <c r="AG65" s="102">
        <v>1</v>
      </c>
      <c r="AH65" s="103">
        <v>2</v>
      </c>
      <c r="AI65" s="103">
        <v>3</v>
      </c>
      <c r="AJ65" s="104">
        <v>4</v>
      </c>
      <c r="AK65" s="174"/>
      <c r="AL65" s="164"/>
      <c r="AM65" s="116" t="s">
        <v>10</v>
      </c>
      <c r="AN65" s="117" t="s">
        <v>11</v>
      </c>
    </row>
    <row r="66" spans="1:40" ht="15" customHeight="1">
      <c r="A66" s="173"/>
      <c r="B66" s="105" t="s">
        <v>34</v>
      </c>
      <c r="C66" s="17">
        <f t="shared" ref="C66:AL72" si="2">SUM(C4+C12+C20+C28+C35+C43)</f>
        <v>0</v>
      </c>
      <c r="D66" s="17">
        <f t="shared" si="2"/>
        <v>0</v>
      </c>
      <c r="E66" s="17">
        <f t="shared" si="2"/>
        <v>0</v>
      </c>
      <c r="F66" s="17">
        <f t="shared" si="2"/>
        <v>0</v>
      </c>
      <c r="G66" s="17">
        <f t="shared" si="2"/>
        <v>0</v>
      </c>
      <c r="H66" s="106">
        <f t="shared" si="2"/>
        <v>0</v>
      </c>
      <c r="I66" s="17">
        <f t="shared" si="2"/>
        <v>0</v>
      </c>
      <c r="J66" s="17">
        <f t="shared" si="2"/>
        <v>0</v>
      </c>
      <c r="K66" s="17">
        <f t="shared" si="2"/>
        <v>0</v>
      </c>
      <c r="L66" s="17">
        <f t="shared" si="2"/>
        <v>0</v>
      </c>
      <c r="M66" s="17">
        <f t="shared" si="2"/>
        <v>0</v>
      </c>
      <c r="N66" s="114">
        <f t="shared" si="2"/>
        <v>0</v>
      </c>
      <c r="O66" s="17">
        <f t="shared" si="2"/>
        <v>0</v>
      </c>
      <c r="P66" s="17">
        <f t="shared" si="2"/>
        <v>0</v>
      </c>
      <c r="Q66" s="17">
        <f t="shared" si="2"/>
        <v>0</v>
      </c>
      <c r="R66" s="17">
        <f t="shared" si="2"/>
        <v>0</v>
      </c>
      <c r="S66" s="17">
        <f t="shared" si="2"/>
        <v>0</v>
      </c>
      <c r="T66" s="114">
        <f t="shared" si="2"/>
        <v>0</v>
      </c>
      <c r="U66" s="17">
        <f t="shared" si="2"/>
        <v>0</v>
      </c>
      <c r="V66" s="17">
        <f t="shared" si="2"/>
        <v>0</v>
      </c>
      <c r="W66" s="17">
        <f t="shared" si="2"/>
        <v>0</v>
      </c>
      <c r="X66" s="17">
        <f t="shared" si="2"/>
        <v>0</v>
      </c>
      <c r="Y66" s="17">
        <f t="shared" si="2"/>
        <v>0</v>
      </c>
      <c r="Z66" s="114">
        <f t="shared" si="2"/>
        <v>0</v>
      </c>
      <c r="AA66" s="17">
        <f t="shared" si="2"/>
        <v>0</v>
      </c>
      <c r="AB66" s="17">
        <f t="shared" si="2"/>
        <v>0</v>
      </c>
      <c r="AC66" s="17">
        <f t="shared" si="2"/>
        <v>0</v>
      </c>
      <c r="AD66" s="17">
        <f t="shared" si="2"/>
        <v>0</v>
      </c>
      <c r="AE66" s="17">
        <f t="shared" si="2"/>
        <v>0</v>
      </c>
      <c r="AF66" s="114">
        <f t="shared" si="2"/>
        <v>0</v>
      </c>
      <c r="AG66" s="17">
        <f t="shared" si="2"/>
        <v>0</v>
      </c>
      <c r="AH66" s="17">
        <f t="shared" si="2"/>
        <v>0</v>
      </c>
      <c r="AI66" s="17">
        <f t="shared" si="2"/>
        <v>0</v>
      </c>
      <c r="AJ66" s="114">
        <f t="shared" si="2"/>
        <v>0</v>
      </c>
      <c r="AK66" s="17">
        <f t="shared" si="2"/>
        <v>0</v>
      </c>
      <c r="AL66" s="114">
        <f t="shared" si="2"/>
        <v>0</v>
      </c>
      <c r="AM66" s="52">
        <f>SUM(C66:AL66)</f>
        <v>0</v>
      </c>
      <c r="AN66" s="118">
        <f>AM66*215</f>
        <v>0</v>
      </c>
    </row>
    <row r="67" spans="1:40">
      <c r="A67" s="173"/>
      <c r="B67" s="105" t="s">
        <v>14</v>
      </c>
      <c r="C67" s="17">
        <f t="shared" si="2"/>
        <v>0</v>
      </c>
      <c r="D67" s="17">
        <f t="shared" si="2"/>
        <v>0</v>
      </c>
      <c r="E67" s="17">
        <f t="shared" si="2"/>
        <v>0</v>
      </c>
      <c r="F67" s="17">
        <f t="shared" si="2"/>
        <v>0</v>
      </c>
      <c r="G67" s="17">
        <f t="shared" si="2"/>
        <v>0</v>
      </c>
      <c r="H67" s="106">
        <f t="shared" si="2"/>
        <v>0</v>
      </c>
      <c r="I67" s="17">
        <f t="shared" si="2"/>
        <v>0</v>
      </c>
      <c r="J67" s="17">
        <f t="shared" si="2"/>
        <v>0</v>
      </c>
      <c r="K67" s="17">
        <f t="shared" si="2"/>
        <v>0</v>
      </c>
      <c r="L67" s="17">
        <f t="shared" si="2"/>
        <v>0</v>
      </c>
      <c r="M67" s="17">
        <f t="shared" si="2"/>
        <v>0</v>
      </c>
      <c r="N67" s="114">
        <f t="shared" si="2"/>
        <v>0</v>
      </c>
      <c r="O67" s="17">
        <f t="shared" si="2"/>
        <v>0</v>
      </c>
      <c r="P67" s="17">
        <f t="shared" si="2"/>
        <v>0</v>
      </c>
      <c r="Q67" s="17">
        <f t="shared" si="2"/>
        <v>0</v>
      </c>
      <c r="R67" s="17">
        <f t="shared" si="2"/>
        <v>0</v>
      </c>
      <c r="S67" s="17">
        <f t="shared" si="2"/>
        <v>0</v>
      </c>
      <c r="T67" s="114">
        <f t="shared" si="2"/>
        <v>0</v>
      </c>
      <c r="U67" s="17">
        <f t="shared" si="2"/>
        <v>0</v>
      </c>
      <c r="V67" s="17">
        <f t="shared" si="2"/>
        <v>0</v>
      </c>
      <c r="W67" s="17">
        <f t="shared" si="2"/>
        <v>0</v>
      </c>
      <c r="X67" s="17">
        <f t="shared" si="2"/>
        <v>0</v>
      </c>
      <c r="Y67" s="17">
        <f t="shared" si="2"/>
        <v>0</v>
      </c>
      <c r="Z67" s="114">
        <f t="shared" si="2"/>
        <v>0</v>
      </c>
      <c r="AA67" s="17">
        <f t="shared" si="2"/>
        <v>0</v>
      </c>
      <c r="AB67" s="17">
        <f t="shared" si="2"/>
        <v>0</v>
      </c>
      <c r="AC67" s="17">
        <f t="shared" si="2"/>
        <v>0</v>
      </c>
      <c r="AD67" s="17">
        <f t="shared" si="2"/>
        <v>0</v>
      </c>
      <c r="AE67" s="17">
        <f t="shared" si="2"/>
        <v>0</v>
      </c>
      <c r="AF67" s="114">
        <f t="shared" si="2"/>
        <v>0</v>
      </c>
      <c r="AG67" s="17">
        <f t="shared" si="2"/>
        <v>0</v>
      </c>
      <c r="AH67" s="17">
        <f t="shared" si="2"/>
        <v>0</v>
      </c>
      <c r="AI67" s="17">
        <f t="shared" si="2"/>
        <v>0</v>
      </c>
      <c r="AJ67" s="114">
        <f t="shared" si="2"/>
        <v>0</v>
      </c>
      <c r="AK67" s="17">
        <f t="shared" si="2"/>
        <v>0</v>
      </c>
      <c r="AL67" s="114">
        <f t="shared" si="2"/>
        <v>0</v>
      </c>
      <c r="AM67" s="52">
        <f t="shared" ref="AM67:AM72" si="3">SUM(C67:AL67)</f>
        <v>0</v>
      </c>
      <c r="AN67" s="118">
        <f t="shared" ref="AN67:AN72" si="4">AM67*215</f>
        <v>0</v>
      </c>
    </row>
    <row r="68" spans="1:40">
      <c r="A68" s="173"/>
      <c r="B68" s="105" t="s">
        <v>15</v>
      </c>
      <c r="C68" s="17">
        <f t="shared" si="2"/>
        <v>0</v>
      </c>
      <c r="D68" s="17">
        <f t="shared" si="2"/>
        <v>0</v>
      </c>
      <c r="E68" s="17">
        <f t="shared" si="2"/>
        <v>0</v>
      </c>
      <c r="F68" s="17">
        <f t="shared" si="2"/>
        <v>0</v>
      </c>
      <c r="G68" s="17">
        <f t="shared" si="2"/>
        <v>0</v>
      </c>
      <c r="H68" s="106">
        <f t="shared" si="2"/>
        <v>0</v>
      </c>
      <c r="I68" s="17">
        <f t="shared" si="2"/>
        <v>0</v>
      </c>
      <c r="J68" s="17">
        <f t="shared" si="2"/>
        <v>0</v>
      </c>
      <c r="K68" s="17">
        <f t="shared" si="2"/>
        <v>0</v>
      </c>
      <c r="L68" s="17">
        <f t="shared" si="2"/>
        <v>0</v>
      </c>
      <c r="M68" s="17">
        <f t="shared" si="2"/>
        <v>0</v>
      </c>
      <c r="N68" s="114">
        <f t="shared" si="2"/>
        <v>0</v>
      </c>
      <c r="O68" s="17">
        <f t="shared" si="2"/>
        <v>0</v>
      </c>
      <c r="P68" s="17">
        <f t="shared" si="2"/>
        <v>0</v>
      </c>
      <c r="Q68" s="17">
        <f t="shared" si="2"/>
        <v>0</v>
      </c>
      <c r="R68" s="17">
        <f t="shared" si="2"/>
        <v>0</v>
      </c>
      <c r="S68" s="17">
        <f t="shared" si="2"/>
        <v>0</v>
      </c>
      <c r="T68" s="114">
        <f t="shared" si="2"/>
        <v>0</v>
      </c>
      <c r="U68" s="17">
        <f t="shared" si="2"/>
        <v>0</v>
      </c>
      <c r="V68" s="17">
        <f t="shared" si="2"/>
        <v>0</v>
      </c>
      <c r="W68" s="17">
        <f t="shared" si="2"/>
        <v>0</v>
      </c>
      <c r="X68" s="17">
        <f t="shared" si="2"/>
        <v>0</v>
      </c>
      <c r="Y68" s="17">
        <f t="shared" si="2"/>
        <v>0</v>
      </c>
      <c r="Z68" s="114">
        <f t="shared" si="2"/>
        <v>0</v>
      </c>
      <c r="AA68" s="17">
        <f t="shared" si="2"/>
        <v>0</v>
      </c>
      <c r="AB68" s="17">
        <f t="shared" si="2"/>
        <v>0</v>
      </c>
      <c r="AC68" s="17">
        <f t="shared" si="2"/>
        <v>0</v>
      </c>
      <c r="AD68" s="17">
        <f t="shared" si="2"/>
        <v>0</v>
      </c>
      <c r="AE68" s="17">
        <f t="shared" si="2"/>
        <v>0</v>
      </c>
      <c r="AF68" s="114">
        <f t="shared" si="2"/>
        <v>0</v>
      </c>
      <c r="AG68" s="17">
        <f t="shared" si="2"/>
        <v>0</v>
      </c>
      <c r="AH68" s="17">
        <f t="shared" si="2"/>
        <v>0</v>
      </c>
      <c r="AI68" s="17">
        <f t="shared" si="2"/>
        <v>0</v>
      </c>
      <c r="AJ68" s="114">
        <f t="shared" si="2"/>
        <v>0</v>
      </c>
      <c r="AK68" s="17">
        <f t="shared" si="2"/>
        <v>0</v>
      </c>
      <c r="AL68" s="114">
        <f t="shared" si="2"/>
        <v>0</v>
      </c>
      <c r="AM68" s="52">
        <f t="shared" si="3"/>
        <v>0</v>
      </c>
      <c r="AN68" s="118">
        <f t="shared" si="4"/>
        <v>0</v>
      </c>
    </row>
    <row r="69" spans="1:40">
      <c r="A69" s="173"/>
      <c r="B69" s="105" t="s">
        <v>131</v>
      </c>
      <c r="C69" s="17">
        <f t="shared" si="2"/>
        <v>0</v>
      </c>
      <c r="D69" s="17">
        <f t="shared" si="2"/>
        <v>0</v>
      </c>
      <c r="E69" s="17">
        <f t="shared" si="2"/>
        <v>0</v>
      </c>
      <c r="F69" s="17">
        <f t="shared" si="2"/>
        <v>0</v>
      </c>
      <c r="G69" s="17">
        <f t="shared" si="2"/>
        <v>0</v>
      </c>
      <c r="H69" s="106">
        <f t="shared" si="2"/>
        <v>0</v>
      </c>
      <c r="I69" s="17">
        <f t="shared" si="2"/>
        <v>0</v>
      </c>
      <c r="J69" s="17">
        <f t="shared" si="2"/>
        <v>0</v>
      </c>
      <c r="K69" s="17">
        <f t="shared" si="2"/>
        <v>0</v>
      </c>
      <c r="L69" s="17">
        <f t="shared" si="2"/>
        <v>0</v>
      </c>
      <c r="M69" s="17">
        <f t="shared" si="2"/>
        <v>0</v>
      </c>
      <c r="N69" s="114">
        <f t="shared" si="2"/>
        <v>0</v>
      </c>
      <c r="O69" s="17">
        <f t="shared" si="2"/>
        <v>0</v>
      </c>
      <c r="P69" s="17">
        <f t="shared" si="2"/>
        <v>0</v>
      </c>
      <c r="Q69" s="17">
        <f t="shared" si="2"/>
        <v>0</v>
      </c>
      <c r="R69" s="17">
        <f t="shared" si="2"/>
        <v>0</v>
      </c>
      <c r="S69" s="17">
        <f t="shared" si="2"/>
        <v>0</v>
      </c>
      <c r="T69" s="114">
        <f t="shared" si="2"/>
        <v>0</v>
      </c>
      <c r="U69" s="17">
        <f t="shared" si="2"/>
        <v>0</v>
      </c>
      <c r="V69" s="17">
        <f t="shared" si="2"/>
        <v>0</v>
      </c>
      <c r="W69" s="17">
        <f t="shared" si="2"/>
        <v>0</v>
      </c>
      <c r="X69" s="17">
        <f t="shared" si="2"/>
        <v>0</v>
      </c>
      <c r="Y69" s="17">
        <f t="shared" si="2"/>
        <v>0</v>
      </c>
      <c r="Z69" s="114">
        <f t="shared" si="2"/>
        <v>0</v>
      </c>
      <c r="AA69" s="17">
        <f t="shared" si="2"/>
        <v>0</v>
      </c>
      <c r="AB69" s="17">
        <f t="shared" si="2"/>
        <v>0</v>
      </c>
      <c r="AC69" s="17">
        <f t="shared" si="2"/>
        <v>0</v>
      </c>
      <c r="AD69" s="17">
        <f t="shared" si="2"/>
        <v>0</v>
      </c>
      <c r="AE69" s="17">
        <f t="shared" si="2"/>
        <v>0</v>
      </c>
      <c r="AF69" s="114">
        <f t="shared" si="2"/>
        <v>0</v>
      </c>
      <c r="AG69" s="17">
        <f t="shared" si="2"/>
        <v>0</v>
      </c>
      <c r="AH69" s="17">
        <f t="shared" si="2"/>
        <v>0</v>
      </c>
      <c r="AI69" s="17">
        <f t="shared" si="2"/>
        <v>0</v>
      </c>
      <c r="AJ69" s="114">
        <f t="shared" si="2"/>
        <v>0</v>
      </c>
      <c r="AK69" s="17">
        <f t="shared" si="2"/>
        <v>0</v>
      </c>
      <c r="AL69" s="114">
        <f t="shared" si="2"/>
        <v>0</v>
      </c>
      <c r="AM69" s="52">
        <f t="shared" si="3"/>
        <v>0</v>
      </c>
      <c r="AN69" s="118">
        <f t="shared" si="4"/>
        <v>0</v>
      </c>
    </row>
    <row r="70" spans="1:40">
      <c r="A70" s="173"/>
      <c r="B70" s="105" t="s">
        <v>16</v>
      </c>
      <c r="C70" s="17">
        <f t="shared" si="2"/>
        <v>0</v>
      </c>
      <c r="D70" s="17">
        <f t="shared" si="2"/>
        <v>0</v>
      </c>
      <c r="E70" s="17">
        <f t="shared" si="2"/>
        <v>0</v>
      </c>
      <c r="F70" s="17">
        <f t="shared" si="2"/>
        <v>0</v>
      </c>
      <c r="G70" s="17">
        <f t="shared" si="2"/>
        <v>0</v>
      </c>
      <c r="H70" s="106">
        <f t="shared" si="2"/>
        <v>0</v>
      </c>
      <c r="I70" s="17">
        <f t="shared" si="2"/>
        <v>0</v>
      </c>
      <c r="J70" s="17">
        <f t="shared" si="2"/>
        <v>0</v>
      </c>
      <c r="K70" s="17">
        <f t="shared" si="2"/>
        <v>0</v>
      </c>
      <c r="L70" s="17">
        <f t="shared" si="2"/>
        <v>0</v>
      </c>
      <c r="M70" s="17">
        <f t="shared" si="2"/>
        <v>0</v>
      </c>
      <c r="N70" s="114">
        <f t="shared" si="2"/>
        <v>0</v>
      </c>
      <c r="O70" s="17">
        <f t="shared" si="2"/>
        <v>0</v>
      </c>
      <c r="P70" s="17">
        <f t="shared" si="2"/>
        <v>0</v>
      </c>
      <c r="Q70" s="17">
        <f t="shared" si="2"/>
        <v>0</v>
      </c>
      <c r="R70" s="17">
        <f t="shared" si="2"/>
        <v>0</v>
      </c>
      <c r="S70" s="17">
        <f t="shared" si="2"/>
        <v>0</v>
      </c>
      <c r="T70" s="114">
        <f t="shared" si="2"/>
        <v>0</v>
      </c>
      <c r="U70" s="17">
        <f t="shared" si="2"/>
        <v>0</v>
      </c>
      <c r="V70" s="17">
        <f t="shared" si="2"/>
        <v>0</v>
      </c>
      <c r="W70" s="17">
        <f t="shared" si="2"/>
        <v>0</v>
      </c>
      <c r="X70" s="17">
        <f t="shared" si="2"/>
        <v>0</v>
      </c>
      <c r="Y70" s="17">
        <f t="shared" si="2"/>
        <v>0</v>
      </c>
      <c r="Z70" s="114">
        <f t="shared" si="2"/>
        <v>0</v>
      </c>
      <c r="AA70" s="17">
        <f t="shared" si="2"/>
        <v>0</v>
      </c>
      <c r="AB70" s="17">
        <f t="shared" si="2"/>
        <v>0</v>
      </c>
      <c r="AC70" s="17">
        <f t="shared" si="2"/>
        <v>0</v>
      </c>
      <c r="AD70" s="17">
        <f t="shared" si="2"/>
        <v>0</v>
      </c>
      <c r="AE70" s="17">
        <f t="shared" si="2"/>
        <v>0</v>
      </c>
      <c r="AF70" s="114">
        <f t="shared" si="2"/>
        <v>0</v>
      </c>
      <c r="AG70" s="17">
        <f t="shared" si="2"/>
        <v>0</v>
      </c>
      <c r="AH70" s="17">
        <f t="shared" si="2"/>
        <v>0</v>
      </c>
      <c r="AI70" s="17">
        <f t="shared" si="2"/>
        <v>0</v>
      </c>
      <c r="AJ70" s="114">
        <f t="shared" si="2"/>
        <v>0</v>
      </c>
      <c r="AK70" s="17">
        <f t="shared" si="2"/>
        <v>0</v>
      </c>
      <c r="AL70" s="114">
        <f t="shared" si="2"/>
        <v>0</v>
      </c>
      <c r="AM70" s="52">
        <f t="shared" si="3"/>
        <v>0</v>
      </c>
      <c r="AN70" s="118">
        <f t="shared" si="4"/>
        <v>0</v>
      </c>
    </row>
    <row r="71" spans="1:40">
      <c r="A71" s="173"/>
      <c r="B71" s="105" t="s">
        <v>17</v>
      </c>
      <c r="C71" s="17">
        <f t="shared" si="2"/>
        <v>0</v>
      </c>
      <c r="D71" s="17">
        <f t="shared" si="2"/>
        <v>0</v>
      </c>
      <c r="E71" s="17">
        <f t="shared" si="2"/>
        <v>0</v>
      </c>
      <c r="F71" s="17">
        <f t="shared" si="2"/>
        <v>0</v>
      </c>
      <c r="G71" s="17">
        <f t="shared" si="2"/>
        <v>0</v>
      </c>
      <c r="H71" s="106">
        <f t="shared" si="2"/>
        <v>0</v>
      </c>
      <c r="I71" s="17">
        <f t="shared" si="2"/>
        <v>0</v>
      </c>
      <c r="J71" s="17">
        <f t="shared" si="2"/>
        <v>0</v>
      </c>
      <c r="K71" s="17">
        <f t="shared" si="2"/>
        <v>0</v>
      </c>
      <c r="L71" s="17">
        <f t="shared" si="2"/>
        <v>0</v>
      </c>
      <c r="M71" s="17">
        <f t="shared" si="2"/>
        <v>0</v>
      </c>
      <c r="N71" s="114">
        <f t="shared" si="2"/>
        <v>0</v>
      </c>
      <c r="O71" s="17">
        <f t="shared" si="2"/>
        <v>0</v>
      </c>
      <c r="P71" s="17">
        <f t="shared" si="2"/>
        <v>0</v>
      </c>
      <c r="Q71" s="17">
        <f t="shared" si="2"/>
        <v>0</v>
      </c>
      <c r="R71" s="17">
        <f t="shared" si="2"/>
        <v>0</v>
      </c>
      <c r="S71" s="17">
        <f t="shared" si="2"/>
        <v>0</v>
      </c>
      <c r="T71" s="114">
        <f t="shared" si="2"/>
        <v>0</v>
      </c>
      <c r="U71" s="17">
        <f t="shared" si="2"/>
        <v>0</v>
      </c>
      <c r="V71" s="17">
        <f t="shared" si="2"/>
        <v>0</v>
      </c>
      <c r="W71" s="17">
        <f t="shared" si="2"/>
        <v>0</v>
      </c>
      <c r="X71" s="17">
        <f t="shared" si="2"/>
        <v>0</v>
      </c>
      <c r="Y71" s="17">
        <f t="shared" si="2"/>
        <v>0</v>
      </c>
      <c r="Z71" s="114">
        <f t="shared" si="2"/>
        <v>0</v>
      </c>
      <c r="AA71" s="17">
        <f t="shared" si="2"/>
        <v>0</v>
      </c>
      <c r="AB71" s="17">
        <f t="shared" si="2"/>
        <v>0</v>
      </c>
      <c r="AC71" s="17">
        <f t="shared" si="2"/>
        <v>0</v>
      </c>
      <c r="AD71" s="17">
        <f t="shared" si="2"/>
        <v>0</v>
      </c>
      <c r="AE71" s="17">
        <f t="shared" si="2"/>
        <v>0</v>
      </c>
      <c r="AF71" s="114">
        <f t="shared" si="2"/>
        <v>0</v>
      </c>
      <c r="AG71" s="17">
        <f t="shared" si="2"/>
        <v>0</v>
      </c>
      <c r="AH71" s="17">
        <f t="shared" si="2"/>
        <v>0</v>
      </c>
      <c r="AI71" s="17">
        <f t="shared" si="2"/>
        <v>0</v>
      </c>
      <c r="AJ71" s="114">
        <f t="shared" si="2"/>
        <v>0</v>
      </c>
      <c r="AK71" s="17">
        <f t="shared" si="2"/>
        <v>0</v>
      </c>
      <c r="AL71" s="114">
        <f t="shared" si="2"/>
        <v>0</v>
      </c>
      <c r="AM71" s="52">
        <f t="shared" si="3"/>
        <v>0</v>
      </c>
      <c r="AN71" s="118">
        <f t="shared" si="4"/>
        <v>0</v>
      </c>
    </row>
    <row r="72" spans="1:40">
      <c r="A72" s="173"/>
      <c r="B72" s="105"/>
      <c r="C72" s="17">
        <f t="shared" si="2"/>
        <v>0</v>
      </c>
      <c r="D72" s="17">
        <f t="shared" si="2"/>
        <v>0</v>
      </c>
      <c r="E72" s="17">
        <f t="shared" si="2"/>
        <v>0</v>
      </c>
      <c r="F72" s="17">
        <f t="shared" si="2"/>
        <v>0</v>
      </c>
      <c r="G72" s="17">
        <f t="shared" si="2"/>
        <v>0</v>
      </c>
      <c r="H72" s="122">
        <f t="shared" si="2"/>
        <v>0</v>
      </c>
      <c r="I72" s="17">
        <f t="shared" si="2"/>
        <v>0</v>
      </c>
      <c r="J72" s="17">
        <f t="shared" si="2"/>
        <v>0</v>
      </c>
      <c r="K72" s="17">
        <f t="shared" si="2"/>
        <v>0</v>
      </c>
      <c r="L72" s="17">
        <f t="shared" si="2"/>
        <v>0</v>
      </c>
      <c r="M72" s="17">
        <f t="shared" si="2"/>
        <v>0</v>
      </c>
      <c r="N72" s="114">
        <f t="shared" si="2"/>
        <v>0</v>
      </c>
      <c r="O72" s="17">
        <f t="shared" si="2"/>
        <v>0</v>
      </c>
      <c r="P72" s="17">
        <f t="shared" si="2"/>
        <v>0</v>
      </c>
      <c r="Q72" s="17">
        <f t="shared" si="2"/>
        <v>0</v>
      </c>
      <c r="R72" s="17">
        <f t="shared" si="2"/>
        <v>0</v>
      </c>
      <c r="S72" s="17">
        <f t="shared" si="2"/>
        <v>0</v>
      </c>
      <c r="T72" s="114">
        <f t="shared" si="2"/>
        <v>0</v>
      </c>
      <c r="U72" s="17">
        <f t="shared" si="2"/>
        <v>0</v>
      </c>
      <c r="V72" s="17">
        <f t="shared" si="2"/>
        <v>0</v>
      </c>
      <c r="W72" s="17">
        <f t="shared" si="2"/>
        <v>0</v>
      </c>
      <c r="X72" s="17">
        <f t="shared" si="2"/>
        <v>0</v>
      </c>
      <c r="Y72" s="17">
        <f t="shared" si="2"/>
        <v>0</v>
      </c>
      <c r="Z72" s="114">
        <f t="shared" si="2"/>
        <v>0</v>
      </c>
      <c r="AA72" s="17">
        <f t="shared" si="2"/>
        <v>0</v>
      </c>
      <c r="AB72" s="17">
        <f t="shared" si="2"/>
        <v>0</v>
      </c>
      <c r="AC72" s="17">
        <f t="shared" si="2"/>
        <v>0</v>
      </c>
      <c r="AD72" s="17">
        <f t="shared" si="2"/>
        <v>0</v>
      </c>
      <c r="AE72" s="17">
        <f t="shared" si="2"/>
        <v>0</v>
      </c>
      <c r="AF72" s="114">
        <f t="shared" si="2"/>
        <v>0</v>
      </c>
      <c r="AG72" s="17">
        <f t="shared" si="2"/>
        <v>0</v>
      </c>
      <c r="AH72" s="17">
        <f t="shared" si="2"/>
        <v>0</v>
      </c>
      <c r="AI72" s="17">
        <f t="shared" si="2"/>
        <v>0</v>
      </c>
      <c r="AJ72" s="114">
        <f t="shared" si="2"/>
        <v>0</v>
      </c>
      <c r="AK72" s="17">
        <f t="shared" si="2"/>
        <v>0</v>
      </c>
      <c r="AL72" s="114">
        <f t="shared" si="2"/>
        <v>0</v>
      </c>
      <c r="AM72" s="52">
        <f t="shared" si="3"/>
        <v>0</v>
      </c>
      <c r="AN72" s="118">
        <f t="shared" si="4"/>
        <v>0</v>
      </c>
    </row>
    <row r="73" spans="1:40" ht="17.25" customHeight="1">
      <c r="C73" s="11">
        <f>SUM(C66:C72)</f>
        <v>0</v>
      </c>
      <c r="D73" s="11">
        <f t="shared" ref="D73:AL73" si="5">SUM(D66:D72)</f>
        <v>0</v>
      </c>
      <c r="E73" s="11">
        <f t="shared" si="5"/>
        <v>0</v>
      </c>
      <c r="F73" s="11">
        <f t="shared" si="5"/>
        <v>0</v>
      </c>
      <c r="G73" s="11">
        <f t="shared" si="5"/>
        <v>0</v>
      </c>
      <c r="H73" s="123">
        <f t="shared" si="5"/>
        <v>0</v>
      </c>
      <c r="I73" s="11">
        <f t="shared" si="5"/>
        <v>0</v>
      </c>
      <c r="J73" s="11">
        <f t="shared" si="5"/>
        <v>0</v>
      </c>
      <c r="K73" s="11">
        <f t="shared" si="5"/>
        <v>0</v>
      </c>
      <c r="L73" s="11">
        <f t="shared" si="5"/>
        <v>0</v>
      </c>
      <c r="M73" s="11">
        <f t="shared" si="5"/>
        <v>0</v>
      </c>
      <c r="N73" s="124">
        <f t="shared" si="5"/>
        <v>0</v>
      </c>
      <c r="O73" s="11">
        <f t="shared" si="5"/>
        <v>0</v>
      </c>
      <c r="P73" s="11">
        <f t="shared" si="5"/>
        <v>0</v>
      </c>
      <c r="Q73" s="11">
        <f t="shared" si="5"/>
        <v>0</v>
      </c>
      <c r="R73" s="11">
        <f t="shared" si="5"/>
        <v>0</v>
      </c>
      <c r="S73" s="11">
        <f t="shared" si="5"/>
        <v>0</v>
      </c>
      <c r="T73" s="124">
        <f t="shared" si="5"/>
        <v>0</v>
      </c>
      <c r="U73" s="11">
        <f t="shared" si="5"/>
        <v>0</v>
      </c>
      <c r="V73" s="11">
        <f t="shared" si="5"/>
        <v>0</v>
      </c>
      <c r="W73" s="11">
        <f t="shared" si="5"/>
        <v>0</v>
      </c>
      <c r="X73" s="11">
        <f t="shared" si="5"/>
        <v>0</v>
      </c>
      <c r="Y73" s="11">
        <f t="shared" si="5"/>
        <v>0</v>
      </c>
      <c r="Z73" s="124">
        <f t="shared" si="5"/>
        <v>0</v>
      </c>
      <c r="AA73" s="11">
        <f t="shared" si="5"/>
        <v>0</v>
      </c>
      <c r="AB73" s="11">
        <f t="shared" si="5"/>
        <v>0</v>
      </c>
      <c r="AC73" s="11">
        <f t="shared" si="5"/>
        <v>0</v>
      </c>
      <c r="AD73" s="11">
        <f t="shared" si="5"/>
        <v>0</v>
      </c>
      <c r="AE73" s="11">
        <f t="shared" si="5"/>
        <v>0</v>
      </c>
      <c r="AF73" s="124">
        <f t="shared" si="5"/>
        <v>0</v>
      </c>
      <c r="AG73" s="11">
        <f t="shared" si="5"/>
        <v>0</v>
      </c>
      <c r="AH73" s="11">
        <f t="shared" si="5"/>
        <v>0</v>
      </c>
      <c r="AI73" s="11">
        <f t="shared" si="5"/>
        <v>0</v>
      </c>
      <c r="AJ73" s="124">
        <f t="shared" si="5"/>
        <v>0</v>
      </c>
      <c r="AK73" s="11">
        <f t="shared" si="5"/>
        <v>0</v>
      </c>
      <c r="AL73" s="124">
        <f t="shared" si="5"/>
        <v>0</v>
      </c>
    </row>
    <row r="74" spans="1:40" ht="14.25" customHeight="1"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111"/>
      <c r="AH74" s="76"/>
      <c r="AI74" s="76"/>
      <c r="AJ74" s="76"/>
      <c r="AK74" s="76"/>
      <c r="AL74" s="76"/>
      <c r="AM74" s="13"/>
      <c r="AN74" s="13"/>
    </row>
    <row r="76" spans="1:40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7"/>
      <c r="AM76" s="107"/>
      <c r="AN76" s="107"/>
    </row>
    <row r="77" spans="1:40" ht="18" customHeight="1">
      <c r="B77" s="11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19"/>
      <c r="AL77" s="119"/>
      <c r="AM77" s="119"/>
    </row>
    <row r="78" spans="1:40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20"/>
      <c r="AL78" s="120"/>
      <c r="AM78" s="120"/>
    </row>
    <row r="79" spans="1:40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20"/>
      <c r="AL79" s="120"/>
      <c r="AM79" s="120"/>
    </row>
    <row r="80" spans="1:4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20"/>
      <c r="AL80" s="120"/>
      <c r="AM80" s="120"/>
    </row>
    <row r="81" spans="2:39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20"/>
      <c r="AL81" s="120"/>
      <c r="AM81" s="120"/>
    </row>
    <row r="82" spans="2:39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20"/>
      <c r="AL82" s="120"/>
      <c r="AM82" s="120"/>
    </row>
    <row r="83" spans="2:39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20"/>
      <c r="AL83" s="120"/>
      <c r="AM83" s="120"/>
    </row>
    <row r="84" spans="2:39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76"/>
      <c r="AL84" s="76"/>
      <c r="AM84" s="76"/>
    </row>
    <row r="85" spans="2:39" ht="25.5" customHeight="1">
      <c r="B85" s="109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"/>
    </row>
    <row r="86" spans="2:39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 spans="2:39">
      <c r="B87" s="11"/>
      <c r="C87" s="11"/>
      <c r="D87" s="11"/>
      <c r="E87" s="11"/>
      <c r="F87" s="11"/>
      <c r="G87" s="11"/>
      <c r="H87" s="11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5"/>
      <c r="AL87" s="115"/>
      <c r="AM87" s="115"/>
    </row>
    <row r="88" spans="2:39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 spans="2:39"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</row>
    <row r="90" spans="2:39" ht="15" customHeight="1">
      <c r="B90" s="11"/>
      <c r="C90" s="112"/>
      <c r="D90" s="112"/>
      <c r="E90" s="112"/>
      <c r="F90" s="112"/>
      <c r="G90" s="112"/>
      <c r="H90" s="113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</row>
    <row r="91" spans="2:39">
      <c r="B91" s="11"/>
      <c r="C91" s="112"/>
      <c r="D91" s="112"/>
      <c r="E91" s="112"/>
      <c r="F91" s="112"/>
      <c r="G91" s="112"/>
      <c r="H91" s="113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</row>
    <row r="92" spans="2:39">
      <c r="B92" s="11"/>
      <c r="C92" s="112"/>
      <c r="D92" s="112"/>
      <c r="E92" s="112"/>
      <c r="F92" s="112"/>
      <c r="G92" s="112"/>
      <c r="H92" s="113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</row>
    <row r="93" spans="2:39">
      <c r="B93" s="11"/>
      <c r="C93" s="112"/>
      <c r="D93" s="112"/>
      <c r="E93" s="112"/>
      <c r="F93" s="112"/>
      <c r="G93" s="112"/>
      <c r="H93" s="113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</row>
    <row r="94" spans="2:39" ht="26.25" customHeight="1">
      <c r="B94" s="11"/>
    </row>
    <row r="95" spans="2:39" ht="26.25" customHeight="1">
      <c r="B95" s="11"/>
    </row>
    <row r="96" spans="2:39" ht="26.25" customHeight="1">
      <c r="B96" s="11"/>
    </row>
    <row r="97" spans="2:2" ht="26.25" customHeight="1">
      <c r="B97" s="11"/>
    </row>
    <row r="98" spans="2:2" ht="26.25" customHeight="1">
      <c r="B98" s="11"/>
    </row>
    <row r="99" spans="2:2" ht="26.25" customHeight="1">
      <c r="B99" s="11"/>
    </row>
    <row r="100" spans="2:2" ht="26.25" customHeight="1">
      <c r="B100" s="11"/>
    </row>
    <row r="101" spans="2:2">
      <c r="B101" s="11"/>
    </row>
    <row r="103" spans="2:2">
      <c r="B103" s="11"/>
    </row>
    <row r="104" spans="2:2">
      <c r="B104" s="11"/>
    </row>
    <row r="105" spans="2:2">
      <c r="B105" s="11"/>
    </row>
    <row r="106" spans="2:2">
      <c r="B106" s="11"/>
    </row>
    <row r="107" spans="2:2">
      <c r="B107" s="11"/>
    </row>
    <row r="108" spans="2:2">
      <c r="B108" s="11"/>
    </row>
    <row r="110" spans="2:2">
      <c r="B110" s="11"/>
    </row>
    <row r="111" spans="2:2">
      <c r="B111" s="11"/>
    </row>
    <row r="112" spans="2:2">
      <c r="B112" s="11"/>
    </row>
    <row r="113" spans="2:2">
      <c r="B113" s="11"/>
    </row>
    <row r="114" spans="2:2">
      <c r="B114" s="11"/>
    </row>
    <row r="115" spans="2:2">
      <c r="B115" s="11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45" priority="6" operator="equal">
      <formula>0</formula>
    </cfRule>
  </conditionalFormatting>
  <conditionalFormatting sqref="B12:B26">
    <cfRule type="cellIs" dxfId="44" priority="4" operator="equal">
      <formula>0</formula>
    </cfRule>
  </conditionalFormatting>
  <conditionalFormatting sqref="B28:B41">
    <cfRule type="cellIs" dxfId="43" priority="2" operator="equal">
      <formula>0</formula>
    </cfRule>
  </conditionalFormatting>
  <conditionalFormatting sqref="B43:B49">
    <cfRule type="cellIs" dxfId="42" priority="1" operator="equal">
      <formula>0</formula>
    </cfRule>
  </conditionalFormatting>
  <conditionalFormatting sqref="B66:B72">
    <cfRule type="cellIs" dxfId="41" priority="19" operator="equal">
      <formula>0</formula>
    </cfRule>
  </conditionalFormatting>
  <conditionalFormatting sqref="B100:B101">
    <cfRule type="cellIs" dxfId="40" priority="12" operator="equal">
      <formula>0</formula>
    </cfRule>
  </conditionalFormatting>
  <conditionalFormatting sqref="B103:B108">
    <cfRule type="cellIs" dxfId="39" priority="11" operator="equal">
      <formula>0</formula>
    </cfRule>
  </conditionalFormatting>
  <conditionalFormatting sqref="B110:B115">
    <cfRule type="cellIs" dxfId="38" priority="10" operator="equal">
      <formula>0</formula>
    </cfRule>
  </conditionalFormatting>
  <conditionalFormatting sqref="C77:H77">
    <cfRule type="cellIs" dxfId="37" priority="18" operator="equal">
      <formula>0</formula>
    </cfRule>
  </conditionalFormatting>
  <conditionalFormatting sqref="C66:AL72">
    <cfRule type="cellIs" dxfId="36" priority="7" operator="equal">
      <formula>0</formula>
    </cfRule>
  </conditionalFormatting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"/>
  <dimension ref="A1:AR115"/>
  <sheetViews>
    <sheetView workbookViewId="0">
      <pane xSplit="2" ySplit="3" topLeftCell="C37" activePane="bottomRight" state="frozen"/>
      <selection pane="topRight"/>
      <selection pane="bottomLeft"/>
      <selection pane="bottomRight" activeCell="G19" sqref="G19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69" t="s">
        <v>0</v>
      </c>
      <c r="D2" s="169"/>
      <c r="E2" s="169"/>
      <c r="F2" s="169"/>
      <c r="G2" s="169"/>
      <c r="H2" s="169"/>
      <c r="I2" s="169" t="s">
        <v>1</v>
      </c>
      <c r="J2" s="169"/>
      <c r="K2" s="169"/>
      <c r="L2" s="169"/>
      <c r="M2" s="169"/>
      <c r="N2" s="169"/>
      <c r="O2" s="169" t="s">
        <v>2</v>
      </c>
      <c r="P2" s="169"/>
      <c r="Q2" s="169"/>
      <c r="R2" s="169"/>
      <c r="S2" s="169"/>
      <c r="T2" s="169"/>
      <c r="U2" s="169" t="s">
        <v>3</v>
      </c>
      <c r="V2" s="169"/>
      <c r="W2" s="169"/>
      <c r="X2" s="169"/>
      <c r="Y2" s="169"/>
      <c r="Z2" s="169"/>
      <c r="AA2" s="169" t="s">
        <v>4</v>
      </c>
      <c r="AB2" s="169"/>
      <c r="AC2" s="169"/>
      <c r="AD2" s="169"/>
      <c r="AE2" s="169"/>
      <c r="AF2" s="169"/>
      <c r="AG2" s="169" t="s">
        <v>5</v>
      </c>
      <c r="AH2" s="169"/>
      <c r="AI2" s="169"/>
      <c r="AJ2" s="169"/>
      <c r="AK2" s="160" t="s">
        <v>6</v>
      </c>
      <c r="AL2" s="160" t="s">
        <v>7</v>
      </c>
      <c r="AM2" s="87" t="s">
        <v>8</v>
      </c>
      <c r="AN2" s="87"/>
    </row>
    <row r="3" spans="1:40">
      <c r="B3" s="54" t="s">
        <v>9</v>
      </c>
      <c r="C3" s="55">
        <v>1</v>
      </c>
      <c r="D3" s="56">
        <v>2</v>
      </c>
      <c r="E3" s="56">
        <v>3</v>
      </c>
      <c r="F3" s="56">
        <v>4</v>
      </c>
      <c r="G3" s="56">
        <v>5</v>
      </c>
      <c r="H3" s="57">
        <v>6</v>
      </c>
      <c r="I3" s="55">
        <v>1</v>
      </c>
      <c r="J3" s="56">
        <v>2</v>
      </c>
      <c r="K3" s="56">
        <v>3</v>
      </c>
      <c r="L3" s="56">
        <v>4</v>
      </c>
      <c r="M3" s="56">
        <v>5</v>
      </c>
      <c r="N3" s="57">
        <v>6</v>
      </c>
      <c r="O3" s="55">
        <v>1</v>
      </c>
      <c r="P3" s="56">
        <v>2</v>
      </c>
      <c r="Q3" s="56">
        <v>3</v>
      </c>
      <c r="R3" s="56">
        <v>4</v>
      </c>
      <c r="S3" s="56">
        <v>5</v>
      </c>
      <c r="T3" s="57">
        <v>6</v>
      </c>
      <c r="U3" s="55">
        <v>1</v>
      </c>
      <c r="V3" s="56">
        <v>2</v>
      </c>
      <c r="W3" s="56">
        <v>3</v>
      </c>
      <c r="X3" s="56">
        <v>4</v>
      </c>
      <c r="Y3" s="56">
        <v>5</v>
      </c>
      <c r="Z3" s="57">
        <v>6</v>
      </c>
      <c r="AA3" s="55">
        <v>1</v>
      </c>
      <c r="AB3" s="56">
        <v>2</v>
      </c>
      <c r="AC3" s="56">
        <v>3</v>
      </c>
      <c r="AD3" s="56">
        <v>4</v>
      </c>
      <c r="AE3" s="56">
        <v>5</v>
      </c>
      <c r="AF3" s="57">
        <v>6</v>
      </c>
      <c r="AG3" s="55">
        <v>1</v>
      </c>
      <c r="AH3" s="56">
        <v>2</v>
      </c>
      <c r="AI3" s="56">
        <v>3</v>
      </c>
      <c r="AJ3" s="56">
        <v>4</v>
      </c>
      <c r="AK3" s="160"/>
      <c r="AL3" s="160"/>
      <c r="AM3" s="88" t="s">
        <v>10</v>
      </c>
      <c r="AN3" s="89" t="s">
        <v>11</v>
      </c>
    </row>
    <row r="4" spans="1:40" ht="14.25" customHeight="1">
      <c r="A4" s="175" t="s">
        <v>12</v>
      </c>
      <c r="B4" s="58" t="s">
        <v>13</v>
      </c>
      <c r="C4" s="59"/>
      <c r="D4" s="60"/>
      <c r="E4" s="60"/>
      <c r="F4" s="60"/>
      <c r="G4" s="60"/>
      <c r="H4" s="61"/>
      <c r="I4" s="17"/>
      <c r="J4" s="60"/>
      <c r="K4" s="60"/>
      <c r="L4" s="60"/>
      <c r="M4" s="60"/>
      <c r="N4" s="82"/>
      <c r="O4" s="17"/>
      <c r="P4" s="60"/>
      <c r="Q4" s="60"/>
      <c r="R4" s="60"/>
      <c r="S4" s="60"/>
      <c r="T4" s="82"/>
      <c r="U4" s="17"/>
      <c r="V4" s="60"/>
      <c r="W4" s="60"/>
      <c r="X4" s="60"/>
      <c r="Y4" s="60"/>
      <c r="Z4" s="82"/>
      <c r="AA4" s="17"/>
      <c r="AB4" s="60"/>
      <c r="AC4" s="60"/>
      <c r="AD4" s="60"/>
      <c r="AE4" s="60"/>
      <c r="AF4" s="82"/>
      <c r="AG4" s="17"/>
      <c r="AH4" s="60"/>
      <c r="AI4" s="60"/>
      <c r="AJ4" s="61"/>
      <c r="AK4" s="90"/>
      <c r="AL4" s="91"/>
      <c r="AM4" s="92">
        <f>SUM(C4:AL4)</f>
        <v>0</v>
      </c>
      <c r="AN4" s="93">
        <f>AM4*25</f>
        <v>0</v>
      </c>
    </row>
    <row r="5" spans="1:40" ht="14.25" customHeight="1">
      <c r="A5" s="175"/>
      <c r="B5" s="62" t="s">
        <v>14</v>
      </c>
      <c r="C5" s="63"/>
      <c r="D5" s="64"/>
      <c r="E5" s="64"/>
      <c r="F5" s="64"/>
      <c r="G5" s="64"/>
      <c r="H5" s="65"/>
      <c r="I5" s="83"/>
      <c r="J5" s="64"/>
      <c r="K5" s="64"/>
      <c r="L5" s="64"/>
      <c r="M5" s="64"/>
      <c r="N5" s="84"/>
      <c r="O5" s="83"/>
      <c r="P5" s="64"/>
      <c r="Q5" s="64"/>
      <c r="R5" s="64"/>
      <c r="S5" s="64"/>
      <c r="T5" s="84"/>
      <c r="U5" s="83"/>
      <c r="V5" s="64"/>
      <c r="W5" s="64"/>
      <c r="X5" s="64"/>
      <c r="Y5" s="64"/>
      <c r="Z5" s="84"/>
      <c r="AA5" s="83"/>
      <c r="AB5" s="64"/>
      <c r="AC5" s="64"/>
      <c r="AD5" s="64"/>
      <c r="AE5" s="64"/>
      <c r="AF5" s="84"/>
      <c r="AG5" s="83"/>
      <c r="AH5" s="64"/>
      <c r="AI5" s="64"/>
      <c r="AJ5" s="65"/>
      <c r="AK5" s="94"/>
      <c r="AL5" s="95"/>
      <c r="AM5" s="92">
        <f t="shared" ref="AM5:AM49" si="0">SUM(C5:AL5)</f>
        <v>0</v>
      </c>
      <c r="AN5" s="93">
        <f t="shared" ref="AN5:AN49" si="1">AM5*25</f>
        <v>0</v>
      </c>
    </row>
    <row r="6" spans="1:40" ht="14.25" customHeight="1">
      <c r="A6" s="175"/>
      <c r="B6" s="62" t="s">
        <v>15</v>
      </c>
      <c r="C6" s="63"/>
      <c r="D6" s="64"/>
      <c r="E6" s="64"/>
      <c r="F6" s="64"/>
      <c r="G6" s="64"/>
      <c r="H6" s="65"/>
      <c r="I6" s="83"/>
      <c r="J6" s="64"/>
      <c r="K6" s="64"/>
      <c r="L6" s="64"/>
      <c r="M6" s="64"/>
      <c r="N6" s="84"/>
      <c r="O6" s="83"/>
      <c r="P6" s="64"/>
      <c r="Q6" s="64"/>
      <c r="R6" s="64"/>
      <c r="S6" s="64"/>
      <c r="T6" s="84"/>
      <c r="U6" s="83"/>
      <c r="V6" s="64"/>
      <c r="W6" s="64"/>
      <c r="X6" s="64"/>
      <c r="Y6" s="64"/>
      <c r="Z6" s="84"/>
      <c r="AA6" s="83"/>
      <c r="AB6" s="64"/>
      <c r="AC6" s="64"/>
      <c r="AD6" s="64"/>
      <c r="AE6" s="64"/>
      <c r="AF6" s="84"/>
      <c r="AG6" s="83"/>
      <c r="AH6" s="64"/>
      <c r="AI6" s="64"/>
      <c r="AJ6" s="65"/>
      <c r="AK6" s="94"/>
      <c r="AL6" s="95"/>
      <c r="AM6" s="92">
        <f t="shared" si="0"/>
        <v>0</v>
      </c>
      <c r="AN6" s="93">
        <f t="shared" si="1"/>
        <v>0</v>
      </c>
    </row>
    <row r="7" spans="1:40" ht="14.25" customHeight="1">
      <c r="A7" s="175"/>
      <c r="B7" s="62" t="s">
        <v>131</v>
      </c>
      <c r="C7" s="63"/>
      <c r="D7" s="64"/>
      <c r="E7" s="64"/>
      <c r="F7" s="64"/>
      <c r="G7" s="64"/>
      <c r="H7" s="65"/>
      <c r="I7" s="83"/>
      <c r="J7" s="64"/>
      <c r="K7" s="64"/>
      <c r="L7" s="64"/>
      <c r="M7" s="64"/>
      <c r="N7" s="84"/>
      <c r="O7" s="83"/>
      <c r="P7" s="64"/>
      <c r="Q7" s="64"/>
      <c r="R7" s="64"/>
      <c r="S7" s="64"/>
      <c r="T7" s="84"/>
      <c r="U7" s="83"/>
      <c r="V7" s="64"/>
      <c r="W7" s="64"/>
      <c r="X7" s="64"/>
      <c r="Y7" s="64"/>
      <c r="Z7" s="84"/>
      <c r="AA7" s="83"/>
      <c r="AB7" s="64"/>
      <c r="AC7" s="64"/>
      <c r="AD7" s="64"/>
      <c r="AE7" s="64"/>
      <c r="AF7" s="84"/>
      <c r="AG7" s="83"/>
      <c r="AH7" s="64"/>
      <c r="AI7" s="64"/>
      <c r="AJ7" s="65"/>
      <c r="AK7" s="94"/>
      <c r="AL7" s="95"/>
      <c r="AM7" s="92">
        <f t="shared" si="0"/>
        <v>0</v>
      </c>
      <c r="AN7" s="93">
        <f t="shared" si="1"/>
        <v>0</v>
      </c>
    </row>
    <row r="8" spans="1:40" ht="14.25" customHeight="1">
      <c r="A8" s="175"/>
      <c r="B8" s="62" t="s">
        <v>16</v>
      </c>
      <c r="C8" s="63"/>
      <c r="D8" s="64"/>
      <c r="E8" s="64"/>
      <c r="F8" s="64"/>
      <c r="G8" s="64"/>
      <c r="H8" s="65"/>
      <c r="I8" s="83"/>
      <c r="J8" s="64"/>
      <c r="K8" s="64"/>
      <c r="L8" s="64"/>
      <c r="M8" s="64"/>
      <c r="N8" s="84"/>
      <c r="O8" s="83"/>
      <c r="P8" s="64"/>
      <c r="Q8" s="64"/>
      <c r="R8" s="64"/>
      <c r="S8" s="64"/>
      <c r="T8" s="84"/>
      <c r="U8" s="83"/>
      <c r="V8" s="64"/>
      <c r="W8" s="64"/>
      <c r="X8" s="64"/>
      <c r="Y8" s="64"/>
      <c r="Z8" s="84"/>
      <c r="AA8" s="83"/>
      <c r="AB8" s="64"/>
      <c r="AC8" s="64"/>
      <c r="AD8" s="64"/>
      <c r="AE8" s="64"/>
      <c r="AF8" s="84"/>
      <c r="AG8" s="83"/>
      <c r="AH8" s="64"/>
      <c r="AI8" s="64"/>
      <c r="AJ8" s="65"/>
      <c r="AK8" s="94"/>
      <c r="AL8" s="95"/>
      <c r="AM8" s="92">
        <f t="shared" si="0"/>
        <v>0</v>
      </c>
      <c r="AN8" s="93">
        <f t="shared" si="1"/>
        <v>0</v>
      </c>
    </row>
    <row r="9" spans="1:40" ht="14.25" customHeight="1">
      <c r="A9" s="175"/>
      <c r="B9" s="62" t="s">
        <v>17</v>
      </c>
      <c r="C9" s="63"/>
      <c r="D9" s="64"/>
      <c r="E9" s="64"/>
      <c r="F9" s="64"/>
      <c r="G9" s="64"/>
      <c r="H9" s="65"/>
      <c r="I9" s="83"/>
      <c r="J9" s="64"/>
      <c r="K9" s="64"/>
      <c r="L9" s="64"/>
      <c r="M9" s="64"/>
      <c r="N9" s="84"/>
      <c r="O9" s="83"/>
      <c r="P9" s="64"/>
      <c r="Q9" s="64"/>
      <c r="R9" s="64"/>
      <c r="S9" s="64"/>
      <c r="T9" s="84"/>
      <c r="U9" s="83"/>
      <c r="V9" s="64"/>
      <c r="W9" s="64"/>
      <c r="X9" s="64"/>
      <c r="Y9" s="64"/>
      <c r="Z9" s="84"/>
      <c r="AA9" s="83"/>
      <c r="AB9" s="64"/>
      <c r="AC9" s="64"/>
      <c r="AD9" s="64"/>
      <c r="AE9" s="64"/>
      <c r="AF9" s="84"/>
      <c r="AG9" s="83"/>
      <c r="AH9" s="64"/>
      <c r="AI9" s="64"/>
      <c r="AJ9" s="65"/>
      <c r="AK9" s="94"/>
      <c r="AL9" s="95"/>
      <c r="AM9" s="92">
        <f t="shared" si="0"/>
        <v>0</v>
      </c>
      <c r="AN9" s="93">
        <f t="shared" si="1"/>
        <v>0</v>
      </c>
    </row>
    <row r="10" spans="1:40" ht="14.25" customHeight="1">
      <c r="A10" s="175"/>
      <c r="B10" s="62"/>
      <c r="C10" s="63"/>
      <c r="D10" s="64"/>
      <c r="E10" s="64"/>
      <c r="F10" s="64"/>
      <c r="G10" s="64"/>
      <c r="H10" s="65"/>
      <c r="I10" s="83"/>
      <c r="J10" s="64"/>
      <c r="K10" s="64"/>
      <c r="L10" s="64"/>
      <c r="M10" s="64"/>
      <c r="N10" s="84"/>
      <c r="O10" s="83"/>
      <c r="P10" s="64"/>
      <c r="Q10" s="64"/>
      <c r="R10" s="64"/>
      <c r="S10" s="64"/>
      <c r="T10" s="84"/>
      <c r="U10" s="83"/>
      <c r="V10" s="64"/>
      <c r="W10" s="64"/>
      <c r="X10" s="64"/>
      <c r="Y10" s="64"/>
      <c r="Z10" s="84"/>
      <c r="AA10" s="83"/>
      <c r="AB10" s="64"/>
      <c r="AC10" s="64"/>
      <c r="AD10" s="64"/>
      <c r="AE10" s="64"/>
      <c r="AF10" s="84"/>
      <c r="AG10" s="83"/>
      <c r="AH10" s="64"/>
      <c r="AI10" s="64"/>
      <c r="AJ10" s="65"/>
      <c r="AK10" s="94"/>
      <c r="AL10" s="95"/>
      <c r="AM10" s="92">
        <f t="shared" si="0"/>
        <v>0</v>
      </c>
      <c r="AN10" s="93">
        <f t="shared" si="1"/>
        <v>0</v>
      </c>
    </row>
    <row r="11" spans="1:40" ht="6.75" customHeight="1">
      <c r="A11" s="66"/>
      <c r="B11" s="67"/>
      <c r="I11" s="85"/>
      <c r="O11" s="85"/>
      <c r="U11" s="85"/>
      <c r="AA11" s="85"/>
      <c r="AG11" s="85"/>
      <c r="AK11" s="96"/>
      <c r="AL11" s="96"/>
      <c r="AM11" s="92">
        <f t="shared" si="0"/>
        <v>0</v>
      </c>
      <c r="AN11" s="93">
        <f t="shared" si="1"/>
        <v>0</v>
      </c>
    </row>
    <row r="12" spans="1:40" ht="14.25" customHeight="1">
      <c r="A12" s="170" t="s">
        <v>18</v>
      </c>
      <c r="B12" s="62" t="s">
        <v>13</v>
      </c>
      <c r="C12" s="63"/>
      <c r="D12" s="64"/>
      <c r="E12" s="64"/>
      <c r="F12" s="64"/>
      <c r="G12" s="64"/>
      <c r="H12" s="65"/>
      <c r="I12" s="83"/>
      <c r="J12" s="64"/>
      <c r="K12" s="64"/>
      <c r="L12" s="64"/>
      <c r="M12" s="64"/>
      <c r="N12" s="84"/>
      <c r="O12" s="83"/>
      <c r="P12" s="64"/>
      <c r="Q12" s="64"/>
      <c r="R12" s="64"/>
      <c r="S12" s="64"/>
      <c r="T12" s="84"/>
      <c r="U12" s="83"/>
      <c r="V12" s="64"/>
      <c r="W12" s="64"/>
      <c r="X12" s="64"/>
      <c r="Y12" s="64"/>
      <c r="Z12" s="84"/>
      <c r="AA12" s="83"/>
      <c r="AB12" s="64"/>
      <c r="AC12" s="64"/>
      <c r="AD12" s="64"/>
      <c r="AE12" s="64"/>
      <c r="AF12" s="84"/>
      <c r="AG12" s="83"/>
      <c r="AH12" s="64"/>
      <c r="AI12" s="64"/>
      <c r="AJ12" s="65"/>
      <c r="AK12" s="94"/>
      <c r="AL12" s="97"/>
      <c r="AM12" s="92">
        <f t="shared" si="0"/>
        <v>0</v>
      </c>
      <c r="AN12" s="93">
        <f t="shared" si="1"/>
        <v>0</v>
      </c>
    </row>
    <row r="13" spans="1:40" ht="14.25" customHeight="1">
      <c r="A13" s="171"/>
      <c r="B13" s="62" t="s">
        <v>14</v>
      </c>
      <c r="C13" s="63"/>
      <c r="D13" s="64"/>
      <c r="E13" s="64"/>
      <c r="F13" s="64"/>
      <c r="G13" s="64"/>
      <c r="H13" s="65"/>
      <c r="I13" s="83"/>
      <c r="J13" s="64"/>
      <c r="K13" s="64"/>
      <c r="L13" s="64"/>
      <c r="M13" s="64"/>
      <c r="N13" s="84"/>
      <c r="O13" s="83"/>
      <c r="P13" s="64"/>
      <c r="Q13" s="64"/>
      <c r="R13" s="64"/>
      <c r="S13" s="64"/>
      <c r="T13" s="84"/>
      <c r="U13" s="83"/>
      <c r="V13" s="64"/>
      <c r="W13" s="64"/>
      <c r="X13" s="64"/>
      <c r="Y13" s="64"/>
      <c r="Z13" s="84"/>
      <c r="AA13" s="83"/>
      <c r="AB13" s="64"/>
      <c r="AC13" s="64"/>
      <c r="AD13" s="64"/>
      <c r="AE13" s="64"/>
      <c r="AF13" s="84"/>
      <c r="AG13" s="83"/>
      <c r="AH13" s="64"/>
      <c r="AI13" s="64"/>
      <c r="AJ13" s="65"/>
      <c r="AK13" s="94"/>
      <c r="AL13" s="97"/>
      <c r="AM13" s="92">
        <f t="shared" si="0"/>
        <v>0</v>
      </c>
      <c r="AN13" s="93">
        <f t="shared" si="1"/>
        <v>0</v>
      </c>
    </row>
    <row r="14" spans="1:40" ht="14.25" customHeight="1">
      <c r="A14" s="171"/>
      <c r="B14" s="62" t="s">
        <v>15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83"/>
      <c r="AH14" s="64"/>
      <c r="AI14" s="64"/>
      <c r="AJ14" s="65"/>
      <c r="AK14" s="94"/>
      <c r="AL14" s="97"/>
      <c r="AM14" s="92">
        <f t="shared" si="0"/>
        <v>0</v>
      </c>
      <c r="AN14" s="93">
        <f t="shared" si="1"/>
        <v>0</v>
      </c>
    </row>
    <row r="15" spans="1:40" ht="14.25" customHeight="1">
      <c r="A15" s="171"/>
      <c r="B15" s="62" t="s">
        <v>131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83"/>
      <c r="AH15" s="64"/>
      <c r="AI15" s="64"/>
      <c r="AJ15" s="65"/>
      <c r="AK15" s="94"/>
      <c r="AL15" s="97"/>
      <c r="AM15" s="92">
        <f t="shared" si="0"/>
        <v>0</v>
      </c>
      <c r="AN15" s="93">
        <f t="shared" si="1"/>
        <v>0</v>
      </c>
    </row>
    <row r="16" spans="1:40" ht="14.25" customHeight="1">
      <c r="A16" s="171"/>
      <c r="B16" s="62" t="s">
        <v>16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83"/>
      <c r="AH16" s="64"/>
      <c r="AI16" s="64"/>
      <c r="AJ16" s="65"/>
      <c r="AK16" s="94"/>
      <c r="AL16" s="97"/>
      <c r="AM16" s="92">
        <f t="shared" si="0"/>
        <v>0</v>
      </c>
      <c r="AN16" s="93">
        <f t="shared" si="1"/>
        <v>0</v>
      </c>
    </row>
    <row r="17" spans="1:40" ht="14.25" customHeight="1">
      <c r="A17" s="171"/>
      <c r="B17" s="62" t="s">
        <v>17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83"/>
      <c r="AH17" s="64"/>
      <c r="AI17" s="64"/>
      <c r="AJ17" s="65"/>
      <c r="AK17" s="94"/>
      <c r="AL17" s="97"/>
      <c r="AM17" s="92">
        <f t="shared" si="0"/>
        <v>0</v>
      </c>
      <c r="AN17" s="93">
        <f t="shared" si="1"/>
        <v>0</v>
      </c>
    </row>
    <row r="18" spans="1:40" ht="14.25" customHeight="1">
      <c r="A18" s="172"/>
      <c r="B18" s="62"/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83"/>
      <c r="AH18" s="64"/>
      <c r="AI18" s="64"/>
      <c r="AJ18" s="65"/>
      <c r="AK18" s="94"/>
      <c r="AL18" s="97"/>
      <c r="AM18" s="92">
        <f t="shared" si="0"/>
        <v>0</v>
      </c>
      <c r="AN18" s="93">
        <f t="shared" si="1"/>
        <v>0</v>
      </c>
    </row>
    <row r="19" spans="1:40" ht="7.5" customHeight="1">
      <c r="A19" s="66"/>
      <c r="B19" s="68"/>
      <c r="I19" s="85"/>
      <c r="N19" s="85"/>
      <c r="O19" s="85"/>
      <c r="T19" s="85"/>
      <c r="U19" s="85"/>
      <c r="Z19" s="85"/>
      <c r="AA19" s="85"/>
      <c r="AF19" s="85"/>
      <c r="AG19" s="85"/>
      <c r="AK19" s="96"/>
      <c r="AL19" s="98"/>
      <c r="AM19" s="92">
        <f t="shared" si="0"/>
        <v>0</v>
      </c>
      <c r="AN19" s="93">
        <f t="shared" si="1"/>
        <v>0</v>
      </c>
    </row>
    <row r="20" spans="1:40" ht="14.25" customHeight="1">
      <c r="A20" s="170" t="s">
        <v>19</v>
      </c>
      <c r="B20" s="62" t="s">
        <v>13</v>
      </c>
      <c r="C20" s="63"/>
      <c r="D20" s="64"/>
      <c r="E20" s="64"/>
      <c r="F20" s="64"/>
      <c r="G20" s="64"/>
      <c r="H20" s="65"/>
      <c r="I20" s="83"/>
      <c r="J20" s="64"/>
      <c r="K20" s="64"/>
      <c r="L20" s="64"/>
      <c r="M20" s="64"/>
      <c r="N20" s="84"/>
      <c r="O20" s="83"/>
      <c r="P20" s="64"/>
      <c r="Q20" s="64"/>
      <c r="R20" s="64"/>
      <c r="S20" s="64"/>
      <c r="T20" s="84"/>
      <c r="U20" s="83"/>
      <c r="V20" s="64"/>
      <c r="W20" s="64"/>
      <c r="X20" s="64"/>
      <c r="Y20" s="64"/>
      <c r="Z20" s="84"/>
      <c r="AA20" s="83"/>
      <c r="AB20" s="64"/>
      <c r="AC20" s="64"/>
      <c r="AD20" s="64"/>
      <c r="AE20" s="64"/>
      <c r="AF20" s="84"/>
      <c r="AG20" s="83"/>
      <c r="AH20" s="64"/>
      <c r="AI20" s="64"/>
      <c r="AJ20" s="65"/>
      <c r="AK20" s="94"/>
      <c r="AL20" s="97"/>
      <c r="AM20" s="92">
        <f t="shared" si="0"/>
        <v>0</v>
      </c>
      <c r="AN20" s="93">
        <f t="shared" si="1"/>
        <v>0</v>
      </c>
    </row>
    <row r="21" spans="1:40" ht="14.25" customHeight="1">
      <c r="A21" s="171"/>
      <c r="B21" s="62" t="s">
        <v>14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65"/>
      <c r="AK21" s="94"/>
      <c r="AL21" s="97"/>
      <c r="AM21" s="92">
        <f t="shared" si="0"/>
        <v>0</v>
      </c>
      <c r="AN21" s="93">
        <f t="shared" si="1"/>
        <v>0</v>
      </c>
    </row>
    <row r="22" spans="1:40" ht="14.25" customHeight="1">
      <c r="A22" s="171"/>
      <c r="B22" s="62" t="s">
        <v>15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65"/>
      <c r="AK22" s="94"/>
      <c r="AL22" s="97"/>
      <c r="AM22" s="92">
        <f t="shared" si="0"/>
        <v>0</v>
      </c>
      <c r="AN22" s="93">
        <f t="shared" si="1"/>
        <v>0</v>
      </c>
    </row>
    <row r="23" spans="1:40" ht="14.25" customHeight="1">
      <c r="A23" s="171"/>
      <c r="B23" s="62" t="s">
        <v>131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65"/>
      <c r="AK23" s="94"/>
      <c r="AL23" s="97"/>
      <c r="AM23" s="92">
        <f t="shared" si="0"/>
        <v>0</v>
      </c>
      <c r="AN23" s="93">
        <f t="shared" si="1"/>
        <v>0</v>
      </c>
    </row>
    <row r="24" spans="1:40" ht="14.25" customHeight="1">
      <c r="A24" s="171"/>
      <c r="B24" s="62" t="s">
        <v>16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65"/>
      <c r="AK24" s="94"/>
      <c r="AL24" s="97"/>
      <c r="AM24" s="92">
        <f t="shared" si="0"/>
        <v>0</v>
      </c>
      <c r="AN24" s="93">
        <f t="shared" si="1"/>
        <v>0</v>
      </c>
    </row>
    <row r="25" spans="1:40" ht="14.25" customHeight="1">
      <c r="A25" s="171"/>
      <c r="B25" s="62" t="s">
        <v>17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65"/>
      <c r="AK25" s="94"/>
      <c r="AL25" s="97"/>
      <c r="AM25" s="92">
        <f t="shared" si="0"/>
        <v>0</v>
      </c>
      <c r="AN25" s="93">
        <f t="shared" si="1"/>
        <v>0</v>
      </c>
    </row>
    <row r="26" spans="1:40" ht="14.25" customHeight="1">
      <c r="A26" s="172"/>
      <c r="B26" s="62"/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65"/>
      <c r="AK26" s="94"/>
      <c r="AL26" s="97"/>
      <c r="AM26" s="92">
        <f t="shared" si="0"/>
        <v>0</v>
      </c>
      <c r="AN26" s="93">
        <f t="shared" si="1"/>
        <v>0</v>
      </c>
    </row>
    <row r="27" spans="1:40" ht="7.5" customHeight="1">
      <c r="A27" s="66"/>
      <c r="B27" s="67"/>
      <c r="I27" s="85"/>
      <c r="O27" s="85"/>
      <c r="U27" s="85"/>
      <c r="AA27" s="85"/>
      <c r="AG27" s="85"/>
      <c r="AK27" s="96"/>
      <c r="AL27" s="96"/>
      <c r="AM27" s="92">
        <f t="shared" si="0"/>
        <v>0</v>
      </c>
      <c r="AN27" s="93">
        <f t="shared" si="1"/>
        <v>0</v>
      </c>
    </row>
    <row r="28" spans="1:40" ht="14.25" customHeight="1">
      <c r="A28" s="170" t="s">
        <v>20</v>
      </c>
      <c r="B28" s="69" t="s">
        <v>13</v>
      </c>
      <c r="C28" s="63"/>
      <c r="D28" s="64"/>
      <c r="E28" s="64"/>
      <c r="F28" s="64"/>
      <c r="G28" s="64"/>
      <c r="H28" s="65"/>
      <c r="I28" s="83"/>
      <c r="J28" s="64"/>
      <c r="K28" s="64"/>
      <c r="L28" s="64"/>
      <c r="M28" s="64"/>
      <c r="N28" s="84"/>
      <c r="O28" s="83"/>
      <c r="P28" s="64"/>
      <c r="Q28" s="64"/>
      <c r="R28" s="64"/>
      <c r="S28" s="64"/>
      <c r="T28" s="84"/>
      <c r="U28" s="83"/>
      <c r="V28" s="64"/>
      <c r="W28" s="64"/>
      <c r="X28" s="64"/>
      <c r="Y28" s="64"/>
      <c r="Z28" s="84"/>
      <c r="AA28" s="83"/>
      <c r="AB28" s="64"/>
      <c r="AC28" s="64"/>
      <c r="AD28" s="64"/>
      <c r="AE28" s="64"/>
      <c r="AF28" s="84"/>
      <c r="AG28" s="83"/>
      <c r="AH28" s="64"/>
      <c r="AI28" s="64"/>
      <c r="AJ28" s="65"/>
      <c r="AK28" s="94"/>
      <c r="AL28" s="97"/>
      <c r="AM28" s="99">
        <f t="shared" si="0"/>
        <v>0</v>
      </c>
      <c r="AN28" s="93">
        <f t="shared" si="1"/>
        <v>0</v>
      </c>
    </row>
    <row r="29" spans="1:40" ht="14.25" customHeight="1">
      <c r="A29" s="171"/>
      <c r="B29" s="69" t="s">
        <v>14</v>
      </c>
      <c r="C29" s="63"/>
      <c r="D29" s="64"/>
      <c r="E29" s="64"/>
      <c r="F29" s="64"/>
      <c r="G29" s="64"/>
      <c r="H29" s="65"/>
      <c r="I29" s="83"/>
      <c r="J29" s="64"/>
      <c r="K29" s="64"/>
      <c r="L29" s="64"/>
      <c r="M29" s="64"/>
      <c r="N29" s="84"/>
      <c r="O29" s="83"/>
      <c r="P29" s="64"/>
      <c r="Q29" s="64"/>
      <c r="R29" s="64"/>
      <c r="S29" s="64"/>
      <c r="T29" s="84"/>
      <c r="U29" s="83"/>
      <c r="V29" s="64"/>
      <c r="W29" s="64"/>
      <c r="X29" s="64"/>
      <c r="Y29" s="64"/>
      <c r="Z29" s="84"/>
      <c r="AA29" s="83"/>
      <c r="AB29" s="64"/>
      <c r="AC29" s="64"/>
      <c r="AD29" s="64"/>
      <c r="AE29" s="64"/>
      <c r="AF29" s="84"/>
      <c r="AG29" s="83"/>
      <c r="AH29" s="64"/>
      <c r="AI29" s="64"/>
      <c r="AJ29" s="65"/>
      <c r="AK29" s="94"/>
      <c r="AL29" s="97"/>
      <c r="AM29" s="92">
        <f t="shared" si="0"/>
        <v>0</v>
      </c>
      <c r="AN29" s="93">
        <f t="shared" si="1"/>
        <v>0</v>
      </c>
    </row>
    <row r="30" spans="1:40" ht="14.25" customHeight="1">
      <c r="A30" s="171"/>
      <c r="B30" s="69" t="s">
        <v>15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83"/>
      <c r="AH30" s="64"/>
      <c r="AI30" s="64"/>
      <c r="AJ30" s="65"/>
      <c r="AK30" s="94"/>
      <c r="AL30" s="97"/>
      <c r="AM30" s="92">
        <f t="shared" si="0"/>
        <v>0</v>
      </c>
      <c r="AN30" s="93">
        <f t="shared" si="1"/>
        <v>0</v>
      </c>
    </row>
    <row r="31" spans="1:40" ht="14.25" customHeight="1">
      <c r="A31" s="171"/>
      <c r="B31" s="69" t="s">
        <v>131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83"/>
      <c r="AH31" s="64"/>
      <c r="AI31" s="64"/>
      <c r="AJ31" s="65"/>
      <c r="AK31" s="94"/>
      <c r="AL31" s="97"/>
      <c r="AM31" s="92">
        <f t="shared" si="0"/>
        <v>0</v>
      </c>
      <c r="AN31" s="93">
        <f t="shared" si="1"/>
        <v>0</v>
      </c>
    </row>
    <row r="32" spans="1:40" ht="14.25" customHeight="1">
      <c r="A32" s="171"/>
      <c r="B32" s="69" t="s">
        <v>16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83"/>
      <c r="AH32" s="64"/>
      <c r="AI32" s="64"/>
      <c r="AJ32" s="65"/>
      <c r="AK32" s="94"/>
      <c r="AL32" s="97"/>
      <c r="AM32" s="92">
        <f t="shared" si="0"/>
        <v>0</v>
      </c>
      <c r="AN32" s="93">
        <f t="shared" si="1"/>
        <v>0</v>
      </c>
    </row>
    <row r="33" spans="1:44" ht="14.25" customHeight="1">
      <c r="A33" s="171"/>
      <c r="B33" s="69" t="s">
        <v>17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83"/>
      <c r="AH33" s="64"/>
      <c r="AI33" s="64"/>
      <c r="AJ33" s="65"/>
      <c r="AK33" s="94"/>
      <c r="AL33" s="97"/>
      <c r="AM33" s="92">
        <f t="shared" si="0"/>
        <v>0</v>
      </c>
      <c r="AN33" s="93">
        <f t="shared" si="1"/>
        <v>0</v>
      </c>
    </row>
    <row r="34" spans="1:44" ht="7.5" customHeight="1">
      <c r="A34" s="171"/>
      <c r="B34" s="70"/>
      <c r="I34" s="11"/>
      <c r="N34" s="11"/>
      <c r="O34" s="11"/>
      <c r="T34" s="11"/>
      <c r="U34" s="11"/>
      <c r="Z34" s="11"/>
      <c r="AA34" s="11"/>
      <c r="AF34" s="11"/>
      <c r="AG34" s="11"/>
      <c r="AL34" s="11"/>
      <c r="AM34" s="92">
        <f t="shared" si="0"/>
        <v>0</v>
      </c>
      <c r="AN34" s="93">
        <f t="shared" si="1"/>
        <v>0</v>
      </c>
    </row>
    <row r="35" spans="1:44" ht="14.25" customHeight="1">
      <c r="A35" s="170" t="s">
        <v>21</v>
      </c>
      <c r="B35" s="62" t="s">
        <v>13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83"/>
      <c r="AH35" s="64"/>
      <c r="AI35" s="64"/>
      <c r="AJ35" s="65"/>
      <c r="AK35" s="94"/>
      <c r="AL35" s="95"/>
      <c r="AM35" s="92">
        <f t="shared" si="0"/>
        <v>0</v>
      </c>
      <c r="AN35" s="93">
        <f t="shared" si="1"/>
        <v>0</v>
      </c>
    </row>
    <row r="36" spans="1:44" ht="14.25" customHeight="1">
      <c r="A36" s="171"/>
      <c r="B36" s="62" t="s">
        <v>14</v>
      </c>
      <c r="C36" s="63"/>
      <c r="D36" s="64"/>
      <c r="E36" s="64"/>
      <c r="F36" s="64"/>
      <c r="G36" s="64"/>
      <c r="H36" s="65"/>
      <c r="I36" s="83"/>
      <c r="J36" s="64"/>
      <c r="K36" s="64"/>
      <c r="L36" s="64"/>
      <c r="M36" s="64"/>
      <c r="N36" s="84"/>
      <c r="O36" s="83"/>
      <c r="P36" s="64"/>
      <c r="Q36" s="64"/>
      <c r="R36" s="64"/>
      <c r="S36" s="64"/>
      <c r="T36" s="84"/>
      <c r="U36" s="83"/>
      <c r="V36" s="64"/>
      <c r="W36" s="64"/>
      <c r="X36" s="64"/>
      <c r="Y36" s="64"/>
      <c r="Z36" s="84"/>
      <c r="AA36" s="83"/>
      <c r="AB36" s="64"/>
      <c r="AC36" s="64"/>
      <c r="AD36" s="64"/>
      <c r="AE36" s="64"/>
      <c r="AF36" s="84"/>
      <c r="AG36" s="83"/>
      <c r="AH36" s="64"/>
      <c r="AI36" s="64"/>
      <c r="AJ36" s="65"/>
      <c r="AK36" s="94"/>
      <c r="AL36" s="95"/>
      <c r="AM36" s="92">
        <f t="shared" si="0"/>
        <v>0</v>
      </c>
      <c r="AN36" s="93">
        <f t="shared" si="1"/>
        <v>0</v>
      </c>
    </row>
    <row r="37" spans="1:44" ht="14.25" customHeight="1">
      <c r="A37" s="171"/>
      <c r="B37" s="62" t="s">
        <v>15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65"/>
      <c r="AK37" s="94"/>
      <c r="AL37" s="95"/>
      <c r="AM37" s="92">
        <f t="shared" si="0"/>
        <v>0</v>
      </c>
      <c r="AN37" s="93">
        <f t="shared" si="1"/>
        <v>0</v>
      </c>
    </row>
    <row r="38" spans="1:44" ht="14.25" customHeight="1">
      <c r="A38" s="171"/>
      <c r="B38" s="62" t="s">
        <v>131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65"/>
      <c r="AK38" s="94"/>
      <c r="AL38" s="95"/>
      <c r="AM38" s="92">
        <f t="shared" si="0"/>
        <v>0</v>
      </c>
      <c r="AN38" s="93">
        <f t="shared" si="1"/>
        <v>0</v>
      </c>
    </row>
    <row r="39" spans="1:44" ht="14.25" customHeight="1">
      <c r="A39" s="171"/>
      <c r="B39" s="62" t="s">
        <v>16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65"/>
      <c r="AK39" s="94"/>
      <c r="AL39" s="95"/>
      <c r="AM39" s="92">
        <f t="shared" si="0"/>
        <v>0</v>
      </c>
      <c r="AN39" s="93">
        <f t="shared" si="1"/>
        <v>0</v>
      </c>
    </row>
    <row r="40" spans="1:44" ht="14.25" customHeight="1">
      <c r="A40" s="171"/>
      <c r="B40" s="62" t="s">
        <v>17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65"/>
      <c r="AK40" s="94"/>
      <c r="AL40" s="95"/>
      <c r="AM40" s="92">
        <f t="shared" si="0"/>
        <v>0</v>
      </c>
      <c r="AN40" s="93">
        <f t="shared" si="1"/>
        <v>0</v>
      </c>
      <c r="AR40" t="s">
        <v>22</v>
      </c>
    </row>
    <row r="41" spans="1:44" ht="14.25" customHeight="1">
      <c r="A41" s="172"/>
      <c r="B41" s="62"/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65"/>
      <c r="AK41" s="94"/>
      <c r="AL41" s="95"/>
      <c r="AM41" s="92">
        <f t="shared" si="0"/>
        <v>0</v>
      </c>
      <c r="AN41" s="93">
        <f t="shared" si="1"/>
        <v>0</v>
      </c>
    </row>
    <row r="42" spans="1:44" ht="5.25" customHeight="1">
      <c r="B42" s="67"/>
      <c r="I42" s="85"/>
      <c r="O42" s="85"/>
      <c r="U42" s="85"/>
      <c r="AA42" s="85"/>
      <c r="AG42" s="85"/>
      <c r="AK42" s="96"/>
      <c r="AL42" s="96"/>
      <c r="AM42" s="92">
        <f t="shared" si="0"/>
        <v>0</v>
      </c>
      <c r="AN42" s="93">
        <f t="shared" si="1"/>
        <v>0</v>
      </c>
    </row>
    <row r="43" spans="1:44" ht="14.25" customHeight="1">
      <c r="A43" s="170" t="s">
        <v>24</v>
      </c>
      <c r="B43" s="62" t="s">
        <v>13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65"/>
      <c r="AK43" s="94"/>
      <c r="AL43" s="97"/>
      <c r="AM43" s="92">
        <f t="shared" si="0"/>
        <v>0</v>
      </c>
      <c r="AN43" s="93">
        <f t="shared" si="1"/>
        <v>0</v>
      </c>
    </row>
    <row r="44" spans="1:44" ht="14.25" customHeight="1">
      <c r="A44" s="171"/>
      <c r="B44" s="62" t="s">
        <v>14</v>
      </c>
      <c r="C44" s="63"/>
      <c r="D44" s="64"/>
      <c r="E44" s="64"/>
      <c r="F44" s="64"/>
      <c r="G44" s="64"/>
      <c r="H44" s="65"/>
      <c r="I44" s="83"/>
      <c r="J44" s="64"/>
      <c r="K44" s="64"/>
      <c r="L44" s="64"/>
      <c r="M44" s="64"/>
      <c r="N44" s="84"/>
      <c r="O44" s="83"/>
      <c r="P44" s="64"/>
      <c r="Q44" s="64"/>
      <c r="R44" s="64"/>
      <c r="S44" s="64"/>
      <c r="T44" s="84"/>
      <c r="U44" s="83"/>
      <c r="V44" s="64"/>
      <c r="W44" s="64"/>
      <c r="X44" s="64"/>
      <c r="Y44" s="64"/>
      <c r="Z44" s="84"/>
      <c r="AA44" s="83"/>
      <c r="AB44" s="64"/>
      <c r="AC44" s="64"/>
      <c r="AD44" s="64"/>
      <c r="AE44" s="64"/>
      <c r="AF44" s="84"/>
      <c r="AG44" s="83"/>
      <c r="AH44" s="64"/>
      <c r="AI44" s="64"/>
      <c r="AJ44" s="65"/>
      <c r="AK44" s="94"/>
      <c r="AL44" s="97"/>
      <c r="AM44" s="92">
        <f t="shared" si="0"/>
        <v>0</v>
      </c>
      <c r="AN44" s="93">
        <f t="shared" si="1"/>
        <v>0</v>
      </c>
    </row>
    <row r="45" spans="1:44" ht="14.25" customHeight="1">
      <c r="A45" s="171"/>
      <c r="B45" s="62" t="s">
        <v>15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83"/>
      <c r="AH45" s="64"/>
      <c r="AI45" s="64"/>
      <c r="AJ45" s="65"/>
      <c r="AK45" s="94"/>
      <c r="AL45" s="97"/>
      <c r="AM45" s="92">
        <f t="shared" si="0"/>
        <v>0</v>
      </c>
      <c r="AN45" s="93">
        <f t="shared" si="1"/>
        <v>0</v>
      </c>
    </row>
    <row r="46" spans="1:44" ht="14.25" customHeight="1">
      <c r="A46" s="171"/>
      <c r="B46" s="62" t="s">
        <v>131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83"/>
      <c r="AH46" s="64"/>
      <c r="AI46" s="64"/>
      <c r="AJ46" s="65"/>
      <c r="AK46" s="94"/>
      <c r="AL46" s="97"/>
      <c r="AM46" s="92">
        <f t="shared" si="0"/>
        <v>0</v>
      </c>
      <c r="AN46" s="93">
        <f t="shared" si="1"/>
        <v>0</v>
      </c>
    </row>
    <row r="47" spans="1:44" ht="14.25" customHeight="1">
      <c r="A47" s="171"/>
      <c r="B47" s="62" t="s">
        <v>16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83"/>
      <c r="AH47" s="64"/>
      <c r="AI47" s="64"/>
      <c r="AJ47" s="65"/>
      <c r="AK47" s="94"/>
      <c r="AL47" s="97"/>
      <c r="AM47" s="92">
        <f t="shared" si="0"/>
        <v>0</v>
      </c>
      <c r="AN47" s="93">
        <f t="shared" si="1"/>
        <v>0</v>
      </c>
    </row>
    <row r="48" spans="1:44" ht="14.25" customHeight="1">
      <c r="A48" s="171"/>
      <c r="B48" s="62" t="s">
        <v>17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/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83"/>
      <c r="AH48" s="64"/>
      <c r="AI48" s="64"/>
      <c r="AJ48" s="65"/>
      <c r="AK48" s="94"/>
      <c r="AL48" s="97"/>
      <c r="AM48" s="92">
        <f t="shared" si="0"/>
        <v>0</v>
      </c>
      <c r="AN48" s="93">
        <f t="shared" si="1"/>
        <v>0</v>
      </c>
    </row>
    <row r="49" spans="1:40" ht="14.25" customHeight="1">
      <c r="A49" s="172"/>
      <c r="B49" s="62"/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/>
      <c r="V49" s="64"/>
      <c r="W49" s="64"/>
      <c r="X49" s="64"/>
      <c r="Y49" s="64"/>
      <c r="Z49" s="84"/>
      <c r="AA49" s="83"/>
      <c r="AB49" s="64"/>
      <c r="AC49" s="64"/>
      <c r="AD49" s="64"/>
      <c r="AE49" s="64"/>
      <c r="AF49" s="84"/>
      <c r="AG49" s="83"/>
      <c r="AH49" s="64"/>
      <c r="AI49" s="64"/>
      <c r="AJ49" s="65"/>
      <c r="AK49" s="94"/>
      <c r="AL49" s="97"/>
      <c r="AM49" s="92">
        <f t="shared" si="0"/>
        <v>0</v>
      </c>
      <c r="AN49" s="93">
        <f t="shared" si="1"/>
        <v>0</v>
      </c>
    </row>
    <row r="50" spans="1:40" ht="12.75" customHeight="1">
      <c r="A50" s="71"/>
      <c r="B50" s="72"/>
      <c r="I50" s="11"/>
      <c r="N50" s="86"/>
      <c r="O50" s="11"/>
      <c r="T50" s="86"/>
      <c r="U50" s="11"/>
      <c r="Z50" s="86"/>
      <c r="AA50" s="11"/>
      <c r="AF50" s="86"/>
      <c r="AG50" s="11"/>
      <c r="AL50" s="86"/>
      <c r="AN50" s="100"/>
    </row>
    <row r="51" spans="1:40" ht="18" customHeight="1">
      <c r="A51" s="71"/>
      <c r="B51" s="72"/>
      <c r="I51" s="11"/>
      <c r="N51" s="86"/>
      <c r="O51" s="11"/>
      <c r="T51" s="86"/>
      <c r="U51" s="11"/>
      <c r="Z51" s="86"/>
      <c r="AA51" s="11"/>
      <c r="AF51" s="86"/>
      <c r="AG51" s="11"/>
      <c r="AL51" s="86"/>
      <c r="AN51" s="100"/>
    </row>
    <row r="52" spans="1:40" ht="18" customHeight="1">
      <c r="A52" s="71"/>
      <c r="B52" s="165" t="s">
        <v>25</v>
      </c>
      <c r="C52" s="165"/>
      <c r="D52" s="165"/>
      <c r="E52" s="73"/>
      <c r="F52" s="176" t="s">
        <v>26</v>
      </c>
      <c r="G52" s="176"/>
      <c r="H52" s="176"/>
      <c r="I52" s="176"/>
      <c r="J52" s="176"/>
      <c r="K52" s="176"/>
      <c r="L52" s="176"/>
      <c r="M52" s="176"/>
      <c r="N52" s="86"/>
      <c r="O52" s="11"/>
      <c r="T52" s="86"/>
      <c r="U52" s="11"/>
      <c r="Z52" s="86"/>
      <c r="AA52" s="11"/>
      <c r="AF52" s="86"/>
      <c r="AG52" s="11"/>
      <c r="AL52" s="86"/>
      <c r="AN52" s="100"/>
    </row>
    <row r="53" spans="1:40" ht="18" customHeight="1">
      <c r="A53" s="71"/>
      <c r="B53" s="165"/>
      <c r="C53" s="165"/>
      <c r="D53" s="165"/>
      <c r="E53" s="73"/>
      <c r="F53" s="177" t="s">
        <v>27</v>
      </c>
      <c r="G53" s="177"/>
      <c r="H53" s="177"/>
      <c r="I53" s="177"/>
      <c r="J53" s="177" t="s">
        <v>28</v>
      </c>
      <c r="K53" s="177"/>
      <c r="L53" s="177"/>
      <c r="M53" s="177"/>
      <c r="N53" s="86"/>
      <c r="O53" s="11"/>
      <c r="T53" s="86"/>
      <c r="U53" s="11"/>
      <c r="Z53" s="86"/>
      <c r="AA53" s="11"/>
      <c r="AF53" s="86"/>
      <c r="AG53" s="11"/>
      <c r="AL53" s="86"/>
      <c r="AN53" s="100"/>
    </row>
    <row r="54" spans="1:40" ht="18" customHeight="1">
      <c r="A54" s="71"/>
      <c r="B54" s="74" t="s">
        <v>12</v>
      </c>
      <c r="C54" s="52">
        <f>SUM(AM4:AM10)</f>
        <v>0</v>
      </c>
      <c r="D54" s="52">
        <f>SUM(AN4:AN10)</f>
        <v>0</v>
      </c>
      <c r="E54" s="68"/>
      <c r="F54" s="166">
        <f>'1'!F63</f>
        <v>0</v>
      </c>
      <c r="G54" s="166"/>
      <c r="H54" s="166"/>
      <c r="I54" s="166"/>
      <c r="J54" s="179"/>
      <c r="K54" s="179"/>
      <c r="L54" s="179"/>
      <c r="M54" s="180"/>
      <c r="N54" s="86"/>
      <c r="O54" s="11"/>
      <c r="T54" s="86"/>
      <c r="U54" s="11"/>
      <c r="Z54" s="86"/>
      <c r="AA54" s="11"/>
      <c r="AF54" s="86"/>
      <c r="AG54" s="11"/>
      <c r="AL54" s="86"/>
      <c r="AN54" s="100"/>
    </row>
    <row r="55" spans="1:40" ht="18" customHeight="1">
      <c r="A55" s="71"/>
      <c r="B55" s="75" t="s">
        <v>18</v>
      </c>
      <c r="C55" s="52">
        <f>SUM(AM12:AM18)</f>
        <v>0</v>
      </c>
      <c r="D55" s="52">
        <f>SUM(AN12:AN18)</f>
        <v>0</v>
      </c>
      <c r="E55" s="76"/>
      <c r="F55" s="166"/>
      <c r="G55" s="166"/>
      <c r="H55" s="166"/>
      <c r="I55" s="166"/>
      <c r="J55" s="167"/>
      <c r="K55" s="168"/>
      <c r="L55" s="168"/>
      <c r="M55" s="168"/>
      <c r="N55" s="86"/>
      <c r="O55" s="11"/>
      <c r="T55" s="86"/>
      <c r="U55" s="11"/>
      <c r="Z55" s="86"/>
      <c r="AA55" s="11"/>
      <c r="AF55" s="86"/>
      <c r="AG55" s="11"/>
      <c r="AL55" s="86"/>
      <c r="AN55" s="100"/>
    </row>
    <row r="56" spans="1:40" ht="18" customHeight="1">
      <c r="A56" s="71"/>
      <c r="B56" s="75" t="s">
        <v>19</v>
      </c>
      <c r="C56" s="52">
        <f>SUM(AM20:AM26)</f>
        <v>0</v>
      </c>
      <c r="D56" s="52">
        <f>SUM(AN20:AN26)</f>
        <v>0</v>
      </c>
      <c r="E56" s="76"/>
      <c r="N56" s="86"/>
      <c r="O56" s="11"/>
      <c r="T56" s="86"/>
      <c r="U56" s="11"/>
      <c r="Z56" s="86"/>
      <c r="AA56" s="11"/>
      <c r="AF56" s="86"/>
      <c r="AG56" s="11"/>
      <c r="AL56" s="86"/>
      <c r="AN56" s="100"/>
    </row>
    <row r="57" spans="1:40" ht="18" customHeight="1">
      <c r="A57" s="71"/>
      <c r="B57" s="74" t="s">
        <v>20</v>
      </c>
      <c r="C57" s="52">
        <f>SUM(AM28:AM33)</f>
        <v>0</v>
      </c>
      <c r="D57" s="52">
        <f>SUM(AN28:AN33)</f>
        <v>0</v>
      </c>
      <c r="E57" s="76"/>
      <c r="N57" s="86"/>
      <c r="O57" s="11"/>
      <c r="T57" s="86"/>
      <c r="U57" s="11"/>
      <c r="Z57" s="86"/>
      <c r="AA57" s="11"/>
      <c r="AF57" s="86"/>
      <c r="AG57" s="11"/>
      <c r="AL57" s="86"/>
      <c r="AN57" s="100"/>
    </row>
    <row r="58" spans="1:40" ht="18" customHeight="1">
      <c r="A58" s="71"/>
      <c r="B58" s="74" t="s">
        <v>21</v>
      </c>
      <c r="C58" s="52">
        <f>SUM(AM35:AM41)</f>
        <v>0</v>
      </c>
      <c r="D58" s="52">
        <f>SUM(AN35:AN41)</f>
        <v>0</v>
      </c>
      <c r="E58" s="76"/>
      <c r="N58" s="86"/>
      <c r="O58" s="11"/>
      <c r="T58" s="86"/>
      <c r="U58" s="11"/>
      <c r="Z58" s="86"/>
      <c r="AA58" s="11"/>
      <c r="AF58" s="86"/>
      <c r="AG58" s="11"/>
      <c r="AL58" s="86"/>
      <c r="AN58" s="100"/>
    </row>
    <row r="59" spans="1:40" ht="18" customHeight="1">
      <c r="A59" s="71"/>
      <c r="B59" s="77" t="s">
        <v>29</v>
      </c>
      <c r="C59" s="52">
        <f>SUM(AM43:AM49)</f>
        <v>0</v>
      </c>
      <c r="D59" s="52">
        <f>SUM(AN43:AN49)</f>
        <v>0</v>
      </c>
      <c r="E59" s="66"/>
      <c r="N59" s="86"/>
      <c r="O59" s="11"/>
      <c r="T59" s="86"/>
      <c r="U59" s="11"/>
      <c r="Z59" s="86"/>
      <c r="AA59" s="11"/>
      <c r="AF59" s="86"/>
      <c r="AG59" s="11"/>
      <c r="AL59" s="86"/>
      <c r="AN59" s="100"/>
    </row>
    <row r="60" spans="1:40" ht="18" customHeight="1">
      <c r="A60" s="71"/>
      <c r="B60" s="78" t="s">
        <v>30</v>
      </c>
      <c r="C60" s="79">
        <f>SUM(C54:C59)</f>
        <v>0</v>
      </c>
      <c r="D60" s="80">
        <f>SUM(D54:D59)</f>
        <v>0</v>
      </c>
      <c r="E60" s="81"/>
      <c r="N60" s="86"/>
      <c r="O60" s="11"/>
      <c r="T60" s="86"/>
      <c r="U60" s="11"/>
      <c r="Z60" s="86"/>
      <c r="AA60" s="11"/>
      <c r="AF60" s="86"/>
      <c r="AG60" s="11"/>
      <c r="AL60" s="86"/>
      <c r="AN60" s="100"/>
    </row>
    <row r="61" spans="1:40" ht="18" customHeight="1">
      <c r="A61" s="71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86"/>
      <c r="O61" s="11"/>
      <c r="T61" s="86"/>
      <c r="U61" s="11"/>
      <c r="Z61" s="86"/>
      <c r="AA61" s="11"/>
      <c r="AF61" s="86"/>
      <c r="AG61" s="11"/>
      <c r="AL61" s="86"/>
      <c r="AN61" s="100"/>
    </row>
    <row r="63" spans="1:40">
      <c r="A63" s="169" t="s">
        <v>31</v>
      </c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  <c r="X63" s="169"/>
      <c r="Y63" s="169"/>
      <c r="Z63" s="169"/>
      <c r="AA63" s="169"/>
      <c r="AB63" s="169"/>
      <c r="AC63" s="169"/>
      <c r="AD63" s="169"/>
      <c r="AE63" s="169"/>
      <c r="AF63" s="169"/>
      <c r="AG63" s="169"/>
      <c r="AH63" s="169"/>
      <c r="AI63" s="169"/>
      <c r="AJ63" s="169"/>
      <c r="AK63" s="169"/>
      <c r="AL63" s="169"/>
      <c r="AM63" s="169"/>
      <c r="AN63" s="169"/>
    </row>
    <row r="64" spans="1:40">
      <c r="C64" s="162" t="s">
        <v>0</v>
      </c>
      <c r="D64" s="162"/>
      <c r="E64" s="162"/>
      <c r="F64" s="162"/>
      <c r="G64" s="162"/>
      <c r="H64" s="163"/>
      <c r="I64" s="162" t="s">
        <v>1</v>
      </c>
      <c r="J64" s="162"/>
      <c r="K64" s="162"/>
      <c r="L64" s="162"/>
      <c r="M64" s="162"/>
      <c r="N64" s="163"/>
      <c r="O64" s="161" t="s">
        <v>2</v>
      </c>
      <c r="P64" s="162"/>
      <c r="Q64" s="162"/>
      <c r="R64" s="162"/>
      <c r="S64" s="162"/>
      <c r="T64" s="163"/>
      <c r="U64" s="162" t="s">
        <v>32</v>
      </c>
      <c r="V64" s="162"/>
      <c r="W64" s="162"/>
      <c r="X64" s="162"/>
      <c r="Y64" s="162"/>
      <c r="Z64" s="163"/>
      <c r="AA64" s="162" t="s">
        <v>4</v>
      </c>
      <c r="AB64" s="162"/>
      <c r="AC64" s="162"/>
      <c r="AD64" s="162"/>
      <c r="AE64" s="162"/>
      <c r="AF64" s="163"/>
      <c r="AG64" s="162" t="s">
        <v>5</v>
      </c>
      <c r="AH64" s="162"/>
      <c r="AI64" s="162"/>
      <c r="AJ64" s="163"/>
      <c r="AK64" s="174" t="s">
        <v>6</v>
      </c>
      <c r="AL64" s="164" t="s">
        <v>7</v>
      </c>
      <c r="AM64" s="96"/>
      <c r="AN64" s="96"/>
    </row>
    <row r="65" spans="1:40">
      <c r="A65" s="173" t="s">
        <v>33</v>
      </c>
      <c r="B65" s="101" t="s">
        <v>9</v>
      </c>
      <c r="C65" s="102">
        <v>1</v>
      </c>
      <c r="D65" s="102">
        <v>2</v>
      </c>
      <c r="E65" s="103">
        <v>3</v>
      </c>
      <c r="F65" s="103">
        <v>4</v>
      </c>
      <c r="G65" s="103">
        <v>5</v>
      </c>
      <c r="H65" s="104">
        <v>6</v>
      </c>
      <c r="I65" s="102">
        <v>1</v>
      </c>
      <c r="J65" s="103">
        <v>2</v>
      </c>
      <c r="K65" s="103">
        <v>3</v>
      </c>
      <c r="L65" s="103">
        <v>4</v>
      </c>
      <c r="M65" s="103">
        <v>5</v>
      </c>
      <c r="N65" s="104">
        <v>6</v>
      </c>
      <c r="O65" s="102">
        <v>1</v>
      </c>
      <c r="P65" s="103">
        <v>2</v>
      </c>
      <c r="Q65" s="103">
        <v>3</v>
      </c>
      <c r="R65" s="103">
        <v>4</v>
      </c>
      <c r="S65" s="103">
        <v>5</v>
      </c>
      <c r="T65" s="104">
        <v>6</v>
      </c>
      <c r="U65" s="102">
        <v>1</v>
      </c>
      <c r="V65" s="103">
        <v>2</v>
      </c>
      <c r="W65" s="103">
        <v>3</v>
      </c>
      <c r="X65" s="103">
        <v>4</v>
      </c>
      <c r="Y65" s="103">
        <v>5</v>
      </c>
      <c r="Z65" s="104">
        <v>6</v>
      </c>
      <c r="AA65" s="102">
        <v>1</v>
      </c>
      <c r="AB65" s="103">
        <v>2</v>
      </c>
      <c r="AC65" s="103">
        <v>3</v>
      </c>
      <c r="AD65" s="103">
        <v>4</v>
      </c>
      <c r="AE65" s="103">
        <v>5</v>
      </c>
      <c r="AF65" s="104">
        <v>6</v>
      </c>
      <c r="AG65" s="102">
        <v>1</v>
      </c>
      <c r="AH65" s="103">
        <v>2</v>
      </c>
      <c r="AI65" s="103">
        <v>3</v>
      </c>
      <c r="AJ65" s="104">
        <v>4</v>
      </c>
      <c r="AK65" s="174"/>
      <c r="AL65" s="164"/>
      <c r="AM65" s="116" t="s">
        <v>10</v>
      </c>
      <c r="AN65" s="117" t="s">
        <v>11</v>
      </c>
    </row>
    <row r="66" spans="1:40" ht="15" customHeight="1">
      <c r="A66" s="173"/>
      <c r="B66" s="105" t="s">
        <v>34</v>
      </c>
      <c r="C66" s="17">
        <f t="shared" ref="C66:AL72" si="2">SUM(C4+C12+C20+C28+C35+C43)</f>
        <v>0</v>
      </c>
      <c r="D66" s="17">
        <f t="shared" si="2"/>
        <v>0</v>
      </c>
      <c r="E66" s="17">
        <f t="shared" si="2"/>
        <v>0</v>
      </c>
      <c r="F66" s="17">
        <f t="shared" si="2"/>
        <v>0</v>
      </c>
      <c r="G66" s="17">
        <f t="shared" si="2"/>
        <v>0</v>
      </c>
      <c r="H66" s="106">
        <f t="shared" si="2"/>
        <v>0</v>
      </c>
      <c r="I66" s="17">
        <f t="shared" si="2"/>
        <v>0</v>
      </c>
      <c r="J66" s="17">
        <f t="shared" si="2"/>
        <v>0</v>
      </c>
      <c r="K66" s="17">
        <f t="shared" si="2"/>
        <v>0</v>
      </c>
      <c r="L66" s="17">
        <f t="shared" si="2"/>
        <v>0</v>
      </c>
      <c r="M66" s="17">
        <f t="shared" si="2"/>
        <v>0</v>
      </c>
      <c r="N66" s="114">
        <f t="shared" si="2"/>
        <v>0</v>
      </c>
      <c r="O66" s="17">
        <f t="shared" si="2"/>
        <v>0</v>
      </c>
      <c r="P66" s="17">
        <f t="shared" si="2"/>
        <v>0</v>
      </c>
      <c r="Q66" s="17">
        <f t="shared" si="2"/>
        <v>0</v>
      </c>
      <c r="R66" s="17">
        <f t="shared" si="2"/>
        <v>0</v>
      </c>
      <c r="S66" s="17">
        <f t="shared" si="2"/>
        <v>0</v>
      </c>
      <c r="T66" s="114">
        <f t="shared" si="2"/>
        <v>0</v>
      </c>
      <c r="U66" s="17">
        <f t="shared" si="2"/>
        <v>0</v>
      </c>
      <c r="V66" s="17">
        <f t="shared" si="2"/>
        <v>0</v>
      </c>
      <c r="W66" s="17">
        <f t="shared" si="2"/>
        <v>0</v>
      </c>
      <c r="X66" s="17">
        <f t="shared" si="2"/>
        <v>0</v>
      </c>
      <c r="Y66" s="17">
        <f t="shared" si="2"/>
        <v>0</v>
      </c>
      <c r="Z66" s="114">
        <f t="shared" si="2"/>
        <v>0</v>
      </c>
      <c r="AA66" s="17">
        <f t="shared" si="2"/>
        <v>0</v>
      </c>
      <c r="AB66" s="17">
        <f t="shared" si="2"/>
        <v>0</v>
      </c>
      <c r="AC66" s="17">
        <f t="shared" si="2"/>
        <v>0</v>
      </c>
      <c r="AD66" s="17">
        <f t="shared" si="2"/>
        <v>0</v>
      </c>
      <c r="AE66" s="17">
        <f t="shared" si="2"/>
        <v>0</v>
      </c>
      <c r="AF66" s="114">
        <f t="shared" si="2"/>
        <v>0</v>
      </c>
      <c r="AG66" s="17">
        <f t="shared" si="2"/>
        <v>0</v>
      </c>
      <c r="AH66" s="17">
        <f t="shared" si="2"/>
        <v>0</v>
      </c>
      <c r="AI66" s="17">
        <f t="shared" si="2"/>
        <v>0</v>
      </c>
      <c r="AJ66" s="114">
        <f t="shared" si="2"/>
        <v>0</v>
      </c>
      <c r="AK66" s="17">
        <f t="shared" si="2"/>
        <v>0</v>
      </c>
      <c r="AL66" s="114">
        <f t="shared" si="2"/>
        <v>0</v>
      </c>
      <c r="AM66" s="52">
        <f>SUM(C66:AL66)</f>
        <v>0</v>
      </c>
      <c r="AN66" s="118">
        <f>AM66*215</f>
        <v>0</v>
      </c>
    </row>
    <row r="67" spans="1:40">
      <c r="A67" s="173"/>
      <c r="B67" s="105" t="s">
        <v>14</v>
      </c>
      <c r="C67" s="17">
        <f t="shared" si="2"/>
        <v>0</v>
      </c>
      <c r="D67" s="17">
        <f t="shared" si="2"/>
        <v>0</v>
      </c>
      <c r="E67" s="17">
        <f t="shared" si="2"/>
        <v>0</v>
      </c>
      <c r="F67" s="17">
        <f t="shared" si="2"/>
        <v>0</v>
      </c>
      <c r="G67" s="17">
        <f t="shared" si="2"/>
        <v>0</v>
      </c>
      <c r="H67" s="106">
        <f t="shared" si="2"/>
        <v>0</v>
      </c>
      <c r="I67" s="17">
        <f t="shared" si="2"/>
        <v>0</v>
      </c>
      <c r="J67" s="17">
        <f t="shared" si="2"/>
        <v>0</v>
      </c>
      <c r="K67" s="17">
        <f t="shared" si="2"/>
        <v>0</v>
      </c>
      <c r="L67" s="17">
        <f t="shared" si="2"/>
        <v>0</v>
      </c>
      <c r="M67" s="17">
        <f t="shared" si="2"/>
        <v>0</v>
      </c>
      <c r="N67" s="114">
        <f t="shared" si="2"/>
        <v>0</v>
      </c>
      <c r="O67" s="17">
        <f t="shared" si="2"/>
        <v>0</v>
      </c>
      <c r="P67" s="17">
        <f t="shared" si="2"/>
        <v>0</v>
      </c>
      <c r="Q67" s="17">
        <f t="shared" si="2"/>
        <v>0</v>
      </c>
      <c r="R67" s="17">
        <f t="shared" si="2"/>
        <v>0</v>
      </c>
      <c r="S67" s="17">
        <f t="shared" si="2"/>
        <v>0</v>
      </c>
      <c r="T67" s="114">
        <f t="shared" si="2"/>
        <v>0</v>
      </c>
      <c r="U67" s="17">
        <f t="shared" si="2"/>
        <v>0</v>
      </c>
      <c r="V67" s="17">
        <f t="shared" si="2"/>
        <v>0</v>
      </c>
      <c r="W67" s="17">
        <f t="shared" si="2"/>
        <v>0</v>
      </c>
      <c r="X67" s="17">
        <f t="shared" si="2"/>
        <v>0</v>
      </c>
      <c r="Y67" s="17">
        <f t="shared" si="2"/>
        <v>0</v>
      </c>
      <c r="Z67" s="114">
        <f t="shared" si="2"/>
        <v>0</v>
      </c>
      <c r="AA67" s="17">
        <f t="shared" si="2"/>
        <v>0</v>
      </c>
      <c r="AB67" s="17">
        <f t="shared" si="2"/>
        <v>0</v>
      </c>
      <c r="AC67" s="17">
        <f t="shared" si="2"/>
        <v>0</v>
      </c>
      <c r="AD67" s="17">
        <f t="shared" si="2"/>
        <v>0</v>
      </c>
      <c r="AE67" s="17">
        <f t="shared" si="2"/>
        <v>0</v>
      </c>
      <c r="AF67" s="114">
        <f t="shared" si="2"/>
        <v>0</v>
      </c>
      <c r="AG67" s="17">
        <f t="shared" si="2"/>
        <v>0</v>
      </c>
      <c r="AH67" s="17">
        <f t="shared" si="2"/>
        <v>0</v>
      </c>
      <c r="AI67" s="17">
        <f t="shared" si="2"/>
        <v>0</v>
      </c>
      <c r="AJ67" s="114">
        <f t="shared" si="2"/>
        <v>0</v>
      </c>
      <c r="AK67" s="17">
        <f t="shared" si="2"/>
        <v>0</v>
      </c>
      <c r="AL67" s="114">
        <f t="shared" si="2"/>
        <v>0</v>
      </c>
      <c r="AM67" s="52">
        <f t="shared" ref="AM67:AM72" si="3">SUM(C67:AL67)</f>
        <v>0</v>
      </c>
      <c r="AN67" s="118">
        <f t="shared" ref="AN67:AN72" si="4">AM67*215</f>
        <v>0</v>
      </c>
    </row>
    <row r="68" spans="1:40">
      <c r="A68" s="173"/>
      <c r="B68" s="105" t="s">
        <v>15</v>
      </c>
      <c r="C68" s="17">
        <f t="shared" si="2"/>
        <v>0</v>
      </c>
      <c r="D68" s="17">
        <f t="shared" si="2"/>
        <v>0</v>
      </c>
      <c r="E68" s="17">
        <f t="shared" si="2"/>
        <v>0</v>
      </c>
      <c r="F68" s="17">
        <f t="shared" si="2"/>
        <v>0</v>
      </c>
      <c r="G68" s="17">
        <f t="shared" si="2"/>
        <v>0</v>
      </c>
      <c r="H68" s="106">
        <f t="shared" si="2"/>
        <v>0</v>
      </c>
      <c r="I68" s="17">
        <f t="shared" si="2"/>
        <v>0</v>
      </c>
      <c r="J68" s="17">
        <f t="shared" si="2"/>
        <v>0</v>
      </c>
      <c r="K68" s="17">
        <f t="shared" si="2"/>
        <v>0</v>
      </c>
      <c r="L68" s="17">
        <f t="shared" si="2"/>
        <v>0</v>
      </c>
      <c r="M68" s="17">
        <f t="shared" si="2"/>
        <v>0</v>
      </c>
      <c r="N68" s="114">
        <f t="shared" si="2"/>
        <v>0</v>
      </c>
      <c r="O68" s="17">
        <f t="shared" si="2"/>
        <v>0</v>
      </c>
      <c r="P68" s="17">
        <f t="shared" si="2"/>
        <v>0</v>
      </c>
      <c r="Q68" s="17">
        <f t="shared" si="2"/>
        <v>0</v>
      </c>
      <c r="R68" s="17">
        <f t="shared" si="2"/>
        <v>0</v>
      </c>
      <c r="S68" s="17">
        <f t="shared" si="2"/>
        <v>0</v>
      </c>
      <c r="T68" s="114">
        <f t="shared" si="2"/>
        <v>0</v>
      </c>
      <c r="U68" s="17">
        <f t="shared" si="2"/>
        <v>0</v>
      </c>
      <c r="V68" s="17">
        <f t="shared" si="2"/>
        <v>0</v>
      </c>
      <c r="W68" s="17">
        <f t="shared" si="2"/>
        <v>0</v>
      </c>
      <c r="X68" s="17">
        <f t="shared" si="2"/>
        <v>0</v>
      </c>
      <c r="Y68" s="17">
        <f t="shared" si="2"/>
        <v>0</v>
      </c>
      <c r="Z68" s="114">
        <f t="shared" si="2"/>
        <v>0</v>
      </c>
      <c r="AA68" s="17">
        <f t="shared" si="2"/>
        <v>0</v>
      </c>
      <c r="AB68" s="17">
        <f t="shared" si="2"/>
        <v>0</v>
      </c>
      <c r="AC68" s="17">
        <f t="shared" si="2"/>
        <v>0</v>
      </c>
      <c r="AD68" s="17">
        <f t="shared" si="2"/>
        <v>0</v>
      </c>
      <c r="AE68" s="17">
        <f t="shared" si="2"/>
        <v>0</v>
      </c>
      <c r="AF68" s="114">
        <f t="shared" si="2"/>
        <v>0</v>
      </c>
      <c r="AG68" s="17">
        <f t="shared" si="2"/>
        <v>0</v>
      </c>
      <c r="AH68" s="17">
        <f t="shared" si="2"/>
        <v>0</v>
      </c>
      <c r="AI68" s="17">
        <f t="shared" si="2"/>
        <v>0</v>
      </c>
      <c r="AJ68" s="114">
        <f t="shared" si="2"/>
        <v>0</v>
      </c>
      <c r="AK68" s="17">
        <f t="shared" si="2"/>
        <v>0</v>
      </c>
      <c r="AL68" s="114">
        <f t="shared" si="2"/>
        <v>0</v>
      </c>
      <c r="AM68" s="52">
        <f t="shared" si="3"/>
        <v>0</v>
      </c>
      <c r="AN68" s="118">
        <f t="shared" si="4"/>
        <v>0</v>
      </c>
    </row>
    <row r="69" spans="1:40">
      <c r="A69" s="173"/>
      <c r="B69" s="105" t="s">
        <v>131</v>
      </c>
      <c r="C69" s="17">
        <f t="shared" si="2"/>
        <v>0</v>
      </c>
      <c r="D69" s="17">
        <f t="shared" si="2"/>
        <v>0</v>
      </c>
      <c r="E69" s="17">
        <f t="shared" si="2"/>
        <v>0</v>
      </c>
      <c r="F69" s="17">
        <f t="shared" si="2"/>
        <v>0</v>
      </c>
      <c r="G69" s="17">
        <f t="shared" si="2"/>
        <v>0</v>
      </c>
      <c r="H69" s="106">
        <f t="shared" si="2"/>
        <v>0</v>
      </c>
      <c r="I69" s="17">
        <f t="shared" si="2"/>
        <v>0</v>
      </c>
      <c r="J69" s="17">
        <f t="shared" si="2"/>
        <v>0</v>
      </c>
      <c r="K69" s="17">
        <f t="shared" si="2"/>
        <v>0</v>
      </c>
      <c r="L69" s="17">
        <f t="shared" si="2"/>
        <v>0</v>
      </c>
      <c r="M69" s="17">
        <f t="shared" si="2"/>
        <v>0</v>
      </c>
      <c r="N69" s="114">
        <f t="shared" si="2"/>
        <v>0</v>
      </c>
      <c r="O69" s="17">
        <f t="shared" si="2"/>
        <v>0</v>
      </c>
      <c r="P69" s="17">
        <f t="shared" si="2"/>
        <v>0</v>
      </c>
      <c r="Q69" s="17">
        <f t="shared" si="2"/>
        <v>0</v>
      </c>
      <c r="R69" s="17">
        <f t="shared" si="2"/>
        <v>0</v>
      </c>
      <c r="S69" s="17">
        <f t="shared" si="2"/>
        <v>0</v>
      </c>
      <c r="T69" s="114">
        <f t="shared" si="2"/>
        <v>0</v>
      </c>
      <c r="U69" s="17">
        <f t="shared" si="2"/>
        <v>0</v>
      </c>
      <c r="V69" s="17">
        <f t="shared" si="2"/>
        <v>0</v>
      </c>
      <c r="W69" s="17">
        <f t="shared" si="2"/>
        <v>0</v>
      </c>
      <c r="X69" s="17">
        <f t="shared" si="2"/>
        <v>0</v>
      </c>
      <c r="Y69" s="17">
        <f t="shared" si="2"/>
        <v>0</v>
      </c>
      <c r="Z69" s="114">
        <f t="shared" si="2"/>
        <v>0</v>
      </c>
      <c r="AA69" s="17">
        <f t="shared" si="2"/>
        <v>0</v>
      </c>
      <c r="AB69" s="17">
        <f t="shared" si="2"/>
        <v>0</v>
      </c>
      <c r="AC69" s="17">
        <f t="shared" si="2"/>
        <v>0</v>
      </c>
      <c r="AD69" s="17">
        <f t="shared" si="2"/>
        <v>0</v>
      </c>
      <c r="AE69" s="17">
        <f t="shared" si="2"/>
        <v>0</v>
      </c>
      <c r="AF69" s="114">
        <f t="shared" si="2"/>
        <v>0</v>
      </c>
      <c r="AG69" s="17">
        <f t="shared" si="2"/>
        <v>0</v>
      </c>
      <c r="AH69" s="17">
        <f t="shared" si="2"/>
        <v>0</v>
      </c>
      <c r="AI69" s="17">
        <f t="shared" si="2"/>
        <v>0</v>
      </c>
      <c r="AJ69" s="114">
        <f t="shared" si="2"/>
        <v>0</v>
      </c>
      <c r="AK69" s="17">
        <f t="shared" si="2"/>
        <v>0</v>
      </c>
      <c r="AL69" s="114">
        <f t="shared" si="2"/>
        <v>0</v>
      </c>
      <c r="AM69" s="52">
        <f t="shared" si="3"/>
        <v>0</v>
      </c>
      <c r="AN69" s="118">
        <f t="shared" si="4"/>
        <v>0</v>
      </c>
    </row>
    <row r="70" spans="1:40">
      <c r="A70" s="173"/>
      <c r="B70" s="105" t="s">
        <v>16</v>
      </c>
      <c r="C70" s="17">
        <f t="shared" si="2"/>
        <v>0</v>
      </c>
      <c r="D70" s="17">
        <f t="shared" si="2"/>
        <v>0</v>
      </c>
      <c r="E70" s="17">
        <f t="shared" si="2"/>
        <v>0</v>
      </c>
      <c r="F70" s="17">
        <f t="shared" si="2"/>
        <v>0</v>
      </c>
      <c r="G70" s="17">
        <f t="shared" si="2"/>
        <v>0</v>
      </c>
      <c r="H70" s="106">
        <f t="shared" si="2"/>
        <v>0</v>
      </c>
      <c r="I70" s="17">
        <f t="shared" si="2"/>
        <v>0</v>
      </c>
      <c r="J70" s="17">
        <f t="shared" si="2"/>
        <v>0</v>
      </c>
      <c r="K70" s="17">
        <f t="shared" si="2"/>
        <v>0</v>
      </c>
      <c r="L70" s="17">
        <f t="shared" si="2"/>
        <v>0</v>
      </c>
      <c r="M70" s="17">
        <f t="shared" si="2"/>
        <v>0</v>
      </c>
      <c r="N70" s="114">
        <f t="shared" si="2"/>
        <v>0</v>
      </c>
      <c r="O70" s="17">
        <f t="shared" si="2"/>
        <v>0</v>
      </c>
      <c r="P70" s="17">
        <f t="shared" si="2"/>
        <v>0</v>
      </c>
      <c r="Q70" s="17">
        <f t="shared" si="2"/>
        <v>0</v>
      </c>
      <c r="R70" s="17">
        <f t="shared" si="2"/>
        <v>0</v>
      </c>
      <c r="S70" s="17">
        <f t="shared" si="2"/>
        <v>0</v>
      </c>
      <c r="T70" s="114">
        <f t="shared" si="2"/>
        <v>0</v>
      </c>
      <c r="U70" s="17">
        <f t="shared" si="2"/>
        <v>0</v>
      </c>
      <c r="V70" s="17">
        <f t="shared" si="2"/>
        <v>0</v>
      </c>
      <c r="W70" s="17">
        <f t="shared" si="2"/>
        <v>0</v>
      </c>
      <c r="X70" s="17">
        <f t="shared" si="2"/>
        <v>0</v>
      </c>
      <c r="Y70" s="17">
        <f t="shared" si="2"/>
        <v>0</v>
      </c>
      <c r="Z70" s="114">
        <f t="shared" si="2"/>
        <v>0</v>
      </c>
      <c r="AA70" s="17">
        <f t="shared" si="2"/>
        <v>0</v>
      </c>
      <c r="AB70" s="17">
        <f t="shared" si="2"/>
        <v>0</v>
      </c>
      <c r="AC70" s="17">
        <f t="shared" si="2"/>
        <v>0</v>
      </c>
      <c r="AD70" s="17">
        <f t="shared" si="2"/>
        <v>0</v>
      </c>
      <c r="AE70" s="17">
        <f t="shared" si="2"/>
        <v>0</v>
      </c>
      <c r="AF70" s="114">
        <f t="shared" si="2"/>
        <v>0</v>
      </c>
      <c r="AG70" s="17">
        <f t="shared" si="2"/>
        <v>0</v>
      </c>
      <c r="AH70" s="17">
        <f t="shared" si="2"/>
        <v>0</v>
      </c>
      <c r="AI70" s="17">
        <f t="shared" si="2"/>
        <v>0</v>
      </c>
      <c r="AJ70" s="114">
        <f t="shared" si="2"/>
        <v>0</v>
      </c>
      <c r="AK70" s="17">
        <f t="shared" si="2"/>
        <v>0</v>
      </c>
      <c r="AL70" s="114">
        <f t="shared" si="2"/>
        <v>0</v>
      </c>
      <c r="AM70" s="52">
        <f t="shared" si="3"/>
        <v>0</v>
      </c>
      <c r="AN70" s="118">
        <f t="shared" si="4"/>
        <v>0</v>
      </c>
    </row>
    <row r="71" spans="1:40">
      <c r="A71" s="173"/>
      <c r="B71" s="105" t="s">
        <v>17</v>
      </c>
      <c r="C71" s="17">
        <f t="shared" si="2"/>
        <v>0</v>
      </c>
      <c r="D71" s="17">
        <f t="shared" si="2"/>
        <v>0</v>
      </c>
      <c r="E71" s="17">
        <f t="shared" si="2"/>
        <v>0</v>
      </c>
      <c r="F71" s="17">
        <f t="shared" si="2"/>
        <v>0</v>
      </c>
      <c r="G71" s="17">
        <f t="shared" si="2"/>
        <v>0</v>
      </c>
      <c r="H71" s="106">
        <f t="shared" si="2"/>
        <v>0</v>
      </c>
      <c r="I71" s="17">
        <f t="shared" si="2"/>
        <v>0</v>
      </c>
      <c r="J71" s="17">
        <f t="shared" si="2"/>
        <v>0</v>
      </c>
      <c r="K71" s="17">
        <f t="shared" si="2"/>
        <v>0</v>
      </c>
      <c r="L71" s="17">
        <f t="shared" si="2"/>
        <v>0</v>
      </c>
      <c r="M71" s="17">
        <f t="shared" si="2"/>
        <v>0</v>
      </c>
      <c r="N71" s="114">
        <f t="shared" si="2"/>
        <v>0</v>
      </c>
      <c r="O71" s="17">
        <f t="shared" si="2"/>
        <v>0</v>
      </c>
      <c r="P71" s="17">
        <f t="shared" si="2"/>
        <v>0</v>
      </c>
      <c r="Q71" s="17">
        <f t="shared" si="2"/>
        <v>0</v>
      </c>
      <c r="R71" s="17">
        <f t="shared" si="2"/>
        <v>0</v>
      </c>
      <c r="S71" s="17">
        <f t="shared" si="2"/>
        <v>0</v>
      </c>
      <c r="T71" s="114">
        <f t="shared" si="2"/>
        <v>0</v>
      </c>
      <c r="U71" s="17">
        <f t="shared" si="2"/>
        <v>0</v>
      </c>
      <c r="V71" s="17">
        <f t="shared" si="2"/>
        <v>0</v>
      </c>
      <c r="W71" s="17">
        <f t="shared" si="2"/>
        <v>0</v>
      </c>
      <c r="X71" s="17">
        <f t="shared" si="2"/>
        <v>0</v>
      </c>
      <c r="Y71" s="17">
        <f t="shared" si="2"/>
        <v>0</v>
      </c>
      <c r="Z71" s="114">
        <f t="shared" si="2"/>
        <v>0</v>
      </c>
      <c r="AA71" s="17">
        <f t="shared" si="2"/>
        <v>0</v>
      </c>
      <c r="AB71" s="17">
        <f t="shared" si="2"/>
        <v>0</v>
      </c>
      <c r="AC71" s="17">
        <f t="shared" si="2"/>
        <v>0</v>
      </c>
      <c r="AD71" s="17">
        <f t="shared" si="2"/>
        <v>0</v>
      </c>
      <c r="AE71" s="17">
        <f t="shared" si="2"/>
        <v>0</v>
      </c>
      <c r="AF71" s="114">
        <f t="shared" si="2"/>
        <v>0</v>
      </c>
      <c r="AG71" s="17">
        <f t="shared" si="2"/>
        <v>0</v>
      </c>
      <c r="AH71" s="17">
        <f t="shared" si="2"/>
        <v>0</v>
      </c>
      <c r="AI71" s="17">
        <f t="shared" si="2"/>
        <v>0</v>
      </c>
      <c r="AJ71" s="114">
        <f t="shared" si="2"/>
        <v>0</v>
      </c>
      <c r="AK71" s="17">
        <f t="shared" si="2"/>
        <v>0</v>
      </c>
      <c r="AL71" s="114">
        <f t="shared" si="2"/>
        <v>0</v>
      </c>
      <c r="AM71" s="52">
        <f t="shared" si="3"/>
        <v>0</v>
      </c>
      <c r="AN71" s="118">
        <f t="shared" si="4"/>
        <v>0</v>
      </c>
    </row>
    <row r="72" spans="1:40">
      <c r="A72" s="173"/>
      <c r="B72" s="105"/>
      <c r="C72" s="17">
        <f t="shared" si="2"/>
        <v>0</v>
      </c>
      <c r="D72" s="17">
        <f t="shared" si="2"/>
        <v>0</v>
      </c>
      <c r="E72" s="17">
        <f t="shared" si="2"/>
        <v>0</v>
      </c>
      <c r="F72" s="17">
        <f t="shared" si="2"/>
        <v>0</v>
      </c>
      <c r="G72" s="17">
        <f t="shared" si="2"/>
        <v>0</v>
      </c>
      <c r="H72" s="122">
        <f t="shared" si="2"/>
        <v>0</v>
      </c>
      <c r="I72" s="17">
        <f t="shared" si="2"/>
        <v>0</v>
      </c>
      <c r="J72" s="17">
        <f t="shared" si="2"/>
        <v>0</v>
      </c>
      <c r="K72" s="17">
        <f t="shared" si="2"/>
        <v>0</v>
      </c>
      <c r="L72" s="17">
        <f t="shared" si="2"/>
        <v>0</v>
      </c>
      <c r="M72" s="17">
        <f t="shared" si="2"/>
        <v>0</v>
      </c>
      <c r="N72" s="114">
        <f t="shared" si="2"/>
        <v>0</v>
      </c>
      <c r="O72" s="17">
        <f t="shared" si="2"/>
        <v>0</v>
      </c>
      <c r="P72" s="17">
        <f t="shared" si="2"/>
        <v>0</v>
      </c>
      <c r="Q72" s="17">
        <f t="shared" si="2"/>
        <v>0</v>
      </c>
      <c r="R72" s="17">
        <f t="shared" si="2"/>
        <v>0</v>
      </c>
      <c r="S72" s="17">
        <f t="shared" si="2"/>
        <v>0</v>
      </c>
      <c r="T72" s="114">
        <f t="shared" si="2"/>
        <v>0</v>
      </c>
      <c r="U72" s="17">
        <f t="shared" si="2"/>
        <v>0</v>
      </c>
      <c r="V72" s="17">
        <f t="shared" si="2"/>
        <v>0</v>
      </c>
      <c r="W72" s="17">
        <f t="shared" si="2"/>
        <v>0</v>
      </c>
      <c r="X72" s="17">
        <f t="shared" si="2"/>
        <v>0</v>
      </c>
      <c r="Y72" s="17">
        <f t="shared" si="2"/>
        <v>0</v>
      </c>
      <c r="Z72" s="114">
        <f t="shared" si="2"/>
        <v>0</v>
      </c>
      <c r="AA72" s="17">
        <f t="shared" si="2"/>
        <v>0</v>
      </c>
      <c r="AB72" s="17">
        <f t="shared" si="2"/>
        <v>0</v>
      </c>
      <c r="AC72" s="17">
        <f t="shared" si="2"/>
        <v>0</v>
      </c>
      <c r="AD72" s="17">
        <f t="shared" si="2"/>
        <v>0</v>
      </c>
      <c r="AE72" s="17">
        <f t="shared" si="2"/>
        <v>0</v>
      </c>
      <c r="AF72" s="114">
        <f t="shared" si="2"/>
        <v>0</v>
      </c>
      <c r="AG72" s="17">
        <f t="shared" si="2"/>
        <v>0</v>
      </c>
      <c r="AH72" s="17">
        <f t="shared" si="2"/>
        <v>0</v>
      </c>
      <c r="AI72" s="17">
        <f t="shared" si="2"/>
        <v>0</v>
      </c>
      <c r="AJ72" s="114">
        <f t="shared" si="2"/>
        <v>0</v>
      </c>
      <c r="AK72" s="17">
        <f t="shared" si="2"/>
        <v>0</v>
      </c>
      <c r="AL72" s="114">
        <f t="shared" si="2"/>
        <v>0</v>
      </c>
      <c r="AM72" s="52">
        <f t="shared" si="3"/>
        <v>0</v>
      </c>
      <c r="AN72" s="118">
        <f t="shared" si="4"/>
        <v>0</v>
      </c>
    </row>
    <row r="73" spans="1:40" ht="17.25" customHeight="1">
      <c r="C73" s="11">
        <f>SUM(C66:C72)</f>
        <v>0</v>
      </c>
      <c r="D73" s="11">
        <f t="shared" ref="D73:AL73" si="5">SUM(D66:D72)</f>
        <v>0</v>
      </c>
      <c r="E73" s="11">
        <f t="shared" si="5"/>
        <v>0</v>
      </c>
      <c r="F73" s="11">
        <f t="shared" si="5"/>
        <v>0</v>
      </c>
      <c r="G73" s="11">
        <f t="shared" si="5"/>
        <v>0</v>
      </c>
      <c r="H73" s="123">
        <f t="shared" si="5"/>
        <v>0</v>
      </c>
      <c r="I73" s="11">
        <f t="shared" si="5"/>
        <v>0</v>
      </c>
      <c r="J73" s="11">
        <f t="shared" si="5"/>
        <v>0</v>
      </c>
      <c r="K73" s="11">
        <f t="shared" si="5"/>
        <v>0</v>
      </c>
      <c r="L73" s="11">
        <f t="shared" si="5"/>
        <v>0</v>
      </c>
      <c r="M73" s="11">
        <f t="shared" si="5"/>
        <v>0</v>
      </c>
      <c r="N73" s="124">
        <f t="shared" si="5"/>
        <v>0</v>
      </c>
      <c r="O73" s="11">
        <f t="shared" si="5"/>
        <v>0</v>
      </c>
      <c r="P73" s="11">
        <f t="shared" si="5"/>
        <v>0</v>
      </c>
      <c r="Q73" s="11">
        <f t="shared" si="5"/>
        <v>0</v>
      </c>
      <c r="R73" s="11">
        <f t="shared" si="5"/>
        <v>0</v>
      </c>
      <c r="S73" s="11">
        <f t="shared" si="5"/>
        <v>0</v>
      </c>
      <c r="T73" s="124">
        <f t="shared" si="5"/>
        <v>0</v>
      </c>
      <c r="U73" s="11">
        <f t="shared" si="5"/>
        <v>0</v>
      </c>
      <c r="V73" s="11">
        <f t="shared" si="5"/>
        <v>0</v>
      </c>
      <c r="W73" s="11">
        <f t="shared" si="5"/>
        <v>0</v>
      </c>
      <c r="X73" s="11">
        <f t="shared" si="5"/>
        <v>0</v>
      </c>
      <c r="Y73" s="11">
        <f t="shared" si="5"/>
        <v>0</v>
      </c>
      <c r="Z73" s="124">
        <f t="shared" si="5"/>
        <v>0</v>
      </c>
      <c r="AA73" s="11">
        <f t="shared" si="5"/>
        <v>0</v>
      </c>
      <c r="AB73" s="11">
        <f t="shared" si="5"/>
        <v>0</v>
      </c>
      <c r="AC73" s="11">
        <f t="shared" si="5"/>
        <v>0</v>
      </c>
      <c r="AD73" s="11">
        <f t="shared" si="5"/>
        <v>0</v>
      </c>
      <c r="AE73" s="11">
        <f t="shared" si="5"/>
        <v>0</v>
      </c>
      <c r="AF73" s="124">
        <f t="shared" si="5"/>
        <v>0</v>
      </c>
      <c r="AG73" s="11">
        <f t="shared" si="5"/>
        <v>0</v>
      </c>
      <c r="AH73" s="11">
        <f t="shared" si="5"/>
        <v>0</v>
      </c>
      <c r="AI73" s="11">
        <f t="shared" si="5"/>
        <v>0</v>
      </c>
      <c r="AJ73" s="124">
        <f t="shared" si="5"/>
        <v>0</v>
      </c>
      <c r="AK73" s="11">
        <f t="shared" si="5"/>
        <v>0</v>
      </c>
      <c r="AL73" s="124">
        <f t="shared" si="5"/>
        <v>0</v>
      </c>
    </row>
    <row r="74" spans="1:40" ht="14.25" customHeight="1"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111"/>
      <c r="AH74" s="76"/>
      <c r="AI74" s="76"/>
      <c r="AJ74" s="76"/>
      <c r="AK74" s="76"/>
      <c r="AL74" s="76"/>
      <c r="AM74" s="13"/>
      <c r="AN74" s="13"/>
    </row>
    <row r="76" spans="1:40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7"/>
      <c r="AM76" s="107"/>
      <c r="AN76" s="107"/>
    </row>
    <row r="77" spans="1:40" ht="18" customHeight="1">
      <c r="B77" s="11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19"/>
      <c r="AL77" s="119"/>
      <c r="AM77" s="119"/>
    </row>
    <row r="78" spans="1:40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20"/>
      <c r="AL78" s="120"/>
      <c r="AM78" s="120"/>
    </row>
    <row r="79" spans="1:40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20"/>
      <c r="AL79" s="120"/>
      <c r="AM79" s="120"/>
    </row>
    <row r="80" spans="1:4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20"/>
      <c r="AL80" s="120"/>
      <c r="AM80" s="120"/>
    </row>
    <row r="81" spans="2:39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20"/>
      <c r="AL81" s="120"/>
      <c r="AM81" s="120"/>
    </row>
    <row r="82" spans="2:39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20"/>
      <c r="AL82" s="120"/>
      <c r="AM82" s="120"/>
    </row>
    <row r="83" spans="2:39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20"/>
      <c r="AL83" s="120"/>
      <c r="AM83" s="120"/>
    </row>
    <row r="84" spans="2:39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76"/>
      <c r="AL84" s="76"/>
      <c r="AM84" s="76"/>
    </row>
    <row r="85" spans="2:39" ht="25.5" customHeight="1">
      <c r="B85" s="109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"/>
    </row>
    <row r="86" spans="2:39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 spans="2:39">
      <c r="B87" s="11"/>
      <c r="C87" s="11"/>
      <c r="D87" s="11"/>
      <c r="E87" s="11"/>
      <c r="F87" s="11"/>
      <c r="G87" s="11"/>
      <c r="H87" s="11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5"/>
      <c r="AL87" s="115"/>
      <c r="AM87" s="115"/>
    </row>
    <row r="88" spans="2:39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 spans="2:39"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</row>
    <row r="90" spans="2:39" ht="15" customHeight="1">
      <c r="B90" s="11"/>
      <c r="C90" s="112"/>
      <c r="D90" s="112"/>
      <c r="E90" s="112"/>
      <c r="F90" s="112"/>
      <c r="G90" s="112"/>
      <c r="H90" s="113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</row>
    <row r="91" spans="2:39">
      <c r="B91" s="11"/>
      <c r="C91" s="112"/>
      <c r="D91" s="112"/>
      <c r="E91" s="112"/>
      <c r="F91" s="112"/>
      <c r="G91" s="112"/>
      <c r="H91" s="113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</row>
    <row r="92" spans="2:39">
      <c r="B92" s="11"/>
      <c r="C92" s="112"/>
      <c r="D92" s="112"/>
      <c r="E92" s="112"/>
      <c r="F92" s="112"/>
      <c r="G92" s="112"/>
      <c r="H92" s="113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</row>
    <row r="93" spans="2:39">
      <c r="B93" s="11"/>
      <c r="C93" s="112"/>
      <c r="D93" s="112"/>
      <c r="E93" s="112"/>
      <c r="F93" s="112"/>
      <c r="G93" s="112"/>
      <c r="H93" s="113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</row>
    <row r="94" spans="2:39" ht="26.25" customHeight="1">
      <c r="B94" s="11"/>
    </row>
    <row r="95" spans="2:39" ht="26.25" customHeight="1">
      <c r="B95" s="11"/>
    </row>
    <row r="96" spans="2:39" ht="26.25" customHeight="1">
      <c r="B96" s="11"/>
    </row>
    <row r="97" spans="2:2" ht="26.25" customHeight="1">
      <c r="B97" s="11"/>
    </row>
    <row r="98" spans="2:2" ht="26.25" customHeight="1">
      <c r="B98" s="11"/>
    </row>
    <row r="99" spans="2:2" ht="26.25" customHeight="1">
      <c r="B99" s="11"/>
    </row>
    <row r="100" spans="2:2" ht="26.25" customHeight="1">
      <c r="B100" s="11"/>
    </row>
    <row r="101" spans="2:2">
      <c r="B101" s="11"/>
    </row>
    <row r="103" spans="2:2">
      <c r="B103" s="11"/>
    </row>
    <row r="104" spans="2:2">
      <c r="B104" s="11"/>
    </row>
    <row r="105" spans="2:2">
      <c r="B105" s="11"/>
    </row>
    <row r="106" spans="2:2">
      <c r="B106" s="11"/>
    </row>
    <row r="107" spans="2:2">
      <c r="B107" s="11"/>
    </row>
    <row r="108" spans="2:2">
      <c r="B108" s="11"/>
    </row>
    <row r="110" spans="2:2">
      <c r="B110" s="11"/>
    </row>
    <row r="111" spans="2:2">
      <c r="B111" s="11"/>
    </row>
    <row r="112" spans="2:2">
      <c r="B112" s="11"/>
    </row>
    <row r="113" spans="2:2">
      <c r="B113" s="11"/>
    </row>
    <row r="114" spans="2:2">
      <c r="B114" s="11"/>
    </row>
    <row r="115" spans="2:2">
      <c r="B115" s="11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35" priority="14" operator="equal">
      <formula>0</formula>
    </cfRule>
  </conditionalFormatting>
  <conditionalFormatting sqref="B12:B26">
    <cfRule type="cellIs" dxfId="34" priority="10" operator="equal">
      <formula>0</formula>
    </cfRule>
  </conditionalFormatting>
  <conditionalFormatting sqref="B28:B41">
    <cfRule type="cellIs" dxfId="33" priority="9" operator="equal">
      <formula>0</formula>
    </cfRule>
  </conditionalFormatting>
  <conditionalFormatting sqref="B66:B72">
    <cfRule type="cellIs" dxfId="32" priority="13" operator="equal">
      <formula>0</formula>
    </cfRule>
  </conditionalFormatting>
  <conditionalFormatting sqref="B100:B101">
    <cfRule type="cellIs" dxfId="31" priority="6" operator="equal">
      <formula>0</formula>
    </cfRule>
  </conditionalFormatting>
  <conditionalFormatting sqref="B103:B108">
    <cfRule type="cellIs" dxfId="30" priority="5" operator="equal">
      <formula>0</formula>
    </cfRule>
  </conditionalFormatting>
  <conditionalFormatting sqref="B110:B115">
    <cfRule type="cellIs" dxfId="29" priority="4" operator="equal">
      <formula>0</formula>
    </cfRule>
  </conditionalFormatting>
  <conditionalFormatting sqref="C77:H77">
    <cfRule type="cellIs" dxfId="28" priority="12" operator="equal">
      <formula>0</formula>
    </cfRule>
  </conditionalFormatting>
  <conditionalFormatting sqref="C66:AL72">
    <cfRule type="cellIs" dxfId="27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AR115"/>
  <sheetViews>
    <sheetView workbookViewId="0">
      <pane xSplit="2" ySplit="3" topLeftCell="C4" activePane="bottomRight" state="frozen"/>
      <selection pane="topRight"/>
      <selection pane="bottomLeft"/>
      <selection pane="bottomRight" activeCell="H17" sqref="H17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69" t="s">
        <v>0</v>
      </c>
      <c r="D2" s="169"/>
      <c r="E2" s="169"/>
      <c r="F2" s="169"/>
      <c r="G2" s="169"/>
      <c r="H2" s="169"/>
      <c r="I2" s="169" t="s">
        <v>1</v>
      </c>
      <c r="J2" s="169"/>
      <c r="K2" s="169"/>
      <c r="L2" s="169"/>
      <c r="M2" s="169"/>
      <c r="N2" s="169"/>
      <c r="O2" s="169" t="s">
        <v>2</v>
      </c>
      <c r="P2" s="169"/>
      <c r="Q2" s="169"/>
      <c r="R2" s="169"/>
      <c r="S2" s="169"/>
      <c r="T2" s="169"/>
      <c r="U2" s="169" t="s">
        <v>3</v>
      </c>
      <c r="V2" s="169"/>
      <c r="W2" s="169"/>
      <c r="X2" s="169"/>
      <c r="Y2" s="169"/>
      <c r="Z2" s="169"/>
      <c r="AA2" s="169" t="s">
        <v>4</v>
      </c>
      <c r="AB2" s="169"/>
      <c r="AC2" s="169"/>
      <c r="AD2" s="169"/>
      <c r="AE2" s="169"/>
      <c r="AF2" s="169"/>
      <c r="AG2" s="169" t="s">
        <v>5</v>
      </c>
      <c r="AH2" s="169"/>
      <c r="AI2" s="169"/>
      <c r="AJ2" s="169"/>
      <c r="AK2" s="160" t="s">
        <v>6</v>
      </c>
      <c r="AL2" s="160" t="s">
        <v>7</v>
      </c>
      <c r="AM2" s="87" t="s">
        <v>8</v>
      </c>
      <c r="AN2" s="87"/>
    </row>
    <row r="3" spans="1:40">
      <c r="B3" s="54" t="s">
        <v>9</v>
      </c>
      <c r="C3" s="55">
        <v>1</v>
      </c>
      <c r="D3" s="56">
        <v>2</v>
      </c>
      <c r="E3" s="56">
        <v>3</v>
      </c>
      <c r="F3" s="56">
        <v>4</v>
      </c>
      <c r="G3" s="56">
        <v>5</v>
      </c>
      <c r="H3" s="57">
        <v>6</v>
      </c>
      <c r="I3" s="55">
        <v>1</v>
      </c>
      <c r="J3" s="56">
        <v>2</v>
      </c>
      <c r="K3" s="56">
        <v>3</v>
      </c>
      <c r="L3" s="56">
        <v>4</v>
      </c>
      <c r="M3" s="56">
        <v>5</v>
      </c>
      <c r="N3" s="57">
        <v>6</v>
      </c>
      <c r="O3" s="55">
        <v>1</v>
      </c>
      <c r="P3" s="56">
        <v>2</v>
      </c>
      <c r="Q3" s="56">
        <v>3</v>
      </c>
      <c r="R3" s="56">
        <v>4</v>
      </c>
      <c r="S3" s="56">
        <v>5</v>
      </c>
      <c r="T3" s="57">
        <v>6</v>
      </c>
      <c r="U3" s="55">
        <v>1</v>
      </c>
      <c r="V3" s="56">
        <v>2</v>
      </c>
      <c r="W3" s="56">
        <v>3</v>
      </c>
      <c r="X3" s="56">
        <v>4</v>
      </c>
      <c r="Y3" s="56">
        <v>5</v>
      </c>
      <c r="Z3" s="57">
        <v>6</v>
      </c>
      <c r="AA3" s="55">
        <v>1</v>
      </c>
      <c r="AB3" s="56">
        <v>2</v>
      </c>
      <c r="AC3" s="56">
        <v>3</v>
      </c>
      <c r="AD3" s="56">
        <v>4</v>
      </c>
      <c r="AE3" s="56">
        <v>5</v>
      </c>
      <c r="AF3" s="57">
        <v>6</v>
      </c>
      <c r="AG3" s="55">
        <v>1</v>
      </c>
      <c r="AH3" s="56">
        <v>2</v>
      </c>
      <c r="AI3" s="56">
        <v>3</v>
      </c>
      <c r="AJ3" s="56">
        <v>4</v>
      </c>
      <c r="AK3" s="160"/>
      <c r="AL3" s="160"/>
      <c r="AM3" s="88" t="s">
        <v>10</v>
      </c>
      <c r="AN3" s="89" t="s">
        <v>11</v>
      </c>
    </row>
    <row r="4" spans="1:40" ht="14.25" customHeight="1">
      <c r="A4" s="175" t="s">
        <v>12</v>
      </c>
      <c r="B4" s="58" t="s">
        <v>13</v>
      </c>
      <c r="C4" s="59"/>
      <c r="D4" s="60"/>
      <c r="E4" s="60"/>
      <c r="F4" s="60"/>
      <c r="G4" s="60"/>
      <c r="H4" s="61"/>
      <c r="I4" s="17"/>
      <c r="J4" s="60"/>
      <c r="K4" s="60"/>
      <c r="L4" s="60"/>
      <c r="M4" s="60"/>
      <c r="N4" s="82"/>
      <c r="O4" s="17"/>
      <c r="P4" s="60"/>
      <c r="Q4" s="60"/>
      <c r="R4" s="60"/>
      <c r="S4" s="60"/>
      <c r="T4" s="82"/>
      <c r="U4" s="17"/>
      <c r="V4" s="60"/>
      <c r="W4" s="60"/>
      <c r="X4" s="60"/>
      <c r="Y4" s="60"/>
      <c r="Z4" s="82"/>
      <c r="AA4" s="17"/>
      <c r="AB4" s="60"/>
      <c r="AC4" s="60"/>
      <c r="AD4" s="60"/>
      <c r="AE4" s="60"/>
      <c r="AF4" s="82"/>
      <c r="AG4" s="17"/>
      <c r="AH4" s="60"/>
      <c r="AI4" s="60"/>
      <c r="AJ4" s="61"/>
      <c r="AK4" s="90"/>
      <c r="AL4" s="91"/>
      <c r="AM4" s="92">
        <f>SUM(C4:AL4)</f>
        <v>0</v>
      </c>
      <c r="AN4" s="93">
        <f>AM4*25</f>
        <v>0</v>
      </c>
    </row>
    <row r="5" spans="1:40" ht="14.25" customHeight="1">
      <c r="A5" s="175"/>
      <c r="B5" s="62" t="s">
        <v>14</v>
      </c>
      <c r="C5" s="63"/>
      <c r="D5" s="64"/>
      <c r="E5" s="64"/>
      <c r="F5" s="64"/>
      <c r="G5" s="64"/>
      <c r="H5" s="65"/>
      <c r="I5" s="83"/>
      <c r="J5" s="64"/>
      <c r="K5" s="64"/>
      <c r="L5" s="64"/>
      <c r="M5" s="64"/>
      <c r="N5" s="84"/>
      <c r="O5" s="83"/>
      <c r="P5" s="64"/>
      <c r="Q5" s="64"/>
      <c r="R5" s="64"/>
      <c r="S5" s="64"/>
      <c r="T5" s="84"/>
      <c r="U5" s="83"/>
      <c r="V5" s="64"/>
      <c r="W5" s="64"/>
      <c r="X5" s="64"/>
      <c r="Y5" s="64"/>
      <c r="Z5" s="84"/>
      <c r="AA5" s="83"/>
      <c r="AB5" s="64"/>
      <c r="AC5" s="64"/>
      <c r="AD5" s="64"/>
      <c r="AE5" s="64"/>
      <c r="AF5" s="84"/>
      <c r="AG5" s="83"/>
      <c r="AH5" s="64"/>
      <c r="AI5" s="64"/>
      <c r="AJ5" s="65"/>
      <c r="AK5" s="94"/>
      <c r="AL5" s="95"/>
      <c r="AM5" s="92">
        <f t="shared" ref="AM5:AM49" si="0">SUM(C5:AL5)</f>
        <v>0</v>
      </c>
      <c r="AN5" s="93">
        <f t="shared" ref="AN5:AN49" si="1">AM5*25</f>
        <v>0</v>
      </c>
    </row>
    <row r="6" spans="1:40" ht="14.25" customHeight="1">
      <c r="A6" s="175"/>
      <c r="B6" s="62" t="s">
        <v>15</v>
      </c>
      <c r="C6" s="63"/>
      <c r="D6" s="64"/>
      <c r="E6" s="64"/>
      <c r="F6" s="64"/>
      <c r="G6" s="64"/>
      <c r="H6" s="65"/>
      <c r="I6" s="83"/>
      <c r="J6" s="64"/>
      <c r="K6" s="64"/>
      <c r="L6" s="64"/>
      <c r="M6" s="64"/>
      <c r="N6" s="84"/>
      <c r="O6" s="83"/>
      <c r="P6" s="64"/>
      <c r="Q6" s="64"/>
      <c r="R6" s="64"/>
      <c r="S6" s="64"/>
      <c r="T6" s="84"/>
      <c r="U6" s="83"/>
      <c r="V6" s="64"/>
      <c r="W6" s="64"/>
      <c r="X6" s="64"/>
      <c r="Y6" s="64"/>
      <c r="Z6" s="84"/>
      <c r="AA6" s="83"/>
      <c r="AB6" s="64"/>
      <c r="AC6" s="64"/>
      <c r="AD6" s="64"/>
      <c r="AE6" s="64"/>
      <c r="AF6" s="84"/>
      <c r="AG6" s="83"/>
      <c r="AH6" s="64"/>
      <c r="AI6" s="64"/>
      <c r="AJ6" s="65"/>
      <c r="AK6" s="94"/>
      <c r="AL6" s="95"/>
      <c r="AM6" s="92">
        <f t="shared" si="0"/>
        <v>0</v>
      </c>
      <c r="AN6" s="93">
        <f t="shared" si="1"/>
        <v>0</v>
      </c>
    </row>
    <row r="7" spans="1:40" ht="14.25" customHeight="1">
      <c r="A7" s="175"/>
      <c r="B7" s="62" t="s">
        <v>131</v>
      </c>
      <c r="C7" s="63"/>
      <c r="D7" s="64"/>
      <c r="E7" s="64"/>
      <c r="F7" s="64"/>
      <c r="G7" s="64"/>
      <c r="H7" s="65"/>
      <c r="I7" s="83"/>
      <c r="J7" s="64"/>
      <c r="K7" s="64"/>
      <c r="L7" s="64"/>
      <c r="M7" s="64"/>
      <c r="N7" s="84"/>
      <c r="O7" s="83"/>
      <c r="P7" s="64"/>
      <c r="Q7" s="64"/>
      <c r="R7" s="64"/>
      <c r="S7" s="64"/>
      <c r="T7" s="84"/>
      <c r="U7" s="83"/>
      <c r="V7" s="64"/>
      <c r="W7" s="64"/>
      <c r="X7" s="64"/>
      <c r="Y7" s="64"/>
      <c r="Z7" s="84"/>
      <c r="AA7" s="83"/>
      <c r="AB7" s="64"/>
      <c r="AC7" s="64"/>
      <c r="AD7" s="64"/>
      <c r="AE7" s="64"/>
      <c r="AF7" s="84"/>
      <c r="AG7" s="83"/>
      <c r="AH7" s="64"/>
      <c r="AI7" s="64"/>
      <c r="AJ7" s="65"/>
      <c r="AK7" s="94"/>
      <c r="AL7" s="95"/>
      <c r="AM7" s="92">
        <f t="shared" si="0"/>
        <v>0</v>
      </c>
      <c r="AN7" s="93">
        <f t="shared" si="1"/>
        <v>0</v>
      </c>
    </row>
    <row r="8" spans="1:40" ht="14.25" customHeight="1">
      <c r="A8" s="175"/>
      <c r="B8" s="62" t="s">
        <v>16</v>
      </c>
      <c r="C8" s="63"/>
      <c r="D8" s="64"/>
      <c r="E8" s="64"/>
      <c r="F8" s="64"/>
      <c r="G8" s="64"/>
      <c r="H8" s="65"/>
      <c r="I8" s="83"/>
      <c r="J8" s="64"/>
      <c r="K8" s="64"/>
      <c r="L8" s="64"/>
      <c r="M8" s="64"/>
      <c r="N8" s="84"/>
      <c r="O8" s="83"/>
      <c r="P8" s="64"/>
      <c r="Q8" s="64"/>
      <c r="R8" s="64"/>
      <c r="S8" s="64"/>
      <c r="T8" s="84"/>
      <c r="U8" s="83"/>
      <c r="V8" s="64"/>
      <c r="W8" s="64"/>
      <c r="X8" s="64"/>
      <c r="Y8" s="64"/>
      <c r="Z8" s="84"/>
      <c r="AA8" s="83"/>
      <c r="AB8" s="64"/>
      <c r="AC8" s="64"/>
      <c r="AD8" s="64"/>
      <c r="AE8" s="64"/>
      <c r="AF8" s="84"/>
      <c r="AG8" s="83"/>
      <c r="AH8" s="64"/>
      <c r="AI8" s="64"/>
      <c r="AJ8" s="65"/>
      <c r="AK8" s="94"/>
      <c r="AL8" s="95"/>
      <c r="AM8" s="92">
        <f t="shared" si="0"/>
        <v>0</v>
      </c>
      <c r="AN8" s="93">
        <f t="shared" si="1"/>
        <v>0</v>
      </c>
    </row>
    <row r="9" spans="1:40" ht="14.25" customHeight="1">
      <c r="A9" s="175"/>
      <c r="B9" s="62" t="s">
        <v>17</v>
      </c>
      <c r="C9" s="63"/>
      <c r="D9" s="64"/>
      <c r="E9" s="64"/>
      <c r="F9" s="64"/>
      <c r="G9" s="64"/>
      <c r="H9" s="65"/>
      <c r="I9" s="83"/>
      <c r="J9" s="64"/>
      <c r="K9" s="64"/>
      <c r="L9" s="64"/>
      <c r="M9" s="64"/>
      <c r="N9" s="84"/>
      <c r="O9" s="83"/>
      <c r="P9" s="64"/>
      <c r="Q9" s="64"/>
      <c r="R9" s="64"/>
      <c r="S9" s="64"/>
      <c r="T9" s="84"/>
      <c r="U9" s="83"/>
      <c r="V9" s="64"/>
      <c r="W9" s="64"/>
      <c r="X9" s="64"/>
      <c r="Y9" s="64"/>
      <c r="Z9" s="84"/>
      <c r="AA9" s="83"/>
      <c r="AB9" s="64"/>
      <c r="AC9" s="64"/>
      <c r="AD9" s="64"/>
      <c r="AE9" s="64"/>
      <c r="AF9" s="84"/>
      <c r="AG9" s="83"/>
      <c r="AH9" s="64"/>
      <c r="AI9" s="64"/>
      <c r="AJ9" s="65"/>
      <c r="AK9" s="94"/>
      <c r="AL9" s="95"/>
      <c r="AM9" s="92">
        <f t="shared" si="0"/>
        <v>0</v>
      </c>
      <c r="AN9" s="93">
        <f t="shared" si="1"/>
        <v>0</v>
      </c>
    </row>
    <row r="10" spans="1:40" ht="14.25" customHeight="1">
      <c r="A10" s="175"/>
      <c r="B10" s="62"/>
      <c r="C10" s="63"/>
      <c r="D10" s="64"/>
      <c r="E10" s="64"/>
      <c r="F10" s="64"/>
      <c r="G10" s="64"/>
      <c r="H10" s="65"/>
      <c r="I10" s="83"/>
      <c r="J10" s="64"/>
      <c r="K10" s="64"/>
      <c r="L10" s="64"/>
      <c r="M10" s="64"/>
      <c r="N10" s="84"/>
      <c r="O10" s="83"/>
      <c r="P10" s="64"/>
      <c r="Q10" s="64"/>
      <c r="R10" s="64"/>
      <c r="S10" s="64"/>
      <c r="T10" s="84"/>
      <c r="U10" s="83"/>
      <c r="V10" s="64"/>
      <c r="W10" s="64"/>
      <c r="X10" s="64"/>
      <c r="Y10" s="64"/>
      <c r="Z10" s="84"/>
      <c r="AA10" s="83"/>
      <c r="AB10" s="64"/>
      <c r="AC10" s="64"/>
      <c r="AD10" s="64"/>
      <c r="AE10" s="64"/>
      <c r="AF10" s="84"/>
      <c r="AG10" s="83"/>
      <c r="AH10" s="64"/>
      <c r="AI10" s="64"/>
      <c r="AJ10" s="65"/>
      <c r="AK10" s="94"/>
      <c r="AL10" s="95"/>
      <c r="AM10" s="92">
        <f t="shared" si="0"/>
        <v>0</v>
      </c>
      <c r="AN10" s="93">
        <f t="shared" si="1"/>
        <v>0</v>
      </c>
    </row>
    <row r="11" spans="1:40" ht="6.75" customHeight="1">
      <c r="A11" s="66"/>
      <c r="B11" s="67"/>
      <c r="I11" s="85"/>
      <c r="O11" s="85"/>
      <c r="U11" s="85"/>
      <c r="AA11" s="85"/>
      <c r="AG11" s="85"/>
      <c r="AK11" s="96"/>
      <c r="AL11" s="96"/>
      <c r="AM11" s="92">
        <f t="shared" si="0"/>
        <v>0</v>
      </c>
      <c r="AN11" s="93">
        <f t="shared" si="1"/>
        <v>0</v>
      </c>
    </row>
    <row r="12" spans="1:40" ht="14.25" customHeight="1">
      <c r="A12" s="170" t="s">
        <v>18</v>
      </c>
      <c r="B12" s="62" t="s">
        <v>13</v>
      </c>
      <c r="C12" s="63"/>
      <c r="D12" s="64"/>
      <c r="E12" s="64"/>
      <c r="F12" s="64"/>
      <c r="G12" s="64"/>
      <c r="H12" s="65"/>
      <c r="I12" s="83"/>
      <c r="J12" s="64"/>
      <c r="K12" s="64"/>
      <c r="L12" s="64"/>
      <c r="M12" s="64"/>
      <c r="N12" s="84"/>
      <c r="O12" s="83"/>
      <c r="P12" s="64"/>
      <c r="Q12" s="64"/>
      <c r="R12" s="64"/>
      <c r="S12" s="64"/>
      <c r="T12" s="84"/>
      <c r="U12" s="83"/>
      <c r="V12" s="64"/>
      <c r="W12" s="64"/>
      <c r="X12" s="64"/>
      <c r="Y12" s="64"/>
      <c r="Z12" s="84"/>
      <c r="AA12" s="83"/>
      <c r="AB12" s="64"/>
      <c r="AC12" s="64"/>
      <c r="AD12" s="64"/>
      <c r="AE12" s="64"/>
      <c r="AF12" s="84"/>
      <c r="AG12" s="83"/>
      <c r="AH12" s="64"/>
      <c r="AI12" s="64"/>
      <c r="AJ12" s="65"/>
      <c r="AK12" s="94"/>
      <c r="AL12" s="97"/>
      <c r="AM12" s="92">
        <f t="shared" si="0"/>
        <v>0</v>
      </c>
      <c r="AN12" s="93">
        <f t="shared" si="1"/>
        <v>0</v>
      </c>
    </row>
    <row r="13" spans="1:40" ht="14.25" customHeight="1">
      <c r="A13" s="171"/>
      <c r="B13" s="62" t="s">
        <v>14</v>
      </c>
      <c r="C13" s="63"/>
      <c r="D13" s="64"/>
      <c r="E13" s="64"/>
      <c r="F13" s="64"/>
      <c r="G13" s="64"/>
      <c r="H13" s="65"/>
      <c r="I13" s="83"/>
      <c r="J13" s="64"/>
      <c r="K13" s="64"/>
      <c r="L13" s="64"/>
      <c r="M13" s="64"/>
      <c r="N13" s="84"/>
      <c r="O13" s="83"/>
      <c r="P13" s="64"/>
      <c r="Q13" s="64"/>
      <c r="R13" s="64"/>
      <c r="S13" s="64"/>
      <c r="T13" s="84"/>
      <c r="U13" s="83"/>
      <c r="V13" s="64"/>
      <c r="W13" s="64"/>
      <c r="X13" s="64"/>
      <c r="Y13" s="64"/>
      <c r="Z13" s="84"/>
      <c r="AA13" s="83"/>
      <c r="AB13" s="64"/>
      <c r="AC13" s="64"/>
      <c r="AD13" s="64"/>
      <c r="AE13" s="64"/>
      <c r="AF13" s="84"/>
      <c r="AG13" s="83"/>
      <c r="AH13" s="64"/>
      <c r="AI13" s="64"/>
      <c r="AJ13" s="65"/>
      <c r="AK13" s="94"/>
      <c r="AL13" s="97"/>
      <c r="AM13" s="92">
        <f t="shared" si="0"/>
        <v>0</v>
      </c>
      <c r="AN13" s="93">
        <f t="shared" si="1"/>
        <v>0</v>
      </c>
    </row>
    <row r="14" spans="1:40" ht="14.25" customHeight="1">
      <c r="A14" s="171"/>
      <c r="B14" s="62" t="s">
        <v>15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83"/>
      <c r="AH14" s="64"/>
      <c r="AI14" s="64"/>
      <c r="AJ14" s="65"/>
      <c r="AK14" s="94"/>
      <c r="AL14" s="97"/>
      <c r="AM14" s="92">
        <f t="shared" si="0"/>
        <v>0</v>
      </c>
      <c r="AN14" s="93">
        <f t="shared" si="1"/>
        <v>0</v>
      </c>
    </row>
    <row r="15" spans="1:40" ht="14.25" customHeight="1">
      <c r="A15" s="171"/>
      <c r="B15" s="62" t="s">
        <v>131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83"/>
      <c r="AH15" s="64"/>
      <c r="AI15" s="64"/>
      <c r="AJ15" s="65"/>
      <c r="AK15" s="94"/>
      <c r="AL15" s="97"/>
      <c r="AM15" s="92">
        <f t="shared" si="0"/>
        <v>0</v>
      </c>
      <c r="AN15" s="93">
        <f t="shared" si="1"/>
        <v>0</v>
      </c>
    </row>
    <row r="16" spans="1:40" ht="14.25" customHeight="1">
      <c r="A16" s="171"/>
      <c r="B16" s="62" t="s">
        <v>16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83"/>
      <c r="AH16" s="64"/>
      <c r="AI16" s="64"/>
      <c r="AJ16" s="65"/>
      <c r="AK16" s="94"/>
      <c r="AL16" s="97"/>
      <c r="AM16" s="92">
        <f t="shared" si="0"/>
        <v>0</v>
      </c>
      <c r="AN16" s="93">
        <f t="shared" si="1"/>
        <v>0</v>
      </c>
    </row>
    <row r="17" spans="1:40" ht="14.25" customHeight="1">
      <c r="A17" s="171"/>
      <c r="B17" s="62" t="s">
        <v>17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83"/>
      <c r="AH17" s="64"/>
      <c r="AI17" s="64"/>
      <c r="AJ17" s="65"/>
      <c r="AK17" s="94"/>
      <c r="AL17" s="97"/>
      <c r="AM17" s="92">
        <f t="shared" si="0"/>
        <v>0</v>
      </c>
      <c r="AN17" s="93">
        <f t="shared" si="1"/>
        <v>0</v>
      </c>
    </row>
    <row r="18" spans="1:40" ht="14.25" customHeight="1">
      <c r="A18" s="172"/>
      <c r="B18" s="62"/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83"/>
      <c r="AH18" s="64"/>
      <c r="AI18" s="64"/>
      <c r="AJ18" s="65"/>
      <c r="AK18" s="94"/>
      <c r="AL18" s="97"/>
      <c r="AM18" s="92">
        <f t="shared" si="0"/>
        <v>0</v>
      </c>
      <c r="AN18" s="93">
        <f t="shared" si="1"/>
        <v>0</v>
      </c>
    </row>
    <row r="19" spans="1:40" ht="7.5" customHeight="1">
      <c r="A19" s="66"/>
      <c r="B19" s="68"/>
      <c r="I19" s="85"/>
      <c r="N19" s="85"/>
      <c r="O19" s="85"/>
      <c r="T19" s="85"/>
      <c r="U19" s="85"/>
      <c r="Z19" s="85"/>
      <c r="AA19" s="85"/>
      <c r="AF19" s="85"/>
      <c r="AG19" s="85"/>
      <c r="AK19" s="96"/>
      <c r="AL19" s="98"/>
      <c r="AM19" s="92">
        <f t="shared" si="0"/>
        <v>0</v>
      </c>
      <c r="AN19" s="93">
        <f t="shared" si="1"/>
        <v>0</v>
      </c>
    </row>
    <row r="20" spans="1:40" ht="14.25" customHeight="1">
      <c r="A20" s="170" t="s">
        <v>19</v>
      </c>
      <c r="B20" s="62" t="s">
        <v>13</v>
      </c>
      <c r="C20" s="63"/>
      <c r="D20" s="64"/>
      <c r="E20" s="64"/>
      <c r="F20" s="64"/>
      <c r="G20" s="64"/>
      <c r="H20" s="65"/>
      <c r="I20" s="83"/>
      <c r="J20" s="64"/>
      <c r="K20" s="64"/>
      <c r="L20" s="64"/>
      <c r="M20" s="64"/>
      <c r="N20" s="84"/>
      <c r="O20" s="83"/>
      <c r="P20" s="64"/>
      <c r="Q20" s="64"/>
      <c r="R20" s="64"/>
      <c r="S20" s="64"/>
      <c r="T20" s="84"/>
      <c r="U20" s="83"/>
      <c r="V20" s="64"/>
      <c r="W20" s="64"/>
      <c r="X20" s="64"/>
      <c r="Y20" s="64"/>
      <c r="Z20" s="84"/>
      <c r="AA20" s="83"/>
      <c r="AB20" s="64"/>
      <c r="AC20" s="64"/>
      <c r="AD20" s="64"/>
      <c r="AE20" s="64"/>
      <c r="AF20" s="84"/>
      <c r="AG20" s="83"/>
      <c r="AH20" s="64"/>
      <c r="AI20" s="64"/>
      <c r="AJ20" s="65"/>
      <c r="AK20" s="94"/>
      <c r="AL20" s="97"/>
      <c r="AM20" s="92">
        <f t="shared" si="0"/>
        <v>0</v>
      </c>
      <c r="AN20" s="93">
        <f t="shared" si="1"/>
        <v>0</v>
      </c>
    </row>
    <row r="21" spans="1:40" ht="14.25" customHeight="1">
      <c r="A21" s="171"/>
      <c r="B21" s="62" t="s">
        <v>14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65"/>
      <c r="AK21" s="94"/>
      <c r="AL21" s="97"/>
      <c r="AM21" s="92">
        <f t="shared" si="0"/>
        <v>0</v>
      </c>
      <c r="AN21" s="93">
        <f t="shared" si="1"/>
        <v>0</v>
      </c>
    </row>
    <row r="22" spans="1:40" ht="14.25" customHeight="1">
      <c r="A22" s="171"/>
      <c r="B22" s="62" t="s">
        <v>15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65"/>
      <c r="AK22" s="94"/>
      <c r="AL22" s="97"/>
      <c r="AM22" s="92">
        <f t="shared" si="0"/>
        <v>0</v>
      </c>
      <c r="AN22" s="93">
        <f t="shared" si="1"/>
        <v>0</v>
      </c>
    </row>
    <row r="23" spans="1:40" ht="14.25" customHeight="1">
      <c r="A23" s="171"/>
      <c r="B23" s="62" t="s">
        <v>131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65"/>
      <c r="AK23" s="94"/>
      <c r="AL23" s="97"/>
      <c r="AM23" s="92">
        <f t="shared" si="0"/>
        <v>0</v>
      </c>
      <c r="AN23" s="93">
        <f t="shared" si="1"/>
        <v>0</v>
      </c>
    </row>
    <row r="24" spans="1:40" ht="14.25" customHeight="1">
      <c r="A24" s="171"/>
      <c r="B24" s="62" t="s">
        <v>16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65"/>
      <c r="AK24" s="94"/>
      <c r="AL24" s="97"/>
      <c r="AM24" s="92">
        <f t="shared" si="0"/>
        <v>0</v>
      </c>
      <c r="AN24" s="93">
        <f t="shared" si="1"/>
        <v>0</v>
      </c>
    </row>
    <row r="25" spans="1:40" ht="14.25" customHeight="1">
      <c r="A25" s="171"/>
      <c r="B25" s="62" t="s">
        <v>17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65"/>
      <c r="AK25" s="94"/>
      <c r="AL25" s="97"/>
      <c r="AM25" s="92">
        <f t="shared" si="0"/>
        <v>0</v>
      </c>
      <c r="AN25" s="93">
        <f t="shared" si="1"/>
        <v>0</v>
      </c>
    </row>
    <row r="26" spans="1:40" ht="14.25" customHeight="1">
      <c r="A26" s="172"/>
      <c r="B26" s="62"/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65"/>
      <c r="AK26" s="94"/>
      <c r="AL26" s="97"/>
      <c r="AM26" s="92">
        <f t="shared" si="0"/>
        <v>0</v>
      </c>
      <c r="AN26" s="93">
        <f t="shared" si="1"/>
        <v>0</v>
      </c>
    </row>
    <row r="27" spans="1:40" ht="7.5" customHeight="1">
      <c r="A27" s="66"/>
      <c r="B27" s="67"/>
      <c r="I27" s="85"/>
      <c r="O27" s="85"/>
      <c r="U27" s="85"/>
      <c r="AA27" s="85"/>
      <c r="AG27" s="85"/>
      <c r="AK27" s="96"/>
      <c r="AL27" s="96"/>
      <c r="AM27" s="92">
        <f t="shared" si="0"/>
        <v>0</v>
      </c>
      <c r="AN27" s="93">
        <f t="shared" si="1"/>
        <v>0</v>
      </c>
    </row>
    <row r="28" spans="1:40" ht="14.25" customHeight="1">
      <c r="A28" s="170" t="s">
        <v>20</v>
      </c>
      <c r="B28" s="69" t="s">
        <v>13</v>
      </c>
      <c r="C28" s="63"/>
      <c r="D28" s="64"/>
      <c r="E28" s="64"/>
      <c r="F28" s="64"/>
      <c r="G28" s="64"/>
      <c r="H28" s="65"/>
      <c r="I28" s="83"/>
      <c r="J28" s="64"/>
      <c r="K28" s="64"/>
      <c r="L28" s="64"/>
      <c r="M28" s="64"/>
      <c r="N28" s="84"/>
      <c r="O28" s="83"/>
      <c r="P28" s="64"/>
      <c r="Q28" s="64"/>
      <c r="R28" s="64"/>
      <c r="S28" s="64"/>
      <c r="T28" s="84"/>
      <c r="U28" s="83"/>
      <c r="V28" s="64"/>
      <c r="W28" s="64"/>
      <c r="X28" s="64"/>
      <c r="Y28" s="64"/>
      <c r="Z28" s="84"/>
      <c r="AA28" s="83"/>
      <c r="AB28" s="64"/>
      <c r="AC28" s="64"/>
      <c r="AD28" s="64"/>
      <c r="AE28" s="64"/>
      <c r="AF28" s="84"/>
      <c r="AG28" s="83"/>
      <c r="AH28" s="64"/>
      <c r="AI28" s="64"/>
      <c r="AJ28" s="65"/>
      <c r="AK28" s="94"/>
      <c r="AL28" s="97"/>
      <c r="AM28" s="99">
        <f t="shared" si="0"/>
        <v>0</v>
      </c>
      <c r="AN28" s="93">
        <f t="shared" si="1"/>
        <v>0</v>
      </c>
    </row>
    <row r="29" spans="1:40" ht="14.25" customHeight="1">
      <c r="A29" s="171"/>
      <c r="B29" s="69" t="s">
        <v>14</v>
      </c>
      <c r="C29" s="63"/>
      <c r="D29" s="64"/>
      <c r="E29" s="64"/>
      <c r="F29" s="64"/>
      <c r="G29" s="64"/>
      <c r="H29" s="65"/>
      <c r="I29" s="83"/>
      <c r="J29" s="64"/>
      <c r="K29" s="64"/>
      <c r="L29" s="64"/>
      <c r="M29" s="64"/>
      <c r="N29" s="84"/>
      <c r="O29" s="83"/>
      <c r="P29" s="64"/>
      <c r="Q29" s="64"/>
      <c r="R29" s="64"/>
      <c r="S29" s="64"/>
      <c r="T29" s="84"/>
      <c r="U29" s="83"/>
      <c r="V29" s="64"/>
      <c r="W29" s="64"/>
      <c r="X29" s="64"/>
      <c r="Y29" s="64"/>
      <c r="Z29" s="84"/>
      <c r="AA29" s="83"/>
      <c r="AB29" s="64"/>
      <c r="AC29" s="64"/>
      <c r="AD29" s="64"/>
      <c r="AE29" s="64"/>
      <c r="AF29" s="84"/>
      <c r="AG29" s="83"/>
      <c r="AH29" s="64"/>
      <c r="AI29" s="64"/>
      <c r="AJ29" s="65"/>
      <c r="AK29" s="94"/>
      <c r="AL29" s="97"/>
      <c r="AM29" s="92">
        <f t="shared" si="0"/>
        <v>0</v>
      </c>
      <c r="AN29" s="93">
        <f t="shared" si="1"/>
        <v>0</v>
      </c>
    </row>
    <row r="30" spans="1:40" ht="14.25" customHeight="1">
      <c r="A30" s="171"/>
      <c r="B30" s="69" t="s">
        <v>15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83"/>
      <c r="AH30" s="64"/>
      <c r="AI30" s="64"/>
      <c r="AJ30" s="65"/>
      <c r="AK30" s="94"/>
      <c r="AL30" s="97"/>
      <c r="AM30" s="92">
        <f t="shared" si="0"/>
        <v>0</v>
      </c>
      <c r="AN30" s="93">
        <f t="shared" si="1"/>
        <v>0</v>
      </c>
    </row>
    <row r="31" spans="1:40" ht="14.25" customHeight="1">
      <c r="A31" s="171"/>
      <c r="B31" s="69" t="s">
        <v>131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83"/>
      <c r="AH31" s="64"/>
      <c r="AI31" s="64"/>
      <c r="AJ31" s="65"/>
      <c r="AK31" s="94"/>
      <c r="AL31" s="97"/>
      <c r="AM31" s="92">
        <f t="shared" si="0"/>
        <v>0</v>
      </c>
      <c r="AN31" s="93">
        <f t="shared" si="1"/>
        <v>0</v>
      </c>
    </row>
    <row r="32" spans="1:40" ht="14.25" customHeight="1">
      <c r="A32" s="171"/>
      <c r="B32" s="69" t="s">
        <v>16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83"/>
      <c r="AH32" s="64"/>
      <c r="AI32" s="64"/>
      <c r="AJ32" s="65"/>
      <c r="AK32" s="94"/>
      <c r="AL32" s="97"/>
      <c r="AM32" s="92">
        <f t="shared" si="0"/>
        <v>0</v>
      </c>
      <c r="AN32" s="93">
        <f t="shared" si="1"/>
        <v>0</v>
      </c>
    </row>
    <row r="33" spans="1:44" ht="14.25" customHeight="1">
      <c r="A33" s="171"/>
      <c r="B33" s="69" t="s">
        <v>17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83"/>
      <c r="AH33" s="64"/>
      <c r="AI33" s="64"/>
      <c r="AJ33" s="65"/>
      <c r="AK33" s="94"/>
      <c r="AL33" s="97"/>
      <c r="AM33" s="92">
        <f t="shared" si="0"/>
        <v>0</v>
      </c>
      <c r="AN33" s="93">
        <f t="shared" si="1"/>
        <v>0</v>
      </c>
    </row>
    <row r="34" spans="1:44" ht="7.5" customHeight="1">
      <c r="A34" s="171"/>
      <c r="B34" s="70"/>
      <c r="I34" s="11"/>
      <c r="N34" s="11"/>
      <c r="O34" s="11"/>
      <c r="T34" s="11"/>
      <c r="U34" s="11"/>
      <c r="Z34" s="11"/>
      <c r="AA34" s="11"/>
      <c r="AF34" s="11"/>
      <c r="AG34" s="11"/>
      <c r="AL34" s="11"/>
      <c r="AM34" s="92">
        <f t="shared" si="0"/>
        <v>0</v>
      </c>
      <c r="AN34" s="93">
        <f t="shared" si="1"/>
        <v>0</v>
      </c>
    </row>
    <row r="35" spans="1:44" ht="14.25" customHeight="1">
      <c r="A35" s="170" t="s">
        <v>21</v>
      </c>
      <c r="B35" s="62" t="s">
        <v>13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83"/>
      <c r="AH35" s="64"/>
      <c r="AI35" s="64"/>
      <c r="AJ35" s="65"/>
      <c r="AK35" s="94"/>
      <c r="AL35" s="95"/>
      <c r="AM35" s="92">
        <f t="shared" si="0"/>
        <v>0</v>
      </c>
      <c r="AN35" s="93">
        <f t="shared" si="1"/>
        <v>0</v>
      </c>
    </row>
    <row r="36" spans="1:44" ht="14.25" customHeight="1">
      <c r="A36" s="171"/>
      <c r="B36" s="62" t="s">
        <v>14</v>
      </c>
      <c r="C36" s="63"/>
      <c r="D36" s="64"/>
      <c r="E36" s="64"/>
      <c r="F36" s="64"/>
      <c r="G36" s="64"/>
      <c r="H36" s="65"/>
      <c r="I36" s="83"/>
      <c r="J36" s="64"/>
      <c r="K36" s="64"/>
      <c r="L36" s="64"/>
      <c r="M36" s="64"/>
      <c r="N36" s="84"/>
      <c r="O36" s="83"/>
      <c r="P36" s="64"/>
      <c r="Q36" s="64"/>
      <c r="R36" s="64"/>
      <c r="S36" s="64"/>
      <c r="T36" s="84"/>
      <c r="U36" s="83"/>
      <c r="V36" s="64"/>
      <c r="W36" s="64"/>
      <c r="X36" s="64"/>
      <c r="Y36" s="64"/>
      <c r="Z36" s="84"/>
      <c r="AA36" s="83"/>
      <c r="AB36" s="64"/>
      <c r="AC36" s="64"/>
      <c r="AD36" s="64"/>
      <c r="AE36" s="64"/>
      <c r="AF36" s="84"/>
      <c r="AG36" s="83"/>
      <c r="AH36" s="64"/>
      <c r="AI36" s="64"/>
      <c r="AJ36" s="65"/>
      <c r="AK36" s="94"/>
      <c r="AL36" s="95"/>
      <c r="AM36" s="92">
        <f t="shared" si="0"/>
        <v>0</v>
      </c>
      <c r="AN36" s="93">
        <f t="shared" si="1"/>
        <v>0</v>
      </c>
    </row>
    <row r="37" spans="1:44" ht="14.25" customHeight="1">
      <c r="A37" s="171"/>
      <c r="B37" s="62" t="s">
        <v>15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65"/>
      <c r="AK37" s="94"/>
      <c r="AL37" s="95"/>
      <c r="AM37" s="92">
        <f t="shared" si="0"/>
        <v>0</v>
      </c>
      <c r="AN37" s="93">
        <f t="shared" si="1"/>
        <v>0</v>
      </c>
    </row>
    <row r="38" spans="1:44" ht="14.25" customHeight="1">
      <c r="A38" s="171"/>
      <c r="B38" s="62" t="s">
        <v>131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65"/>
      <c r="AK38" s="94"/>
      <c r="AL38" s="95"/>
      <c r="AM38" s="92">
        <f t="shared" si="0"/>
        <v>0</v>
      </c>
      <c r="AN38" s="93">
        <f t="shared" si="1"/>
        <v>0</v>
      </c>
    </row>
    <row r="39" spans="1:44" ht="14.25" customHeight="1">
      <c r="A39" s="171"/>
      <c r="B39" s="62" t="s">
        <v>16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65"/>
      <c r="AK39" s="94"/>
      <c r="AL39" s="95"/>
      <c r="AM39" s="92">
        <f t="shared" si="0"/>
        <v>0</v>
      </c>
      <c r="AN39" s="93">
        <f t="shared" si="1"/>
        <v>0</v>
      </c>
    </row>
    <row r="40" spans="1:44" ht="14.25" customHeight="1">
      <c r="A40" s="171"/>
      <c r="B40" s="62" t="s">
        <v>17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65"/>
      <c r="AK40" s="94"/>
      <c r="AL40" s="95"/>
      <c r="AM40" s="92">
        <f t="shared" si="0"/>
        <v>0</v>
      </c>
      <c r="AN40" s="93">
        <f t="shared" si="1"/>
        <v>0</v>
      </c>
      <c r="AR40" t="s">
        <v>22</v>
      </c>
    </row>
    <row r="41" spans="1:44" ht="14.25" customHeight="1">
      <c r="A41" s="172"/>
      <c r="B41" s="62"/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65"/>
      <c r="AK41" s="94"/>
      <c r="AL41" s="95"/>
      <c r="AM41" s="92">
        <f t="shared" si="0"/>
        <v>0</v>
      </c>
      <c r="AN41" s="93">
        <f t="shared" si="1"/>
        <v>0</v>
      </c>
    </row>
    <row r="42" spans="1:44" ht="5.25" customHeight="1">
      <c r="B42" s="67"/>
      <c r="I42" s="85"/>
      <c r="O42" s="85"/>
      <c r="U42" s="85"/>
      <c r="AA42" s="85"/>
      <c r="AG42" s="85"/>
      <c r="AK42" s="96"/>
      <c r="AL42" s="96"/>
      <c r="AM42" s="92">
        <f t="shared" si="0"/>
        <v>0</v>
      </c>
      <c r="AN42" s="93">
        <f t="shared" si="1"/>
        <v>0</v>
      </c>
    </row>
    <row r="43" spans="1:44" ht="14.25" customHeight="1">
      <c r="A43" s="170" t="s">
        <v>24</v>
      </c>
      <c r="B43" s="62" t="s">
        <v>13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65"/>
      <c r="AK43" s="94"/>
      <c r="AL43" s="97"/>
      <c r="AM43" s="92">
        <f t="shared" si="0"/>
        <v>0</v>
      </c>
      <c r="AN43" s="93">
        <f t="shared" si="1"/>
        <v>0</v>
      </c>
    </row>
    <row r="44" spans="1:44" ht="14.25" customHeight="1">
      <c r="A44" s="171"/>
      <c r="B44" s="62" t="s">
        <v>14</v>
      </c>
      <c r="C44" s="63"/>
      <c r="D44" s="64"/>
      <c r="E44" s="64"/>
      <c r="F44" s="64"/>
      <c r="G44" s="64"/>
      <c r="H44" s="65"/>
      <c r="I44" s="83"/>
      <c r="J44" s="64"/>
      <c r="K44" s="64"/>
      <c r="L44" s="64"/>
      <c r="M44" s="64"/>
      <c r="N44" s="84"/>
      <c r="O44" s="83"/>
      <c r="P44" s="64"/>
      <c r="Q44" s="64"/>
      <c r="R44" s="64"/>
      <c r="S44" s="64"/>
      <c r="T44" s="84"/>
      <c r="U44" s="83"/>
      <c r="V44" s="64"/>
      <c r="W44" s="64"/>
      <c r="X44" s="64"/>
      <c r="Y44" s="64"/>
      <c r="Z44" s="84"/>
      <c r="AA44" s="83"/>
      <c r="AB44" s="64"/>
      <c r="AC44" s="64"/>
      <c r="AD44" s="64"/>
      <c r="AE44" s="64"/>
      <c r="AF44" s="84"/>
      <c r="AG44" s="83"/>
      <c r="AH44" s="64"/>
      <c r="AI44" s="64"/>
      <c r="AJ44" s="65"/>
      <c r="AK44" s="94"/>
      <c r="AL44" s="97"/>
      <c r="AM44" s="92">
        <f t="shared" si="0"/>
        <v>0</v>
      </c>
      <c r="AN44" s="93">
        <f t="shared" si="1"/>
        <v>0</v>
      </c>
    </row>
    <row r="45" spans="1:44" ht="14.25" customHeight="1">
      <c r="A45" s="171"/>
      <c r="B45" s="62" t="s">
        <v>15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83"/>
      <c r="AH45" s="64"/>
      <c r="AI45" s="64"/>
      <c r="AJ45" s="65"/>
      <c r="AK45" s="94"/>
      <c r="AL45" s="97"/>
      <c r="AM45" s="92">
        <f t="shared" si="0"/>
        <v>0</v>
      </c>
      <c r="AN45" s="93">
        <f t="shared" si="1"/>
        <v>0</v>
      </c>
    </row>
    <row r="46" spans="1:44" ht="14.25" customHeight="1">
      <c r="A46" s="171"/>
      <c r="B46" s="62" t="s">
        <v>131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83"/>
      <c r="AH46" s="64"/>
      <c r="AI46" s="64"/>
      <c r="AJ46" s="65"/>
      <c r="AK46" s="94"/>
      <c r="AL46" s="97"/>
      <c r="AM46" s="92">
        <f t="shared" si="0"/>
        <v>0</v>
      </c>
      <c r="AN46" s="93">
        <f t="shared" si="1"/>
        <v>0</v>
      </c>
    </row>
    <row r="47" spans="1:44" ht="14.25" customHeight="1">
      <c r="A47" s="171"/>
      <c r="B47" s="62" t="s">
        <v>16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83"/>
      <c r="AH47" s="64"/>
      <c r="AI47" s="64"/>
      <c r="AJ47" s="65"/>
      <c r="AK47" s="94"/>
      <c r="AL47" s="97"/>
      <c r="AM47" s="92">
        <f t="shared" si="0"/>
        <v>0</v>
      </c>
      <c r="AN47" s="93">
        <f t="shared" si="1"/>
        <v>0</v>
      </c>
    </row>
    <row r="48" spans="1:44" ht="14.25" customHeight="1">
      <c r="A48" s="171"/>
      <c r="B48" s="62" t="s">
        <v>17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/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83"/>
      <c r="AH48" s="64"/>
      <c r="AI48" s="64"/>
      <c r="AJ48" s="65"/>
      <c r="AK48" s="94"/>
      <c r="AL48" s="97"/>
      <c r="AM48" s="92">
        <f t="shared" si="0"/>
        <v>0</v>
      </c>
      <c r="AN48" s="93">
        <f t="shared" si="1"/>
        <v>0</v>
      </c>
    </row>
    <row r="49" spans="1:40" ht="14.25" customHeight="1">
      <c r="A49" s="172"/>
      <c r="B49" s="62"/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/>
      <c r="V49" s="64"/>
      <c r="W49" s="64"/>
      <c r="X49" s="64"/>
      <c r="Y49" s="64"/>
      <c r="Z49" s="84"/>
      <c r="AA49" s="83"/>
      <c r="AB49" s="64"/>
      <c r="AC49" s="64"/>
      <c r="AD49" s="64"/>
      <c r="AE49" s="64"/>
      <c r="AF49" s="84"/>
      <c r="AG49" s="83"/>
      <c r="AH49" s="64"/>
      <c r="AI49" s="64"/>
      <c r="AJ49" s="65"/>
      <c r="AK49" s="94"/>
      <c r="AL49" s="97"/>
      <c r="AM49" s="92">
        <f t="shared" si="0"/>
        <v>0</v>
      </c>
      <c r="AN49" s="93">
        <f t="shared" si="1"/>
        <v>0</v>
      </c>
    </row>
    <row r="50" spans="1:40" ht="12.75" customHeight="1">
      <c r="A50" s="71"/>
      <c r="B50" s="72"/>
      <c r="I50" s="11"/>
      <c r="N50" s="86"/>
      <c r="O50" s="11"/>
      <c r="T50" s="86"/>
      <c r="U50" s="11"/>
      <c r="Z50" s="86"/>
      <c r="AA50" s="11"/>
      <c r="AF50" s="86"/>
      <c r="AG50" s="11"/>
      <c r="AL50" s="86"/>
      <c r="AN50" s="100"/>
    </row>
    <row r="51" spans="1:40" ht="18" customHeight="1">
      <c r="A51" s="71"/>
      <c r="B51" s="72"/>
      <c r="I51" s="11"/>
      <c r="N51" s="86"/>
      <c r="O51" s="11"/>
      <c r="T51" s="86"/>
      <c r="U51" s="11"/>
      <c r="Z51" s="86"/>
      <c r="AA51" s="11"/>
      <c r="AF51" s="86"/>
      <c r="AG51" s="11"/>
      <c r="AL51" s="86"/>
      <c r="AN51" s="100"/>
    </row>
    <row r="52" spans="1:40" ht="18" customHeight="1">
      <c r="A52" s="71"/>
      <c r="B52" s="165" t="s">
        <v>25</v>
      </c>
      <c r="C52" s="165"/>
      <c r="D52" s="165"/>
      <c r="E52" s="73"/>
      <c r="F52" s="176" t="s">
        <v>26</v>
      </c>
      <c r="G52" s="176"/>
      <c r="H52" s="176"/>
      <c r="I52" s="176"/>
      <c r="J52" s="176"/>
      <c r="K52" s="176"/>
      <c r="L52" s="176"/>
      <c r="M52" s="176"/>
      <c r="N52" s="86"/>
      <c r="O52" s="11"/>
      <c r="T52" s="86"/>
      <c r="U52" s="11"/>
      <c r="Z52" s="86"/>
      <c r="AA52" s="11"/>
      <c r="AF52" s="86"/>
      <c r="AG52" s="11"/>
      <c r="AL52" s="86"/>
      <c r="AN52" s="100"/>
    </row>
    <row r="53" spans="1:40" ht="18" customHeight="1">
      <c r="A53" s="71"/>
      <c r="B53" s="165"/>
      <c r="C53" s="165"/>
      <c r="D53" s="165"/>
      <c r="E53" s="73"/>
      <c r="F53" s="177" t="s">
        <v>27</v>
      </c>
      <c r="G53" s="177"/>
      <c r="H53" s="177"/>
      <c r="I53" s="177"/>
      <c r="J53" s="177" t="s">
        <v>28</v>
      </c>
      <c r="K53" s="177"/>
      <c r="L53" s="177"/>
      <c r="M53" s="177"/>
      <c r="N53" s="86"/>
      <c r="O53" s="11"/>
      <c r="T53" s="86"/>
      <c r="U53" s="11"/>
      <c r="Z53" s="86"/>
      <c r="AA53" s="11"/>
      <c r="AF53" s="86"/>
      <c r="AG53" s="11"/>
      <c r="AL53" s="86"/>
      <c r="AN53" s="100"/>
    </row>
    <row r="54" spans="1:40" ht="18" customHeight="1">
      <c r="A54" s="71"/>
      <c r="B54" s="74" t="s">
        <v>12</v>
      </c>
      <c r="C54" s="52">
        <f>SUM(AM4:AM10)</f>
        <v>0</v>
      </c>
      <c r="D54" s="52">
        <f>SUM(AN4:AN10)</f>
        <v>0</v>
      </c>
      <c r="E54" s="68"/>
      <c r="F54" s="166">
        <f>'1'!F63</f>
        <v>0</v>
      </c>
      <c r="G54" s="166"/>
      <c r="H54" s="166"/>
      <c r="I54" s="166"/>
      <c r="J54" s="179"/>
      <c r="K54" s="179"/>
      <c r="L54" s="179"/>
      <c r="M54" s="180"/>
      <c r="N54" s="86"/>
      <c r="O54" s="11"/>
      <c r="T54" s="86"/>
      <c r="U54" s="11"/>
      <c r="Z54" s="86"/>
      <c r="AA54" s="11"/>
      <c r="AF54" s="86"/>
      <c r="AG54" s="11"/>
      <c r="AL54" s="86"/>
      <c r="AN54" s="100"/>
    </row>
    <row r="55" spans="1:40" ht="18" customHeight="1">
      <c r="A55" s="71"/>
      <c r="B55" s="75" t="s">
        <v>18</v>
      </c>
      <c r="C55" s="52">
        <f>SUM(AM12:AM18)</f>
        <v>0</v>
      </c>
      <c r="D55" s="52">
        <f>SUM(AN12:AN18)</f>
        <v>0</v>
      </c>
      <c r="E55" s="76"/>
      <c r="F55" s="166"/>
      <c r="G55" s="166"/>
      <c r="H55" s="166"/>
      <c r="I55" s="166"/>
      <c r="J55" s="167"/>
      <c r="K55" s="168"/>
      <c r="L55" s="168"/>
      <c r="M55" s="168"/>
      <c r="N55" s="86"/>
      <c r="O55" s="11"/>
      <c r="T55" s="86"/>
      <c r="U55" s="11"/>
      <c r="Z55" s="86"/>
      <c r="AA55" s="11"/>
      <c r="AF55" s="86"/>
      <c r="AG55" s="11"/>
      <c r="AL55" s="86"/>
      <c r="AN55" s="100"/>
    </row>
    <row r="56" spans="1:40" ht="18" customHeight="1">
      <c r="A56" s="71"/>
      <c r="B56" s="75" t="s">
        <v>19</v>
      </c>
      <c r="C56" s="52">
        <f>SUM(AM20:AM26)</f>
        <v>0</v>
      </c>
      <c r="D56" s="52">
        <f>SUM(AN20:AN26)</f>
        <v>0</v>
      </c>
      <c r="E56" s="76"/>
      <c r="N56" s="86"/>
      <c r="O56" s="11"/>
      <c r="T56" s="86"/>
      <c r="U56" s="11"/>
      <c r="Z56" s="86"/>
      <c r="AA56" s="11"/>
      <c r="AF56" s="86"/>
      <c r="AG56" s="11"/>
      <c r="AL56" s="86"/>
      <c r="AN56" s="100"/>
    </row>
    <row r="57" spans="1:40" ht="18" customHeight="1">
      <c r="A57" s="71"/>
      <c r="B57" s="74" t="s">
        <v>20</v>
      </c>
      <c r="C57" s="52">
        <f>SUM(AM28:AM33)</f>
        <v>0</v>
      </c>
      <c r="D57" s="52">
        <f>SUM(AN28:AN33)</f>
        <v>0</v>
      </c>
      <c r="E57" s="76"/>
      <c r="N57" s="86"/>
      <c r="O57" s="11"/>
      <c r="T57" s="86"/>
      <c r="U57" s="11"/>
      <c r="Z57" s="86"/>
      <c r="AA57" s="11"/>
      <c r="AF57" s="86"/>
      <c r="AG57" s="11"/>
      <c r="AL57" s="86"/>
      <c r="AN57" s="100"/>
    </row>
    <row r="58" spans="1:40" ht="18" customHeight="1">
      <c r="A58" s="71"/>
      <c r="B58" s="74" t="s">
        <v>21</v>
      </c>
      <c r="C58" s="52">
        <f>SUM(AM35:AM41)</f>
        <v>0</v>
      </c>
      <c r="D58" s="52">
        <f>SUM(AN35:AN41)</f>
        <v>0</v>
      </c>
      <c r="E58" s="76"/>
      <c r="N58" s="86"/>
      <c r="O58" s="11"/>
      <c r="T58" s="86"/>
      <c r="U58" s="11"/>
      <c r="Z58" s="86"/>
      <c r="AA58" s="11"/>
      <c r="AF58" s="86"/>
      <c r="AG58" s="11"/>
      <c r="AL58" s="86"/>
      <c r="AN58" s="100"/>
    </row>
    <row r="59" spans="1:40" ht="18" customHeight="1">
      <c r="A59" s="71"/>
      <c r="B59" s="77" t="s">
        <v>29</v>
      </c>
      <c r="C59" s="52">
        <f>SUM(AM43:AM49)</f>
        <v>0</v>
      </c>
      <c r="D59" s="52">
        <f>SUM(AN43:AN49)</f>
        <v>0</v>
      </c>
      <c r="E59" s="66"/>
      <c r="N59" s="86"/>
      <c r="O59" s="11"/>
      <c r="T59" s="86"/>
      <c r="U59" s="11"/>
      <c r="Z59" s="86"/>
      <c r="AA59" s="11"/>
      <c r="AF59" s="86"/>
      <c r="AG59" s="11"/>
      <c r="AL59" s="86"/>
      <c r="AN59" s="100"/>
    </row>
    <row r="60" spans="1:40" ht="18" customHeight="1">
      <c r="A60" s="71"/>
      <c r="B60" s="78" t="s">
        <v>30</v>
      </c>
      <c r="C60" s="79">
        <f>SUM(C54:C59)</f>
        <v>0</v>
      </c>
      <c r="D60" s="80">
        <f>SUM(D54:D59)</f>
        <v>0</v>
      </c>
      <c r="E60" s="81"/>
      <c r="N60" s="86"/>
      <c r="O60" s="11"/>
      <c r="T60" s="86"/>
      <c r="U60" s="11"/>
      <c r="Z60" s="86"/>
      <c r="AA60" s="11"/>
      <c r="AF60" s="86"/>
      <c r="AG60" s="11"/>
      <c r="AL60" s="86"/>
      <c r="AN60" s="100"/>
    </row>
    <row r="61" spans="1:40" ht="18" customHeight="1">
      <c r="A61" s="71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86"/>
      <c r="O61" s="11"/>
      <c r="T61" s="86"/>
      <c r="U61" s="11"/>
      <c r="Z61" s="86"/>
      <c r="AA61" s="11"/>
      <c r="AF61" s="86"/>
      <c r="AG61" s="11"/>
      <c r="AL61" s="86"/>
      <c r="AN61" s="100"/>
    </row>
    <row r="63" spans="1:40">
      <c r="A63" s="169" t="s">
        <v>31</v>
      </c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  <c r="X63" s="169"/>
      <c r="Y63" s="169"/>
      <c r="Z63" s="169"/>
      <c r="AA63" s="169"/>
      <c r="AB63" s="169"/>
      <c r="AC63" s="169"/>
      <c r="AD63" s="169"/>
      <c r="AE63" s="169"/>
      <c r="AF63" s="169"/>
      <c r="AG63" s="169"/>
      <c r="AH63" s="169"/>
      <c r="AI63" s="169"/>
      <c r="AJ63" s="169"/>
      <c r="AK63" s="169"/>
      <c r="AL63" s="169"/>
      <c r="AM63" s="169"/>
      <c r="AN63" s="169"/>
    </row>
    <row r="64" spans="1:40">
      <c r="C64" s="162" t="s">
        <v>0</v>
      </c>
      <c r="D64" s="162"/>
      <c r="E64" s="162"/>
      <c r="F64" s="162"/>
      <c r="G64" s="162"/>
      <c r="H64" s="163"/>
      <c r="I64" s="162" t="s">
        <v>1</v>
      </c>
      <c r="J64" s="162"/>
      <c r="K64" s="162"/>
      <c r="L64" s="162"/>
      <c r="M64" s="162"/>
      <c r="N64" s="163"/>
      <c r="O64" s="161" t="s">
        <v>2</v>
      </c>
      <c r="P64" s="162"/>
      <c r="Q64" s="162"/>
      <c r="R64" s="162"/>
      <c r="S64" s="162"/>
      <c r="T64" s="163"/>
      <c r="U64" s="162" t="s">
        <v>32</v>
      </c>
      <c r="V64" s="162"/>
      <c r="W64" s="162"/>
      <c r="X64" s="162"/>
      <c r="Y64" s="162"/>
      <c r="Z64" s="163"/>
      <c r="AA64" s="162" t="s">
        <v>4</v>
      </c>
      <c r="AB64" s="162"/>
      <c r="AC64" s="162"/>
      <c r="AD64" s="162"/>
      <c r="AE64" s="162"/>
      <c r="AF64" s="163"/>
      <c r="AG64" s="162" t="s">
        <v>5</v>
      </c>
      <c r="AH64" s="162"/>
      <c r="AI64" s="162"/>
      <c r="AJ64" s="163"/>
      <c r="AK64" s="174" t="s">
        <v>6</v>
      </c>
      <c r="AL64" s="164" t="s">
        <v>7</v>
      </c>
      <c r="AM64" s="96"/>
      <c r="AN64" s="96"/>
    </row>
    <row r="65" spans="1:40">
      <c r="A65" s="173" t="s">
        <v>33</v>
      </c>
      <c r="B65" s="101" t="s">
        <v>9</v>
      </c>
      <c r="C65" s="102">
        <v>1</v>
      </c>
      <c r="D65" s="102">
        <v>2</v>
      </c>
      <c r="E65" s="103">
        <v>3</v>
      </c>
      <c r="F65" s="103">
        <v>4</v>
      </c>
      <c r="G65" s="103">
        <v>5</v>
      </c>
      <c r="H65" s="104">
        <v>6</v>
      </c>
      <c r="I65" s="102">
        <v>1</v>
      </c>
      <c r="J65" s="103">
        <v>2</v>
      </c>
      <c r="K65" s="103">
        <v>3</v>
      </c>
      <c r="L65" s="103">
        <v>4</v>
      </c>
      <c r="M65" s="103">
        <v>5</v>
      </c>
      <c r="N65" s="104">
        <v>6</v>
      </c>
      <c r="O65" s="102">
        <v>1</v>
      </c>
      <c r="P65" s="103">
        <v>2</v>
      </c>
      <c r="Q65" s="103">
        <v>3</v>
      </c>
      <c r="R65" s="103">
        <v>4</v>
      </c>
      <c r="S65" s="103">
        <v>5</v>
      </c>
      <c r="T65" s="104">
        <v>6</v>
      </c>
      <c r="U65" s="102">
        <v>1</v>
      </c>
      <c r="V65" s="103">
        <v>2</v>
      </c>
      <c r="W65" s="103">
        <v>3</v>
      </c>
      <c r="X65" s="103">
        <v>4</v>
      </c>
      <c r="Y65" s="103">
        <v>5</v>
      </c>
      <c r="Z65" s="104">
        <v>6</v>
      </c>
      <c r="AA65" s="102">
        <v>1</v>
      </c>
      <c r="AB65" s="103">
        <v>2</v>
      </c>
      <c r="AC65" s="103">
        <v>3</v>
      </c>
      <c r="AD65" s="103">
        <v>4</v>
      </c>
      <c r="AE65" s="103">
        <v>5</v>
      </c>
      <c r="AF65" s="104">
        <v>6</v>
      </c>
      <c r="AG65" s="102">
        <v>1</v>
      </c>
      <c r="AH65" s="103">
        <v>2</v>
      </c>
      <c r="AI65" s="103">
        <v>3</v>
      </c>
      <c r="AJ65" s="104">
        <v>4</v>
      </c>
      <c r="AK65" s="174"/>
      <c r="AL65" s="164"/>
      <c r="AM65" s="116" t="s">
        <v>10</v>
      </c>
      <c r="AN65" s="117" t="s">
        <v>11</v>
      </c>
    </row>
    <row r="66" spans="1:40" ht="15" customHeight="1">
      <c r="A66" s="173"/>
      <c r="B66" s="105" t="s">
        <v>34</v>
      </c>
      <c r="C66" s="17">
        <f t="shared" ref="C66:AL66" si="2">SUM(C4+C12+C20+C28+C35+C43)</f>
        <v>0</v>
      </c>
      <c r="D66" s="17">
        <f t="shared" si="2"/>
        <v>0</v>
      </c>
      <c r="E66" s="17">
        <f t="shared" si="2"/>
        <v>0</v>
      </c>
      <c r="F66" s="17">
        <f t="shared" si="2"/>
        <v>0</v>
      </c>
      <c r="G66" s="17">
        <f t="shared" si="2"/>
        <v>0</v>
      </c>
      <c r="H66" s="106">
        <f t="shared" si="2"/>
        <v>0</v>
      </c>
      <c r="I66" s="17">
        <f t="shared" si="2"/>
        <v>0</v>
      </c>
      <c r="J66" s="17">
        <f t="shared" si="2"/>
        <v>0</v>
      </c>
      <c r="K66" s="17">
        <f t="shared" si="2"/>
        <v>0</v>
      </c>
      <c r="L66" s="17">
        <f t="shared" si="2"/>
        <v>0</v>
      </c>
      <c r="M66" s="17">
        <f t="shared" si="2"/>
        <v>0</v>
      </c>
      <c r="N66" s="114">
        <f t="shared" si="2"/>
        <v>0</v>
      </c>
      <c r="O66" s="17">
        <f t="shared" si="2"/>
        <v>0</v>
      </c>
      <c r="P66" s="17">
        <f t="shared" si="2"/>
        <v>0</v>
      </c>
      <c r="Q66" s="17">
        <f t="shared" si="2"/>
        <v>0</v>
      </c>
      <c r="R66" s="17">
        <f t="shared" si="2"/>
        <v>0</v>
      </c>
      <c r="S66" s="17">
        <f t="shared" si="2"/>
        <v>0</v>
      </c>
      <c r="T66" s="114">
        <f t="shared" si="2"/>
        <v>0</v>
      </c>
      <c r="U66" s="17">
        <f t="shared" si="2"/>
        <v>0</v>
      </c>
      <c r="V66" s="17">
        <f t="shared" si="2"/>
        <v>0</v>
      </c>
      <c r="W66" s="17">
        <f t="shared" si="2"/>
        <v>0</v>
      </c>
      <c r="X66" s="17">
        <f t="shared" si="2"/>
        <v>0</v>
      </c>
      <c r="Y66" s="17">
        <f t="shared" si="2"/>
        <v>0</v>
      </c>
      <c r="Z66" s="114">
        <f t="shared" si="2"/>
        <v>0</v>
      </c>
      <c r="AA66" s="17">
        <f t="shared" si="2"/>
        <v>0</v>
      </c>
      <c r="AB66" s="17">
        <f t="shared" si="2"/>
        <v>0</v>
      </c>
      <c r="AC66" s="17">
        <f t="shared" si="2"/>
        <v>0</v>
      </c>
      <c r="AD66" s="17">
        <f t="shared" si="2"/>
        <v>0</v>
      </c>
      <c r="AE66" s="17">
        <f t="shared" si="2"/>
        <v>0</v>
      </c>
      <c r="AF66" s="114">
        <f t="shared" si="2"/>
        <v>0</v>
      </c>
      <c r="AG66" s="17">
        <f t="shared" si="2"/>
        <v>0</v>
      </c>
      <c r="AH66" s="17">
        <f t="shared" si="2"/>
        <v>0</v>
      </c>
      <c r="AI66" s="17">
        <f t="shared" si="2"/>
        <v>0</v>
      </c>
      <c r="AJ66" s="114">
        <f t="shared" si="2"/>
        <v>0</v>
      </c>
      <c r="AK66" s="17">
        <f t="shared" si="2"/>
        <v>0</v>
      </c>
      <c r="AL66" s="114">
        <f t="shared" si="2"/>
        <v>0</v>
      </c>
      <c r="AM66" s="52">
        <f>SUM(C66:AL66)</f>
        <v>0</v>
      </c>
      <c r="AN66" s="118">
        <f>AM66*215</f>
        <v>0</v>
      </c>
    </row>
    <row r="67" spans="1:40">
      <c r="A67" s="173"/>
      <c r="B67" s="105" t="s">
        <v>14</v>
      </c>
      <c r="C67" s="17">
        <f t="shared" ref="C67:AL67" si="3">SUM(C5+C13+C21+C29+C36+C44)</f>
        <v>0</v>
      </c>
      <c r="D67" s="17">
        <f t="shared" si="3"/>
        <v>0</v>
      </c>
      <c r="E67" s="17">
        <f t="shared" si="3"/>
        <v>0</v>
      </c>
      <c r="F67" s="17">
        <f t="shared" si="3"/>
        <v>0</v>
      </c>
      <c r="G67" s="17">
        <f t="shared" si="3"/>
        <v>0</v>
      </c>
      <c r="H67" s="106">
        <f t="shared" si="3"/>
        <v>0</v>
      </c>
      <c r="I67" s="17">
        <f t="shared" si="3"/>
        <v>0</v>
      </c>
      <c r="J67" s="17">
        <f t="shared" si="3"/>
        <v>0</v>
      </c>
      <c r="K67" s="17">
        <f t="shared" si="3"/>
        <v>0</v>
      </c>
      <c r="L67" s="17">
        <f t="shared" si="3"/>
        <v>0</v>
      </c>
      <c r="M67" s="17">
        <f t="shared" si="3"/>
        <v>0</v>
      </c>
      <c r="N67" s="114">
        <f t="shared" si="3"/>
        <v>0</v>
      </c>
      <c r="O67" s="17">
        <f t="shared" si="3"/>
        <v>0</v>
      </c>
      <c r="P67" s="17">
        <f t="shared" si="3"/>
        <v>0</v>
      </c>
      <c r="Q67" s="17">
        <f t="shared" si="3"/>
        <v>0</v>
      </c>
      <c r="R67" s="17">
        <f t="shared" si="3"/>
        <v>0</v>
      </c>
      <c r="S67" s="17">
        <f t="shared" si="3"/>
        <v>0</v>
      </c>
      <c r="T67" s="114">
        <f t="shared" si="3"/>
        <v>0</v>
      </c>
      <c r="U67" s="17">
        <f t="shared" si="3"/>
        <v>0</v>
      </c>
      <c r="V67" s="17">
        <f t="shared" si="3"/>
        <v>0</v>
      </c>
      <c r="W67" s="17">
        <f t="shared" si="3"/>
        <v>0</v>
      </c>
      <c r="X67" s="17">
        <f t="shared" si="3"/>
        <v>0</v>
      </c>
      <c r="Y67" s="17">
        <f t="shared" si="3"/>
        <v>0</v>
      </c>
      <c r="Z67" s="114">
        <f t="shared" si="3"/>
        <v>0</v>
      </c>
      <c r="AA67" s="17">
        <f t="shared" si="3"/>
        <v>0</v>
      </c>
      <c r="AB67" s="17">
        <f t="shared" si="3"/>
        <v>0</v>
      </c>
      <c r="AC67" s="17">
        <f t="shared" si="3"/>
        <v>0</v>
      </c>
      <c r="AD67" s="17">
        <f t="shared" si="3"/>
        <v>0</v>
      </c>
      <c r="AE67" s="17">
        <f t="shared" si="3"/>
        <v>0</v>
      </c>
      <c r="AF67" s="114">
        <f t="shared" si="3"/>
        <v>0</v>
      </c>
      <c r="AG67" s="17">
        <f t="shared" si="3"/>
        <v>0</v>
      </c>
      <c r="AH67" s="17">
        <f t="shared" si="3"/>
        <v>0</v>
      </c>
      <c r="AI67" s="17">
        <f t="shared" si="3"/>
        <v>0</v>
      </c>
      <c r="AJ67" s="114">
        <f t="shared" si="3"/>
        <v>0</v>
      </c>
      <c r="AK67" s="17">
        <f t="shared" si="3"/>
        <v>0</v>
      </c>
      <c r="AL67" s="114">
        <f t="shared" si="3"/>
        <v>0</v>
      </c>
      <c r="AM67" s="52">
        <f t="shared" ref="AM67:AM72" si="4">SUM(C67:AL67)</f>
        <v>0</v>
      </c>
      <c r="AN67" s="118">
        <f t="shared" ref="AN67:AN72" si="5">AM67*215</f>
        <v>0</v>
      </c>
    </row>
    <row r="68" spans="1:40">
      <c r="A68" s="173"/>
      <c r="B68" s="105" t="s">
        <v>15</v>
      </c>
      <c r="C68" s="17">
        <f t="shared" ref="C68:AL68" si="6">SUM(C6+C14+C22+C30+C37+C45)</f>
        <v>0</v>
      </c>
      <c r="D68" s="17">
        <f t="shared" si="6"/>
        <v>0</v>
      </c>
      <c r="E68" s="17">
        <f t="shared" si="6"/>
        <v>0</v>
      </c>
      <c r="F68" s="17">
        <f t="shared" si="6"/>
        <v>0</v>
      </c>
      <c r="G68" s="17">
        <f t="shared" si="6"/>
        <v>0</v>
      </c>
      <c r="H68" s="106">
        <f t="shared" si="6"/>
        <v>0</v>
      </c>
      <c r="I68" s="17">
        <f t="shared" si="6"/>
        <v>0</v>
      </c>
      <c r="J68" s="17">
        <f t="shared" si="6"/>
        <v>0</v>
      </c>
      <c r="K68" s="17">
        <f t="shared" si="6"/>
        <v>0</v>
      </c>
      <c r="L68" s="17">
        <f t="shared" si="6"/>
        <v>0</v>
      </c>
      <c r="M68" s="17">
        <f t="shared" si="6"/>
        <v>0</v>
      </c>
      <c r="N68" s="114">
        <f t="shared" si="6"/>
        <v>0</v>
      </c>
      <c r="O68" s="17">
        <f t="shared" si="6"/>
        <v>0</v>
      </c>
      <c r="P68" s="17">
        <f t="shared" si="6"/>
        <v>0</v>
      </c>
      <c r="Q68" s="17">
        <f t="shared" si="6"/>
        <v>0</v>
      </c>
      <c r="R68" s="17">
        <f t="shared" si="6"/>
        <v>0</v>
      </c>
      <c r="S68" s="17">
        <f t="shared" si="6"/>
        <v>0</v>
      </c>
      <c r="T68" s="114">
        <f t="shared" si="6"/>
        <v>0</v>
      </c>
      <c r="U68" s="17">
        <f t="shared" si="6"/>
        <v>0</v>
      </c>
      <c r="V68" s="17">
        <f t="shared" si="6"/>
        <v>0</v>
      </c>
      <c r="W68" s="17">
        <f t="shared" si="6"/>
        <v>0</v>
      </c>
      <c r="X68" s="17">
        <f t="shared" si="6"/>
        <v>0</v>
      </c>
      <c r="Y68" s="17">
        <f t="shared" si="6"/>
        <v>0</v>
      </c>
      <c r="Z68" s="114">
        <f t="shared" si="6"/>
        <v>0</v>
      </c>
      <c r="AA68" s="17">
        <f t="shared" si="6"/>
        <v>0</v>
      </c>
      <c r="AB68" s="17">
        <f t="shared" si="6"/>
        <v>0</v>
      </c>
      <c r="AC68" s="17">
        <f t="shared" si="6"/>
        <v>0</v>
      </c>
      <c r="AD68" s="17">
        <f t="shared" si="6"/>
        <v>0</v>
      </c>
      <c r="AE68" s="17">
        <f t="shared" si="6"/>
        <v>0</v>
      </c>
      <c r="AF68" s="114">
        <f t="shared" si="6"/>
        <v>0</v>
      </c>
      <c r="AG68" s="17">
        <f t="shared" si="6"/>
        <v>0</v>
      </c>
      <c r="AH68" s="17">
        <f t="shared" si="6"/>
        <v>0</v>
      </c>
      <c r="AI68" s="17">
        <f t="shared" si="6"/>
        <v>0</v>
      </c>
      <c r="AJ68" s="114">
        <f t="shared" si="6"/>
        <v>0</v>
      </c>
      <c r="AK68" s="17">
        <f t="shared" si="6"/>
        <v>0</v>
      </c>
      <c r="AL68" s="114">
        <f t="shared" si="6"/>
        <v>0</v>
      </c>
      <c r="AM68" s="52">
        <f t="shared" si="4"/>
        <v>0</v>
      </c>
      <c r="AN68" s="118">
        <f t="shared" si="5"/>
        <v>0</v>
      </c>
    </row>
    <row r="69" spans="1:40">
      <c r="A69" s="173"/>
      <c r="B69" s="105" t="s">
        <v>131</v>
      </c>
      <c r="C69" s="17">
        <f t="shared" ref="C69:AL69" si="7">SUM(C7+C15+C23+C31+C38+C46)</f>
        <v>0</v>
      </c>
      <c r="D69" s="17">
        <f t="shared" si="7"/>
        <v>0</v>
      </c>
      <c r="E69" s="17">
        <f t="shared" si="7"/>
        <v>0</v>
      </c>
      <c r="F69" s="17">
        <f t="shared" si="7"/>
        <v>0</v>
      </c>
      <c r="G69" s="17">
        <f t="shared" si="7"/>
        <v>0</v>
      </c>
      <c r="H69" s="106">
        <f t="shared" si="7"/>
        <v>0</v>
      </c>
      <c r="I69" s="17">
        <f t="shared" si="7"/>
        <v>0</v>
      </c>
      <c r="J69" s="17">
        <f t="shared" si="7"/>
        <v>0</v>
      </c>
      <c r="K69" s="17">
        <f t="shared" si="7"/>
        <v>0</v>
      </c>
      <c r="L69" s="17">
        <f t="shared" si="7"/>
        <v>0</v>
      </c>
      <c r="M69" s="17">
        <f t="shared" si="7"/>
        <v>0</v>
      </c>
      <c r="N69" s="114">
        <f t="shared" si="7"/>
        <v>0</v>
      </c>
      <c r="O69" s="17">
        <f t="shared" si="7"/>
        <v>0</v>
      </c>
      <c r="P69" s="17">
        <f t="shared" si="7"/>
        <v>0</v>
      </c>
      <c r="Q69" s="17">
        <f t="shared" si="7"/>
        <v>0</v>
      </c>
      <c r="R69" s="17">
        <f t="shared" si="7"/>
        <v>0</v>
      </c>
      <c r="S69" s="17">
        <f t="shared" si="7"/>
        <v>0</v>
      </c>
      <c r="T69" s="114">
        <f t="shared" si="7"/>
        <v>0</v>
      </c>
      <c r="U69" s="17">
        <f t="shared" si="7"/>
        <v>0</v>
      </c>
      <c r="V69" s="17">
        <f t="shared" si="7"/>
        <v>0</v>
      </c>
      <c r="W69" s="17">
        <f t="shared" si="7"/>
        <v>0</v>
      </c>
      <c r="X69" s="17">
        <f t="shared" si="7"/>
        <v>0</v>
      </c>
      <c r="Y69" s="17">
        <f t="shared" si="7"/>
        <v>0</v>
      </c>
      <c r="Z69" s="114">
        <f t="shared" si="7"/>
        <v>0</v>
      </c>
      <c r="AA69" s="17">
        <f t="shared" si="7"/>
        <v>0</v>
      </c>
      <c r="AB69" s="17">
        <f t="shared" si="7"/>
        <v>0</v>
      </c>
      <c r="AC69" s="17">
        <f t="shared" si="7"/>
        <v>0</v>
      </c>
      <c r="AD69" s="17">
        <f t="shared" si="7"/>
        <v>0</v>
      </c>
      <c r="AE69" s="17">
        <f t="shared" si="7"/>
        <v>0</v>
      </c>
      <c r="AF69" s="114">
        <f t="shared" si="7"/>
        <v>0</v>
      </c>
      <c r="AG69" s="17">
        <f t="shared" si="7"/>
        <v>0</v>
      </c>
      <c r="AH69" s="17">
        <f t="shared" si="7"/>
        <v>0</v>
      </c>
      <c r="AI69" s="17">
        <f t="shared" si="7"/>
        <v>0</v>
      </c>
      <c r="AJ69" s="114">
        <f t="shared" si="7"/>
        <v>0</v>
      </c>
      <c r="AK69" s="17">
        <f t="shared" si="7"/>
        <v>0</v>
      </c>
      <c r="AL69" s="114">
        <f t="shared" si="7"/>
        <v>0</v>
      </c>
      <c r="AM69" s="52">
        <f t="shared" si="4"/>
        <v>0</v>
      </c>
      <c r="AN69" s="118">
        <f t="shared" si="5"/>
        <v>0</v>
      </c>
    </row>
    <row r="70" spans="1:40">
      <c r="A70" s="173"/>
      <c r="B70" s="105" t="s">
        <v>16</v>
      </c>
      <c r="C70" s="17">
        <f t="shared" ref="C70:AL70" si="8">SUM(C8+C16+C24+C32+C39+C47)</f>
        <v>0</v>
      </c>
      <c r="D70" s="17">
        <f t="shared" si="8"/>
        <v>0</v>
      </c>
      <c r="E70" s="17">
        <f t="shared" si="8"/>
        <v>0</v>
      </c>
      <c r="F70" s="17">
        <f t="shared" si="8"/>
        <v>0</v>
      </c>
      <c r="G70" s="17">
        <f t="shared" si="8"/>
        <v>0</v>
      </c>
      <c r="H70" s="106">
        <f t="shared" si="8"/>
        <v>0</v>
      </c>
      <c r="I70" s="17">
        <f t="shared" si="8"/>
        <v>0</v>
      </c>
      <c r="J70" s="17">
        <f t="shared" si="8"/>
        <v>0</v>
      </c>
      <c r="K70" s="17">
        <f t="shared" si="8"/>
        <v>0</v>
      </c>
      <c r="L70" s="17">
        <f t="shared" si="8"/>
        <v>0</v>
      </c>
      <c r="M70" s="17">
        <f t="shared" si="8"/>
        <v>0</v>
      </c>
      <c r="N70" s="114">
        <f t="shared" si="8"/>
        <v>0</v>
      </c>
      <c r="O70" s="17">
        <f t="shared" si="8"/>
        <v>0</v>
      </c>
      <c r="P70" s="17">
        <f t="shared" si="8"/>
        <v>0</v>
      </c>
      <c r="Q70" s="17">
        <f t="shared" si="8"/>
        <v>0</v>
      </c>
      <c r="R70" s="17">
        <f t="shared" si="8"/>
        <v>0</v>
      </c>
      <c r="S70" s="17">
        <f t="shared" si="8"/>
        <v>0</v>
      </c>
      <c r="T70" s="114">
        <f t="shared" si="8"/>
        <v>0</v>
      </c>
      <c r="U70" s="17">
        <f t="shared" si="8"/>
        <v>0</v>
      </c>
      <c r="V70" s="17">
        <f t="shared" si="8"/>
        <v>0</v>
      </c>
      <c r="W70" s="17">
        <f t="shared" si="8"/>
        <v>0</v>
      </c>
      <c r="X70" s="17">
        <f t="shared" si="8"/>
        <v>0</v>
      </c>
      <c r="Y70" s="17">
        <f t="shared" si="8"/>
        <v>0</v>
      </c>
      <c r="Z70" s="114">
        <f t="shared" si="8"/>
        <v>0</v>
      </c>
      <c r="AA70" s="17">
        <f t="shared" si="8"/>
        <v>0</v>
      </c>
      <c r="AB70" s="17">
        <f t="shared" si="8"/>
        <v>0</v>
      </c>
      <c r="AC70" s="17">
        <f t="shared" si="8"/>
        <v>0</v>
      </c>
      <c r="AD70" s="17">
        <f t="shared" si="8"/>
        <v>0</v>
      </c>
      <c r="AE70" s="17">
        <f t="shared" si="8"/>
        <v>0</v>
      </c>
      <c r="AF70" s="114">
        <f t="shared" si="8"/>
        <v>0</v>
      </c>
      <c r="AG70" s="17">
        <f t="shared" si="8"/>
        <v>0</v>
      </c>
      <c r="AH70" s="17">
        <f t="shared" si="8"/>
        <v>0</v>
      </c>
      <c r="AI70" s="17">
        <f t="shared" si="8"/>
        <v>0</v>
      </c>
      <c r="AJ70" s="114">
        <f t="shared" si="8"/>
        <v>0</v>
      </c>
      <c r="AK70" s="17">
        <f t="shared" si="8"/>
        <v>0</v>
      </c>
      <c r="AL70" s="114">
        <f t="shared" si="8"/>
        <v>0</v>
      </c>
      <c r="AM70" s="52">
        <f t="shared" si="4"/>
        <v>0</v>
      </c>
      <c r="AN70" s="118">
        <f t="shared" si="5"/>
        <v>0</v>
      </c>
    </row>
    <row r="71" spans="1:40">
      <c r="A71" s="173"/>
      <c r="B71" s="105" t="s">
        <v>17</v>
      </c>
      <c r="C71" s="17">
        <f t="shared" ref="C71:AL71" si="9">SUM(C9+C17+C25+C33+C40+C48)</f>
        <v>0</v>
      </c>
      <c r="D71" s="17">
        <f t="shared" si="9"/>
        <v>0</v>
      </c>
      <c r="E71" s="17">
        <f t="shared" si="9"/>
        <v>0</v>
      </c>
      <c r="F71" s="17">
        <f t="shared" si="9"/>
        <v>0</v>
      </c>
      <c r="G71" s="17">
        <f t="shared" si="9"/>
        <v>0</v>
      </c>
      <c r="H71" s="106">
        <f t="shared" si="9"/>
        <v>0</v>
      </c>
      <c r="I71" s="17">
        <f t="shared" si="9"/>
        <v>0</v>
      </c>
      <c r="J71" s="17">
        <f t="shared" si="9"/>
        <v>0</v>
      </c>
      <c r="K71" s="17">
        <f t="shared" si="9"/>
        <v>0</v>
      </c>
      <c r="L71" s="17">
        <f t="shared" si="9"/>
        <v>0</v>
      </c>
      <c r="M71" s="17">
        <f t="shared" si="9"/>
        <v>0</v>
      </c>
      <c r="N71" s="114">
        <f t="shared" si="9"/>
        <v>0</v>
      </c>
      <c r="O71" s="17">
        <f t="shared" si="9"/>
        <v>0</v>
      </c>
      <c r="P71" s="17">
        <f t="shared" si="9"/>
        <v>0</v>
      </c>
      <c r="Q71" s="17">
        <f t="shared" si="9"/>
        <v>0</v>
      </c>
      <c r="R71" s="17">
        <f t="shared" si="9"/>
        <v>0</v>
      </c>
      <c r="S71" s="17">
        <f t="shared" si="9"/>
        <v>0</v>
      </c>
      <c r="T71" s="114">
        <f t="shared" si="9"/>
        <v>0</v>
      </c>
      <c r="U71" s="17">
        <f t="shared" si="9"/>
        <v>0</v>
      </c>
      <c r="V71" s="17">
        <f t="shared" si="9"/>
        <v>0</v>
      </c>
      <c r="W71" s="17">
        <f t="shared" si="9"/>
        <v>0</v>
      </c>
      <c r="X71" s="17">
        <f t="shared" si="9"/>
        <v>0</v>
      </c>
      <c r="Y71" s="17">
        <f t="shared" si="9"/>
        <v>0</v>
      </c>
      <c r="Z71" s="114">
        <f t="shared" si="9"/>
        <v>0</v>
      </c>
      <c r="AA71" s="17">
        <f t="shared" si="9"/>
        <v>0</v>
      </c>
      <c r="AB71" s="17">
        <f t="shared" si="9"/>
        <v>0</v>
      </c>
      <c r="AC71" s="17">
        <f t="shared" si="9"/>
        <v>0</v>
      </c>
      <c r="AD71" s="17">
        <f t="shared" si="9"/>
        <v>0</v>
      </c>
      <c r="AE71" s="17">
        <f t="shared" si="9"/>
        <v>0</v>
      </c>
      <c r="AF71" s="114">
        <f t="shared" si="9"/>
        <v>0</v>
      </c>
      <c r="AG71" s="17">
        <f t="shared" si="9"/>
        <v>0</v>
      </c>
      <c r="AH71" s="17">
        <f t="shared" si="9"/>
        <v>0</v>
      </c>
      <c r="AI71" s="17">
        <f t="shared" si="9"/>
        <v>0</v>
      </c>
      <c r="AJ71" s="114">
        <f t="shared" si="9"/>
        <v>0</v>
      </c>
      <c r="AK71" s="17">
        <f t="shared" si="9"/>
        <v>0</v>
      </c>
      <c r="AL71" s="114">
        <f t="shared" si="9"/>
        <v>0</v>
      </c>
      <c r="AM71" s="52">
        <f t="shared" si="4"/>
        <v>0</v>
      </c>
      <c r="AN71" s="118">
        <f t="shared" si="5"/>
        <v>0</v>
      </c>
    </row>
    <row r="72" spans="1:40">
      <c r="A72" s="173"/>
      <c r="B72" s="105"/>
      <c r="C72" s="17">
        <f t="shared" ref="C72:AL72" si="10">SUM(C10+C18+C26+C34+C41+C49)</f>
        <v>0</v>
      </c>
      <c r="D72" s="17">
        <f t="shared" si="10"/>
        <v>0</v>
      </c>
      <c r="E72" s="17">
        <f t="shared" si="10"/>
        <v>0</v>
      </c>
      <c r="F72" s="17">
        <f t="shared" si="10"/>
        <v>0</v>
      </c>
      <c r="G72" s="17">
        <f t="shared" si="10"/>
        <v>0</v>
      </c>
      <c r="H72" s="106">
        <f t="shared" si="10"/>
        <v>0</v>
      </c>
      <c r="I72" s="17">
        <f t="shared" si="10"/>
        <v>0</v>
      </c>
      <c r="J72" s="17">
        <f t="shared" si="10"/>
        <v>0</v>
      </c>
      <c r="K72" s="17">
        <f t="shared" si="10"/>
        <v>0</v>
      </c>
      <c r="L72" s="17">
        <f t="shared" si="10"/>
        <v>0</v>
      </c>
      <c r="M72" s="17">
        <f t="shared" si="10"/>
        <v>0</v>
      </c>
      <c r="N72" s="114">
        <f t="shared" si="10"/>
        <v>0</v>
      </c>
      <c r="O72" s="17">
        <f t="shared" si="10"/>
        <v>0</v>
      </c>
      <c r="P72" s="17">
        <f t="shared" si="10"/>
        <v>0</v>
      </c>
      <c r="Q72" s="17">
        <f t="shared" si="10"/>
        <v>0</v>
      </c>
      <c r="R72" s="17">
        <f t="shared" si="10"/>
        <v>0</v>
      </c>
      <c r="S72" s="17">
        <f t="shared" si="10"/>
        <v>0</v>
      </c>
      <c r="T72" s="114">
        <f t="shared" si="10"/>
        <v>0</v>
      </c>
      <c r="U72" s="17">
        <f t="shared" si="10"/>
        <v>0</v>
      </c>
      <c r="V72" s="17">
        <f t="shared" si="10"/>
        <v>0</v>
      </c>
      <c r="W72" s="17">
        <f t="shared" si="10"/>
        <v>0</v>
      </c>
      <c r="X72" s="17">
        <f t="shared" si="10"/>
        <v>0</v>
      </c>
      <c r="Y72" s="17">
        <f t="shared" si="10"/>
        <v>0</v>
      </c>
      <c r="Z72" s="114">
        <f t="shared" si="10"/>
        <v>0</v>
      </c>
      <c r="AA72" s="17">
        <f t="shared" si="10"/>
        <v>0</v>
      </c>
      <c r="AB72" s="17">
        <f t="shared" si="10"/>
        <v>0</v>
      </c>
      <c r="AC72" s="17">
        <f t="shared" si="10"/>
        <v>0</v>
      </c>
      <c r="AD72" s="17">
        <f t="shared" si="10"/>
        <v>0</v>
      </c>
      <c r="AE72" s="17">
        <f t="shared" si="10"/>
        <v>0</v>
      </c>
      <c r="AF72" s="114">
        <f t="shared" si="10"/>
        <v>0</v>
      </c>
      <c r="AG72" s="17">
        <f t="shared" si="10"/>
        <v>0</v>
      </c>
      <c r="AH72" s="17">
        <f t="shared" si="10"/>
        <v>0</v>
      </c>
      <c r="AI72" s="17">
        <f t="shared" si="10"/>
        <v>0</v>
      </c>
      <c r="AJ72" s="114">
        <f t="shared" si="10"/>
        <v>0</v>
      </c>
      <c r="AK72" s="17">
        <f t="shared" si="10"/>
        <v>0</v>
      </c>
      <c r="AL72" s="114">
        <f t="shared" si="10"/>
        <v>0</v>
      </c>
      <c r="AM72" s="52">
        <f t="shared" si="4"/>
        <v>0</v>
      </c>
      <c r="AN72" s="118">
        <f t="shared" si="5"/>
        <v>0</v>
      </c>
    </row>
    <row r="73" spans="1:40" ht="17.25" customHeight="1"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111"/>
      <c r="AH73" s="76"/>
      <c r="AI73" s="76"/>
      <c r="AJ73" s="76"/>
      <c r="AK73" s="76"/>
      <c r="AL73" s="76"/>
    </row>
    <row r="74" spans="1:40" ht="14.25" customHeight="1"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111"/>
      <c r="AH74" s="76"/>
      <c r="AI74" s="76"/>
      <c r="AJ74" s="76"/>
      <c r="AK74" s="76"/>
      <c r="AL74" s="76"/>
      <c r="AM74" s="13"/>
      <c r="AN74" s="13"/>
    </row>
    <row r="76" spans="1:40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7"/>
      <c r="AM76" s="107"/>
      <c r="AN76" s="107"/>
    </row>
    <row r="77" spans="1:40" ht="18" customHeight="1">
      <c r="B77" s="11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19"/>
      <c r="AL77" s="119"/>
      <c r="AM77" s="119"/>
    </row>
    <row r="78" spans="1:40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20"/>
      <c r="AL78" s="120"/>
      <c r="AM78" s="120"/>
    </row>
    <row r="79" spans="1:40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20"/>
      <c r="AL79" s="120"/>
      <c r="AM79" s="120"/>
    </row>
    <row r="80" spans="1:4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20"/>
      <c r="AL80" s="120"/>
      <c r="AM80" s="120"/>
    </row>
    <row r="81" spans="2:39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20"/>
      <c r="AL81" s="120"/>
      <c r="AM81" s="120"/>
    </row>
    <row r="82" spans="2:39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20"/>
      <c r="AL82" s="120"/>
      <c r="AM82" s="120"/>
    </row>
    <row r="83" spans="2:39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20"/>
      <c r="AL83" s="120"/>
      <c r="AM83" s="120"/>
    </row>
    <row r="84" spans="2:39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76"/>
      <c r="AL84" s="76"/>
      <c r="AM84" s="76"/>
    </row>
    <row r="85" spans="2:39" ht="25.5" customHeight="1">
      <c r="B85" s="109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"/>
    </row>
    <row r="86" spans="2:39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 spans="2:39">
      <c r="B87" s="11"/>
      <c r="C87" s="11"/>
      <c r="D87" s="11"/>
      <c r="E87" s="11"/>
      <c r="F87" s="11"/>
      <c r="G87" s="11"/>
      <c r="H87" s="11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5"/>
      <c r="AL87" s="115"/>
      <c r="AM87" s="115"/>
    </row>
    <row r="88" spans="2:39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 spans="2:39"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</row>
    <row r="90" spans="2:39" ht="15" customHeight="1">
      <c r="B90" s="11"/>
      <c r="C90" s="112"/>
      <c r="D90" s="112"/>
      <c r="E90" s="112"/>
      <c r="F90" s="112"/>
      <c r="G90" s="112"/>
      <c r="H90" s="113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</row>
    <row r="91" spans="2:39">
      <c r="B91" s="11"/>
      <c r="C91" s="112"/>
      <c r="D91" s="112"/>
      <c r="E91" s="112"/>
      <c r="F91" s="112"/>
      <c r="G91" s="112"/>
      <c r="H91" s="113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</row>
    <row r="92" spans="2:39">
      <c r="B92" s="11"/>
      <c r="C92" s="112"/>
      <c r="D92" s="112"/>
      <c r="E92" s="112"/>
      <c r="F92" s="112"/>
      <c r="G92" s="112"/>
      <c r="H92" s="113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</row>
    <row r="93" spans="2:39">
      <c r="B93" s="11"/>
      <c r="C93" s="112"/>
      <c r="D93" s="112"/>
      <c r="E93" s="112"/>
      <c r="F93" s="112"/>
      <c r="G93" s="112"/>
      <c r="H93" s="113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</row>
    <row r="94" spans="2:39" ht="26.25" customHeight="1">
      <c r="B94" s="11"/>
    </row>
    <row r="95" spans="2:39" ht="26.25" customHeight="1">
      <c r="B95" s="11"/>
    </row>
    <row r="96" spans="2:39" ht="26.25" customHeight="1">
      <c r="B96" s="11"/>
    </row>
    <row r="97" spans="2:2" ht="26.25" customHeight="1">
      <c r="B97" s="11"/>
    </row>
    <row r="98" spans="2:2" ht="26.25" customHeight="1">
      <c r="B98" s="11"/>
    </row>
    <row r="99" spans="2:2" ht="26.25" customHeight="1">
      <c r="B99" s="11"/>
    </row>
    <row r="100" spans="2:2" ht="26.25" customHeight="1">
      <c r="B100" s="11"/>
    </row>
    <row r="101" spans="2:2">
      <c r="B101" s="11"/>
    </row>
    <row r="103" spans="2:2">
      <c r="B103" s="11"/>
    </row>
    <row r="104" spans="2:2">
      <c r="B104" s="11"/>
    </row>
    <row r="105" spans="2:2">
      <c r="B105" s="11"/>
    </row>
    <row r="106" spans="2:2">
      <c r="B106" s="11"/>
    </row>
    <row r="107" spans="2:2">
      <c r="B107" s="11"/>
    </row>
    <row r="108" spans="2:2">
      <c r="B108" s="11"/>
    </row>
    <row r="110" spans="2:2">
      <c r="B110" s="11"/>
    </row>
    <row r="111" spans="2:2">
      <c r="B111" s="11"/>
    </row>
    <row r="112" spans="2:2">
      <c r="B112" s="11"/>
    </row>
    <row r="113" spans="2:2">
      <c r="B113" s="11"/>
    </row>
    <row r="114" spans="2:2">
      <c r="B114" s="11"/>
    </row>
    <row r="115" spans="2:2">
      <c r="B115" s="11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26" priority="13" operator="equal">
      <formula>0</formula>
    </cfRule>
  </conditionalFormatting>
  <conditionalFormatting sqref="B12:B26">
    <cfRule type="cellIs" dxfId="25" priority="9" operator="equal">
      <formula>0</formula>
    </cfRule>
  </conditionalFormatting>
  <conditionalFormatting sqref="B28:B41">
    <cfRule type="cellIs" dxfId="24" priority="8" operator="equal">
      <formula>0</formula>
    </cfRule>
  </conditionalFormatting>
  <conditionalFormatting sqref="B66:B72">
    <cfRule type="cellIs" dxfId="23" priority="12" operator="equal">
      <formula>0</formula>
    </cfRule>
  </conditionalFormatting>
  <conditionalFormatting sqref="B100:B101">
    <cfRule type="cellIs" dxfId="22" priority="5" operator="equal">
      <formula>0</formula>
    </cfRule>
  </conditionalFormatting>
  <conditionalFormatting sqref="B103:B108">
    <cfRule type="cellIs" dxfId="21" priority="4" operator="equal">
      <formula>0</formula>
    </cfRule>
  </conditionalFormatting>
  <conditionalFormatting sqref="B110:B115">
    <cfRule type="cellIs" dxfId="20" priority="3" operator="equal">
      <formula>0</formula>
    </cfRule>
  </conditionalFormatting>
  <conditionalFormatting sqref="C77:H77">
    <cfRule type="cellIs" dxfId="19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H58"/>
  <sheetViews>
    <sheetView zoomScaleNormal="100" workbookViewId="0">
      <selection activeCell="A3" sqref="A3:XFD3"/>
    </sheetView>
  </sheetViews>
  <sheetFormatPr baseColWidth="10" defaultColWidth="11" defaultRowHeight="15"/>
  <cols>
    <col min="1" max="1" width="22.140625" customWidth="1"/>
    <col min="2" max="12" width="5.42578125" customWidth="1"/>
    <col min="13" max="13" width="8" customWidth="1"/>
    <col min="14" max="37" width="5.42578125" customWidth="1"/>
    <col min="38" max="39" width="6" customWidth="1"/>
    <col min="40" max="40" width="4.28515625" customWidth="1"/>
    <col min="41" max="41" width="8.140625" customWidth="1"/>
  </cols>
  <sheetData>
    <row r="1" spans="1:60" s="11" customFormat="1">
      <c r="A1" s="11" t="s">
        <v>35</v>
      </c>
      <c r="B1" s="14" t="s">
        <v>36</v>
      </c>
      <c r="C1" s="14" t="s">
        <v>37</v>
      </c>
      <c r="D1" s="14" t="s">
        <v>38</v>
      </c>
      <c r="E1" s="14" t="s">
        <v>39</v>
      </c>
      <c r="F1" s="14" t="s">
        <v>40</v>
      </c>
      <c r="G1" s="15" t="s">
        <v>41</v>
      </c>
      <c r="H1" s="14" t="s">
        <v>42</v>
      </c>
      <c r="I1" s="14" t="s">
        <v>43</v>
      </c>
      <c r="J1" s="14" t="s">
        <v>44</v>
      </c>
      <c r="K1" s="14" t="s">
        <v>45</v>
      </c>
      <c r="L1" s="14" t="s">
        <v>46</v>
      </c>
      <c r="M1" s="15" t="s">
        <v>47</v>
      </c>
      <c r="N1" s="14" t="s">
        <v>48</v>
      </c>
      <c r="O1" s="14" t="s">
        <v>49</v>
      </c>
      <c r="P1" s="14" t="s">
        <v>50</v>
      </c>
      <c r="Q1" s="14" t="s">
        <v>51</v>
      </c>
      <c r="R1" s="14" t="s">
        <v>52</v>
      </c>
      <c r="S1" s="15" t="s">
        <v>53</v>
      </c>
      <c r="T1" s="14" t="s">
        <v>54</v>
      </c>
      <c r="U1" s="14" t="s">
        <v>55</v>
      </c>
      <c r="V1" s="14" t="s">
        <v>56</v>
      </c>
      <c r="W1" s="14" t="s">
        <v>57</v>
      </c>
      <c r="X1" s="14" t="s">
        <v>58</v>
      </c>
      <c r="Y1" s="15" t="s">
        <v>59</v>
      </c>
      <c r="Z1" s="14" t="s">
        <v>60</v>
      </c>
      <c r="AA1" s="14" t="s">
        <v>61</v>
      </c>
      <c r="AB1" s="14" t="s">
        <v>62</v>
      </c>
      <c r="AC1" s="14" t="s">
        <v>63</v>
      </c>
      <c r="AD1" s="14" t="s">
        <v>64</v>
      </c>
      <c r="AE1" s="15" t="s">
        <v>65</v>
      </c>
      <c r="AF1" s="14" t="s">
        <v>66</v>
      </c>
      <c r="AG1" s="14" t="s">
        <v>67</v>
      </c>
      <c r="AH1" s="14" t="s">
        <v>68</v>
      </c>
      <c r="AI1" s="14" t="s">
        <v>69</v>
      </c>
      <c r="AJ1" s="14" t="s">
        <v>127</v>
      </c>
      <c r="AK1" s="15" t="s">
        <v>129</v>
      </c>
      <c r="AL1" s="50" t="s">
        <v>6</v>
      </c>
      <c r="AM1" s="51" t="s">
        <v>7</v>
      </c>
      <c r="AN1" s="50"/>
      <c r="AO1" s="51"/>
    </row>
    <row r="2" spans="1:60">
      <c r="A2" s="16" t="str">
        <f>'1'!B13</f>
        <v>3 mm progress ex</v>
      </c>
      <c r="B2" s="17">
        <f>'1'!C74+'2'!C74+'3'!C74+'4'!C74+'5'!C74</f>
        <v>0</v>
      </c>
      <c r="C2" s="17">
        <f>'1'!D74+'2'!D74+'3'!D74+'4'!D74+'5'!D74</f>
        <v>0</v>
      </c>
      <c r="D2" s="17">
        <f>'1'!E74+'2'!E74+'3'!E74+'4'!E74+'5'!E74</f>
        <v>0</v>
      </c>
      <c r="E2" s="17">
        <f>'1'!F74+'2'!F74+'3'!F74+'4'!F74+'5'!F74</f>
        <v>0</v>
      </c>
      <c r="F2" s="17">
        <f>'1'!G74+'2'!G74+'3'!G74+'4'!G74+'5'!G74</f>
        <v>0</v>
      </c>
      <c r="G2" s="17">
        <f>'1'!H74+'2'!H74+'3'!H74+'4'!H74+'5'!H74</f>
        <v>0</v>
      </c>
      <c r="H2" s="17">
        <f>'1'!I74+'2'!I74+'3'!I74+'4'!I74+'5'!I74</f>
        <v>0</v>
      </c>
      <c r="I2" s="17">
        <f>'1'!J74+'2'!J74+'3'!J74+'4'!J74+'5'!J74</f>
        <v>0</v>
      </c>
      <c r="J2" s="17">
        <f>'1'!K74+'2'!K74+'3'!K74+'4'!K74+'5'!K74</f>
        <v>11</v>
      </c>
      <c r="K2" s="17">
        <f>'1'!L74+'2'!L74+'3'!L74+'4'!L74+'5'!L74</f>
        <v>10</v>
      </c>
      <c r="L2" s="17">
        <f>'1'!M74+'2'!M74+'3'!M74+'4'!M74+'5'!M74</f>
        <v>0</v>
      </c>
      <c r="M2" s="17">
        <f>'1'!N74+'2'!N74+'3'!N74+'4'!N74+'5'!N74</f>
        <v>0</v>
      </c>
      <c r="N2" s="17">
        <f>'1'!O74+'2'!O74+'3'!O74+'4'!O74+'5'!O74</f>
        <v>0</v>
      </c>
      <c r="O2" s="17">
        <f>'1'!P74+'2'!P74+'3'!P74+'4'!P74+'5'!P74</f>
        <v>0</v>
      </c>
      <c r="P2" s="17">
        <f>'1'!Q74+'2'!Q74+'3'!Q74+'4'!Q74+'5'!Q74</f>
        <v>0</v>
      </c>
      <c r="Q2" s="17">
        <f>'1'!R74+'2'!R74+'3'!R74+'4'!R74+'5'!R74</f>
        <v>0</v>
      </c>
      <c r="R2" s="17">
        <f>'1'!S74+'2'!S74+'3'!S74+'4'!S74+'5'!S74</f>
        <v>0</v>
      </c>
      <c r="S2" s="17">
        <f>'1'!T74+'2'!T74+'3'!T74+'4'!T74+'5'!T74</f>
        <v>0</v>
      </c>
      <c r="T2" s="17">
        <f>'1'!U74+'2'!U74+'3'!U74+'4'!U74+'5'!U74</f>
        <v>0</v>
      </c>
      <c r="U2" s="17">
        <f>'1'!V74+'2'!V74+'3'!V74+'4'!V74+'5'!V74</f>
        <v>0</v>
      </c>
      <c r="V2" s="17">
        <f>'1'!W74+'2'!W74+'3'!W74+'4'!W74+'5'!W74</f>
        <v>0</v>
      </c>
      <c r="W2" s="17">
        <f>'1'!X74+'2'!X74+'3'!X74+'4'!X74+'5'!X74</f>
        <v>0</v>
      </c>
      <c r="X2" s="17">
        <f>'1'!Y74+'2'!Y74+'3'!Y74+'4'!Y74+'5'!Y74</f>
        <v>0</v>
      </c>
      <c r="Y2" s="17">
        <f>'1'!Z74+'2'!Z74+'3'!Z74+'4'!Z74+'5'!Z74</f>
        <v>0</v>
      </c>
      <c r="Z2" s="17">
        <f>'1'!AA74+'2'!AA74+'3'!AA74+'4'!AA74+'5'!AA74</f>
        <v>0</v>
      </c>
      <c r="AA2" s="17">
        <f>'1'!AB74+'2'!AB74+'3'!AB74+'4'!AB74+'5'!AB74</f>
        <v>0</v>
      </c>
      <c r="AB2" s="17">
        <f>'1'!AC74+'2'!AC74+'3'!AC74+'4'!AC74+'5'!AC74</f>
        <v>0</v>
      </c>
      <c r="AC2" s="17">
        <f>'1'!AD74+'2'!AD74+'3'!AD74+'4'!AD74+'5'!AD74</f>
        <v>0</v>
      </c>
      <c r="AD2" s="17">
        <f>'1'!AE74+'2'!AE74+'3'!AE74+'4'!AE74+'5'!AE74</f>
        <v>0</v>
      </c>
      <c r="AE2" s="17">
        <f>'1'!AF74+'2'!AF74+'3'!AF74+'4'!AF74+'5'!AF74</f>
        <v>0</v>
      </c>
      <c r="AF2" s="17">
        <f>'1'!AG74+'2'!AG74+'3'!AG74+'4'!AG74+'5'!AG74</f>
        <v>0</v>
      </c>
      <c r="AG2" s="17">
        <f>'1'!AH74+'2'!AH74+'3'!AH74+'4'!AH74+'5'!AH74</f>
        <v>0</v>
      </c>
      <c r="AH2" s="17">
        <f>'1'!AI74+'2'!AI74+'3'!AI74+'4'!AI74+'5'!AI74</f>
        <v>0</v>
      </c>
      <c r="AI2" s="17">
        <f>'1'!AJ74+'2'!AJ74+'3'!AJ74+'4'!AJ74+'5'!AJ74</f>
        <v>0</v>
      </c>
      <c r="AJ2" s="17">
        <f>'1'!AK74+'2'!AK74+'3'!AK74+'4'!AK74+'5'!AK74</f>
        <v>0</v>
      </c>
      <c r="AK2" s="17">
        <f>'1'!AL74+'2'!AL74+'3'!AL74+'4'!AL74+'5'!AL74</f>
        <v>8</v>
      </c>
      <c r="AL2" s="17">
        <f>'1'!AM74+'2'!AM74+'3'!AM74+'4'!AM74+'5'!AM74</f>
        <v>0</v>
      </c>
      <c r="AM2" s="17">
        <f>'1'!AN74+'2'!AN74+'3'!AN74+'4'!AN74+'5'!AN74</f>
        <v>0</v>
      </c>
      <c r="AN2" s="52">
        <f>SUM(B2:AM2)</f>
        <v>29</v>
      </c>
      <c r="AO2" s="53">
        <f>AN2*25</f>
        <v>725</v>
      </c>
    </row>
    <row r="3" spans="1:60">
      <c r="A3" s="16" t="str">
        <f>'1'!B14</f>
        <v xml:space="preserve">4,5 mm metabólica </v>
      </c>
      <c r="B3" s="17">
        <f>'1'!C75+'2'!C75+'3'!C75+'4'!C75+'5'!C75</f>
        <v>0</v>
      </c>
      <c r="C3" s="17">
        <f>'1'!D75+'2'!D75+'3'!D75+'4'!D75+'5'!D75</f>
        <v>0</v>
      </c>
      <c r="D3" s="17">
        <f>'1'!E75+'2'!E75+'3'!E75+'4'!E75+'5'!E75</f>
        <v>0</v>
      </c>
      <c r="E3" s="17">
        <f>'1'!F75+'2'!F75+'3'!F75+'4'!F75+'5'!F75</f>
        <v>0</v>
      </c>
      <c r="F3" s="17">
        <f>'1'!G75+'2'!G75+'3'!G75+'4'!G75+'5'!G75</f>
        <v>0</v>
      </c>
      <c r="G3" s="17">
        <f>'1'!H75+'2'!H75+'3'!H75+'4'!H75+'5'!H75</f>
        <v>0</v>
      </c>
      <c r="H3" s="17">
        <f>'1'!I75+'2'!I75+'3'!I75+'4'!I75+'5'!I75</f>
        <v>0</v>
      </c>
      <c r="I3" s="17">
        <f>'1'!J75+'2'!J75+'3'!J75+'4'!J75+'5'!J75</f>
        <v>0</v>
      </c>
      <c r="J3" s="17">
        <f>'1'!K75+'2'!K75+'3'!K75+'4'!K75+'5'!K75</f>
        <v>0</v>
      </c>
      <c r="K3" s="17">
        <f>'1'!L75+'2'!L75+'3'!L75+'4'!L75+'5'!L75</f>
        <v>0</v>
      </c>
      <c r="L3" s="17">
        <f>'1'!M75+'2'!M75+'3'!M75+'4'!M75+'5'!M75</f>
        <v>0</v>
      </c>
      <c r="M3" s="17">
        <f>'1'!N75+'2'!N75+'3'!N75+'4'!N75+'5'!N75</f>
        <v>0</v>
      </c>
      <c r="N3" s="17">
        <f>'1'!O75+'2'!O75+'3'!O75+'4'!O75+'5'!O75</f>
        <v>0</v>
      </c>
      <c r="O3" s="17">
        <f>'1'!P75+'2'!P75+'3'!P75+'4'!P75+'5'!P75</f>
        <v>0</v>
      </c>
      <c r="P3" s="17">
        <f>'1'!Q75+'2'!Q75+'3'!Q75+'4'!Q75+'5'!Q75</f>
        <v>0</v>
      </c>
      <c r="Q3" s="17">
        <f>'1'!R75+'2'!R75+'3'!R75+'4'!R75+'5'!R75</f>
        <v>0</v>
      </c>
      <c r="R3" s="17">
        <f>'1'!S75+'2'!S75+'3'!S75+'4'!S75+'5'!S75</f>
        <v>0</v>
      </c>
      <c r="S3" s="17">
        <f>'1'!T75+'2'!T75+'3'!T75+'4'!T75+'5'!T75</f>
        <v>0</v>
      </c>
      <c r="T3" s="17">
        <f>'1'!U75+'2'!U75+'3'!U75+'4'!U75+'5'!U75</f>
        <v>0</v>
      </c>
      <c r="U3" s="17">
        <f>'1'!V75+'2'!V75+'3'!V75+'4'!V75+'5'!V75</f>
        <v>0</v>
      </c>
      <c r="V3" s="17">
        <f>'1'!W75+'2'!W75+'3'!W75+'4'!W75+'5'!W75</f>
        <v>0</v>
      </c>
      <c r="W3" s="17">
        <f>'1'!X75+'2'!X75+'3'!X75+'4'!X75+'5'!X75</f>
        <v>0</v>
      </c>
      <c r="X3" s="17">
        <f>'1'!Y75+'2'!Y75+'3'!Y75+'4'!Y75+'5'!Y75</f>
        <v>0</v>
      </c>
      <c r="Y3" s="17">
        <f>'1'!Z75+'2'!Z75+'3'!Z75+'4'!Z75+'5'!Z75</f>
        <v>0</v>
      </c>
      <c r="Z3" s="17">
        <f>'1'!AA75+'2'!AA75+'3'!AA75+'4'!AA75+'5'!AA75</f>
        <v>0</v>
      </c>
      <c r="AA3" s="17">
        <f>'1'!AB75+'2'!AB75+'3'!AB75+'4'!AB75+'5'!AB75</f>
        <v>0</v>
      </c>
      <c r="AB3" s="17">
        <f>'1'!AC75+'2'!AC75+'3'!AC75+'4'!AC75+'5'!AC75</f>
        <v>0</v>
      </c>
      <c r="AC3" s="17">
        <f>'1'!AD75+'2'!AD75+'3'!AD75+'4'!AD75+'5'!AD75</f>
        <v>0</v>
      </c>
      <c r="AD3" s="17">
        <f>'1'!AE75+'2'!AE75+'3'!AE75+'4'!AE75+'5'!AE75</f>
        <v>0</v>
      </c>
      <c r="AE3" s="17">
        <f>'1'!AF75+'2'!AF75+'3'!AF75+'4'!AF75+'5'!AF75</f>
        <v>0</v>
      </c>
      <c r="AF3" s="17">
        <f>'1'!AG75+'2'!AG75+'3'!AG75+'4'!AG75+'5'!AG75</f>
        <v>0</v>
      </c>
      <c r="AG3" s="17">
        <f>'1'!AH75+'2'!AH75+'3'!AH75+'4'!AH75+'5'!AH75</f>
        <v>0</v>
      </c>
      <c r="AH3" s="17">
        <f>'1'!AI75+'2'!AI75+'3'!AI75+'4'!AI75+'5'!AI75</f>
        <v>0</v>
      </c>
      <c r="AI3" s="17">
        <f>'1'!AJ75+'2'!AJ75+'3'!AJ75+'4'!AJ75+'5'!AJ75</f>
        <v>0</v>
      </c>
      <c r="AJ3" s="17">
        <f>'1'!AK75+'2'!AK75+'3'!AK75+'4'!AK75+'5'!AK75</f>
        <v>0</v>
      </c>
      <c r="AK3" s="17">
        <f>'1'!AL75+'2'!AL75+'3'!AL75+'4'!AL75+'5'!AL75</f>
        <v>0</v>
      </c>
      <c r="AL3" s="17">
        <f>'1'!AM75+'2'!AM75+'3'!AM75+'4'!AM75+'5'!AM75</f>
        <v>0</v>
      </c>
      <c r="AM3" s="17">
        <f>'1'!AN75+'2'!AN75+'3'!AN75+'4'!AN75+'5'!AN75</f>
        <v>0</v>
      </c>
      <c r="AN3" s="52">
        <f t="shared" ref="AN3:AN7" si="0">SUM(B3:AM3)</f>
        <v>0</v>
      </c>
      <c r="AO3" s="53">
        <f t="shared" ref="AO3:AO8" si="1">AN3*25</f>
        <v>0</v>
      </c>
    </row>
    <row r="4" spans="1:60">
      <c r="A4" s="16" t="str">
        <f>'1'!B15</f>
        <v>4.5 mm Progress</v>
      </c>
      <c r="B4" s="17">
        <f>'1'!C76+'2'!C76+'3'!C76+'4'!C76+'5'!C76</f>
        <v>0</v>
      </c>
      <c r="C4" s="17">
        <f>'1'!D76+'2'!D76+'3'!D76+'4'!D76+'5'!D76</f>
        <v>0</v>
      </c>
      <c r="D4" s="17">
        <f>'1'!E76+'2'!E76+'3'!E76+'4'!E76+'5'!E76</f>
        <v>0</v>
      </c>
      <c r="E4" s="17">
        <f>'1'!F76+'2'!F76+'3'!F76+'4'!F76+'5'!F76</f>
        <v>0</v>
      </c>
      <c r="F4" s="17">
        <f>'1'!G76+'2'!G76+'3'!G76+'4'!G76+'5'!G76</f>
        <v>0</v>
      </c>
      <c r="G4" s="17">
        <f>'1'!H76+'2'!H76+'3'!H76+'4'!H76+'5'!H76</f>
        <v>0</v>
      </c>
      <c r="H4" s="17">
        <f>'1'!I76+'2'!I76+'3'!I76+'4'!I76+'5'!I76</f>
        <v>0</v>
      </c>
      <c r="I4" s="17">
        <f>'1'!J76+'2'!J76+'3'!J76+'4'!J76+'5'!J76</f>
        <v>0</v>
      </c>
      <c r="J4" s="17">
        <f>'1'!K76+'2'!K76+'3'!K76+'4'!K76+'5'!K76</f>
        <v>1</v>
      </c>
      <c r="K4" s="17">
        <f>'1'!L76+'2'!L76+'3'!L76+'4'!L76+'5'!L76</f>
        <v>1</v>
      </c>
      <c r="L4" s="17">
        <f>'1'!M76+'2'!M76+'3'!M76+'4'!M76+'5'!M76</f>
        <v>0</v>
      </c>
      <c r="M4" s="17">
        <f>'1'!N76+'2'!N76+'3'!N76+'4'!N76+'5'!N76</f>
        <v>0</v>
      </c>
      <c r="N4" s="17">
        <f>'1'!O76+'2'!O76+'3'!O76+'4'!O76+'5'!O76</f>
        <v>3</v>
      </c>
      <c r="O4" s="17">
        <f>'1'!P76+'2'!P76+'3'!P76+'4'!P76+'5'!P76</f>
        <v>13</v>
      </c>
      <c r="P4" s="17">
        <f>'1'!Q76+'2'!Q76+'3'!Q76+'4'!Q76+'5'!Q76</f>
        <v>13</v>
      </c>
      <c r="Q4" s="17">
        <f>'1'!R76+'2'!R76+'3'!R76+'4'!R76+'5'!R76</f>
        <v>0</v>
      </c>
      <c r="R4" s="17">
        <f>'1'!S76+'2'!S76+'3'!S76+'4'!S76+'5'!S76</f>
        <v>0</v>
      </c>
      <c r="S4" s="17">
        <f>'1'!T76+'2'!T76+'3'!T76+'4'!T76+'5'!T76</f>
        <v>2</v>
      </c>
      <c r="T4" s="17">
        <f>'1'!U76+'2'!U76+'3'!U76+'4'!U76+'5'!U76</f>
        <v>0</v>
      </c>
      <c r="U4" s="17">
        <f>'1'!V76+'2'!V76+'3'!V76+'4'!V76+'5'!V76</f>
        <v>0</v>
      </c>
      <c r="V4" s="17">
        <f>'1'!W76+'2'!W76+'3'!W76+'4'!W76+'5'!W76</f>
        <v>0</v>
      </c>
      <c r="W4" s="17">
        <f>'1'!X76+'2'!X76+'3'!X76+'4'!X76+'5'!X76</f>
        <v>0</v>
      </c>
      <c r="X4" s="17">
        <f>'1'!Y76+'2'!Y76+'3'!Y76+'4'!Y76+'5'!Y76</f>
        <v>0</v>
      </c>
      <c r="Y4" s="17">
        <f>'1'!Z76+'2'!Z76+'3'!Z76+'4'!Z76+'5'!Z76</f>
        <v>0</v>
      </c>
      <c r="Z4" s="17">
        <f>'1'!AA76+'2'!AA76+'3'!AA76+'4'!AA76+'5'!AA76</f>
        <v>0</v>
      </c>
      <c r="AA4" s="17">
        <f>'1'!AB76+'2'!AB76+'3'!AB76+'4'!AB76+'5'!AB76</f>
        <v>0</v>
      </c>
      <c r="AB4" s="17">
        <f>'1'!AC76+'2'!AC76+'3'!AC76+'4'!AC76+'5'!AC76</f>
        <v>0</v>
      </c>
      <c r="AC4" s="17">
        <f>'1'!AD76+'2'!AD76+'3'!AD76+'4'!AD76+'5'!AD76</f>
        <v>0</v>
      </c>
      <c r="AD4" s="17">
        <f>'1'!AE76+'2'!AE76+'3'!AE76+'4'!AE76+'5'!AE76</f>
        <v>0</v>
      </c>
      <c r="AE4" s="17">
        <f>'1'!AF76+'2'!AF76+'3'!AF76+'4'!AF76+'5'!AF76</f>
        <v>0</v>
      </c>
      <c r="AF4" s="17">
        <f>'1'!AG76+'2'!AG76+'3'!AG76+'4'!AG76+'5'!AG76</f>
        <v>0</v>
      </c>
      <c r="AG4" s="17">
        <f>'1'!AH76+'2'!AH76+'3'!AH76+'4'!AH76+'5'!AH76</f>
        <v>0</v>
      </c>
      <c r="AH4" s="17">
        <f>'1'!AI76+'2'!AI76+'3'!AI76+'4'!AI76+'5'!AI76</f>
        <v>0</v>
      </c>
      <c r="AI4" s="17">
        <f>'1'!AJ76+'2'!AJ76+'3'!AJ76+'4'!AJ76+'5'!AJ76</f>
        <v>0</v>
      </c>
      <c r="AJ4" s="17">
        <f>'1'!AK76+'2'!AK76+'3'!AK76+'4'!AK76+'5'!AK76</f>
        <v>0</v>
      </c>
      <c r="AK4" s="17">
        <f>'1'!AL76+'2'!AL76+'3'!AL76+'4'!AL76+'5'!AL76</f>
        <v>9</v>
      </c>
      <c r="AL4" s="17">
        <f>'1'!AM76+'2'!AM76+'3'!AM76+'4'!AM76+'5'!AM76</f>
        <v>0</v>
      </c>
      <c r="AM4" s="17">
        <f>'1'!AN76+'2'!AN76+'3'!AN76+'4'!AN76+'5'!AN76</f>
        <v>0</v>
      </c>
      <c r="AN4" s="52">
        <f t="shared" si="0"/>
        <v>42</v>
      </c>
      <c r="AO4" s="53">
        <f t="shared" si="1"/>
        <v>1050</v>
      </c>
    </row>
    <row r="5" spans="1:60">
      <c r="A5" s="16" t="str">
        <f>'1'!B16</f>
        <v>6 mm Metabolica</v>
      </c>
      <c r="B5" s="17">
        <f>'1'!C77+'2'!C77+'3'!C77+'4'!C77+'5'!C77</f>
        <v>0</v>
      </c>
      <c r="C5" s="17">
        <f>'1'!D77+'2'!D77+'3'!D77+'4'!D77+'5'!D77</f>
        <v>0</v>
      </c>
      <c r="D5" s="17">
        <f>'1'!E77+'2'!E77+'3'!E77+'4'!E77+'5'!E77</f>
        <v>0</v>
      </c>
      <c r="E5" s="17">
        <f>'1'!F77+'2'!F77+'3'!F77+'4'!F77+'5'!F77</f>
        <v>0</v>
      </c>
      <c r="F5" s="17">
        <f>'1'!G77+'2'!G77+'3'!G77+'4'!G77+'5'!G77</f>
        <v>0</v>
      </c>
      <c r="G5" s="17">
        <f>'1'!H77+'2'!H77+'3'!H77+'4'!H77+'5'!H77</f>
        <v>0</v>
      </c>
      <c r="H5" s="17">
        <f>'1'!I77+'2'!I77+'3'!I77+'4'!I77+'5'!I77</f>
        <v>0</v>
      </c>
      <c r="I5" s="17">
        <f>'1'!J77+'2'!J77+'3'!J77+'4'!J77+'5'!J77</f>
        <v>0</v>
      </c>
      <c r="J5" s="17">
        <f>'1'!K77+'2'!K77+'3'!K77+'4'!K77+'5'!K77</f>
        <v>0</v>
      </c>
      <c r="K5" s="17">
        <f>'1'!L77+'2'!L77+'3'!L77+'4'!L77+'5'!L77</f>
        <v>0</v>
      </c>
      <c r="L5" s="17">
        <f>'1'!M77+'2'!M77+'3'!M77+'4'!M77+'5'!M77</f>
        <v>0</v>
      </c>
      <c r="M5" s="17">
        <f>'1'!N77+'2'!N77+'3'!N77+'4'!N77+'5'!N77</f>
        <v>0</v>
      </c>
      <c r="N5" s="17">
        <f>'1'!O77+'2'!O77+'3'!O77+'4'!O77+'5'!O77</f>
        <v>0</v>
      </c>
      <c r="O5" s="17">
        <f>'1'!P77+'2'!P77+'3'!P77+'4'!P77+'5'!P77</f>
        <v>0</v>
      </c>
      <c r="P5" s="17">
        <f>'1'!Q77+'2'!Q77+'3'!Q77+'4'!Q77+'5'!Q77</f>
        <v>0</v>
      </c>
      <c r="Q5" s="17">
        <f>'1'!R77+'2'!R77+'3'!R77+'4'!R77+'5'!R77</f>
        <v>0</v>
      </c>
      <c r="R5" s="17">
        <f>'1'!S77+'2'!S77+'3'!S77+'4'!S77+'5'!S77</f>
        <v>0</v>
      </c>
      <c r="S5" s="17">
        <f>'1'!T77+'2'!T77+'3'!T77+'4'!T77+'5'!T77</f>
        <v>0</v>
      </c>
      <c r="T5" s="17">
        <f>'1'!U77+'2'!U77+'3'!U77+'4'!U77+'5'!U77</f>
        <v>0</v>
      </c>
      <c r="U5" s="17">
        <f>'1'!V77+'2'!V77+'3'!V77+'4'!V77+'5'!V77</f>
        <v>0</v>
      </c>
      <c r="V5" s="17">
        <f>'1'!W77+'2'!W77+'3'!W77+'4'!W77+'5'!W77</f>
        <v>0</v>
      </c>
      <c r="W5" s="17">
        <f>'1'!X77+'2'!X77+'3'!X77+'4'!X77+'5'!X77</f>
        <v>0</v>
      </c>
      <c r="X5" s="17">
        <f>'1'!Y77+'2'!Y77+'3'!Y77+'4'!Y77+'5'!Y77</f>
        <v>0</v>
      </c>
      <c r="Y5" s="17">
        <f>'1'!Z77+'2'!Z77+'3'!Z77+'4'!Z77+'5'!Z77</f>
        <v>0</v>
      </c>
      <c r="Z5" s="17">
        <f>'1'!AA77+'2'!AA77+'3'!AA77+'4'!AA77+'5'!AA77</f>
        <v>0</v>
      </c>
      <c r="AA5" s="17">
        <f>'1'!AB77+'2'!AB77+'3'!AB77+'4'!AB77+'5'!AB77</f>
        <v>0</v>
      </c>
      <c r="AB5" s="17">
        <f>'1'!AC77+'2'!AC77+'3'!AC77+'4'!AC77+'5'!AC77</f>
        <v>0</v>
      </c>
      <c r="AC5" s="17">
        <f>'1'!AD77+'2'!AD77+'3'!AD77+'4'!AD77+'5'!AD77</f>
        <v>0</v>
      </c>
      <c r="AD5" s="17">
        <f>'1'!AE77+'2'!AE77+'3'!AE77+'4'!AE77+'5'!AE77</f>
        <v>0</v>
      </c>
      <c r="AE5" s="17">
        <f>'1'!AF77+'2'!AF77+'3'!AF77+'4'!AF77+'5'!AF77</f>
        <v>0</v>
      </c>
      <c r="AF5" s="17">
        <f>'1'!AG77+'2'!AG77+'3'!AG77+'4'!AG77+'5'!AG77</f>
        <v>0</v>
      </c>
      <c r="AG5" s="17">
        <f>'1'!AH77+'2'!AH77+'3'!AH77+'4'!AH77+'5'!AH77</f>
        <v>0</v>
      </c>
      <c r="AH5" s="17">
        <f>'1'!AI77+'2'!AI77+'3'!AI77+'4'!AI77+'5'!AI77</f>
        <v>0</v>
      </c>
      <c r="AI5" s="17">
        <f>'1'!AJ77+'2'!AJ77+'3'!AJ77+'4'!AJ77+'5'!AJ77</f>
        <v>0</v>
      </c>
      <c r="AJ5" s="17">
        <f>'1'!AK77+'2'!AK77+'3'!AK77+'4'!AK77+'5'!AK77</f>
        <v>0</v>
      </c>
      <c r="AK5" s="17">
        <f>'1'!AL77+'2'!AL77+'3'!AL77+'4'!AL77+'5'!AL77</f>
        <v>0</v>
      </c>
      <c r="AL5" s="17">
        <f>'1'!AM77+'2'!AM77+'3'!AM77+'4'!AM77+'5'!AM77</f>
        <v>0</v>
      </c>
      <c r="AM5" s="17">
        <f>'1'!AN77+'2'!AN77+'3'!AN77+'4'!AN77+'5'!AN77</f>
        <v>0</v>
      </c>
      <c r="AN5" s="52">
        <f t="shared" si="0"/>
        <v>0</v>
      </c>
      <c r="AO5" s="53">
        <f t="shared" si="1"/>
        <v>0</v>
      </c>
    </row>
    <row r="6" spans="1:60">
      <c r="A6" s="16" t="str">
        <f>'1'!B17</f>
        <v>6 mm Progress</v>
      </c>
      <c r="B6" s="17">
        <f>'1'!C78+'2'!C78+'3'!C78+'4'!C78+'5'!C78</f>
        <v>0</v>
      </c>
      <c r="C6" s="17">
        <f>'1'!D78+'2'!D78+'3'!D78+'4'!D78+'5'!D78</f>
        <v>0</v>
      </c>
      <c r="D6" s="17">
        <f>'1'!E78+'2'!E78+'3'!E78+'4'!E78+'5'!E78</f>
        <v>0</v>
      </c>
      <c r="E6" s="17">
        <f>'1'!F78+'2'!F78+'3'!F78+'4'!F78+'5'!F78</f>
        <v>0</v>
      </c>
      <c r="F6" s="17">
        <f>'1'!G78+'2'!G78+'3'!G78+'4'!G78+'5'!G78</f>
        <v>0</v>
      </c>
      <c r="G6" s="17">
        <f>'1'!H78+'2'!H78+'3'!H78+'4'!H78+'5'!H78</f>
        <v>0</v>
      </c>
      <c r="H6" s="17">
        <f>'1'!I78+'2'!I78+'3'!I78+'4'!I78+'5'!I78</f>
        <v>0</v>
      </c>
      <c r="I6" s="17">
        <f>'1'!J78+'2'!J78+'3'!J78+'4'!J78+'5'!J78</f>
        <v>0</v>
      </c>
      <c r="J6" s="17">
        <f>'1'!K78+'2'!K78+'3'!K78+'4'!K78+'5'!K78</f>
        <v>0</v>
      </c>
      <c r="K6" s="17">
        <f>'1'!L78+'2'!L78+'3'!L78+'4'!L78+'5'!L78</f>
        <v>0</v>
      </c>
      <c r="L6" s="17">
        <f>'1'!M78+'2'!M78+'3'!M78+'4'!M78+'5'!M78</f>
        <v>0</v>
      </c>
      <c r="M6" s="17">
        <f>'1'!N78+'2'!N78+'3'!N78+'4'!N78+'5'!N78</f>
        <v>0</v>
      </c>
      <c r="N6" s="17">
        <f>'1'!O78+'2'!O78+'3'!O78+'4'!O78+'5'!O78</f>
        <v>20</v>
      </c>
      <c r="O6" s="17">
        <f>'1'!P78+'2'!P78+'3'!P78+'4'!P78+'5'!P78</f>
        <v>1</v>
      </c>
      <c r="P6" s="17">
        <f>'1'!Q78+'2'!Q78+'3'!Q78+'4'!Q78+'5'!Q78</f>
        <v>0</v>
      </c>
      <c r="Q6" s="17">
        <f>'1'!R78+'2'!R78+'3'!R78+'4'!R78+'5'!R78</f>
        <v>7</v>
      </c>
      <c r="R6" s="17">
        <f>'1'!S78+'2'!S78+'3'!S78+'4'!S78+'5'!S78</f>
        <v>9</v>
      </c>
      <c r="S6" s="17">
        <f>'1'!T78+'2'!T78+'3'!T78+'4'!T78+'5'!T78</f>
        <v>3</v>
      </c>
      <c r="T6" s="17">
        <f>'1'!U78+'2'!U78+'3'!U78+'4'!U78+'5'!U78</f>
        <v>6</v>
      </c>
      <c r="U6" s="17">
        <f>'1'!V78+'2'!V78+'3'!V78+'4'!V78+'5'!V78</f>
        <v>9</v>
      </c>
      <c r="V6" s="17">
        <f>'1'!W78+'2'!W78+'3'!W78+'4'!W78+'5'!W78</f>
        <v>1</v>
      </c>
      <c r="W6" s="17">
        <f>'1'!X78+'2'!X78+'3'!X78+'4'!X78+'5'!X78</f>
        <v>1</v>
      </c>
      <c r="X6" s="17">
        <f>'1'!Y78+'2'!Y78+'3'!Y78+'4'!Y78+'5'!Y78</f>
        <v>1</v>
      </c>
      <c r="Y6" s="17">
        <f>'1'!Z78+'2'!Z78+'3'!Z78+'4'!Z78+'5'!Z78</f>
        <v>1</v>
      </c>
      <c r="Z6" s="17">
        <f>'1'!AA78+'2'!AA78+'3'!AA78+'4'!AA78+'5'!AA78</f>
        <v>0</v>
      </c>
      <c r="AA6" s="17">
        <f>'1'!AB78+'2'!AB78+'3'!AB78+'4'!AB78+'5'!AB78</f>
        <v>0</v>
      </c>
      <c r="AB6" s="17">
        <f>'1'!AC78+'2'!AC78+'3'!AC78+'4'!AC78+'5'!AC78</f>
        <v>0</v>
      </c>
      <c r="AC6" s="17">
        <f>'1'!AD78+'2'!AD78+'3'!AD78+'4'!AD78+'5'!AD78</f>
        <v>0</v>
      </c>
      <c r="AD6" s="17">
        <f>'1'!AE78+'2'!AE78+'3'!AE78+'4'!AE78+'5'!AE78</f>
        <v>0</v>
      </c>
      <c r="AE6" s="17">
        <f>'1'!AF78+'2'!AF78+'3'!AF78+'4'!AF78+'5'!AF78</f>
        <v>0</v>
      </c>
      <c r="AF6" s="17">
        <f>'1'!AG78+'2'!AG78+'3'!AG78+'4'!AG78+'5'!AG78</f>
        <v>0</v>
      </c>
      <c r="AG6" s="17">
        <f>'1'!AH78+'2'!AH78+'3'!AH78+'4'!AH78+'5'!AH78</f>
        <v>0</v>
      </c>
      <c r="AH6" s="17">
        <f>'1'!AI78+'2'!AI78+'3'!AI78+'4'!AI78+'5'!AI78</f>
        <v>0</v>
      </c>
      <c r="AI6" s="17">
        <f>'1'!AJ78+'2'!AJ78+'3'!AJ78+'4'!AJ78+'5'!AJ78</f>
        <v>0</v>
      </c>
      <c r="AJ6" s="17">
        <f>'1'!AK78+'2'!AK78+'3'!AK78+'4'!AK78+'5'!AK78</f>
        <v>0</v>
      </c>
      <c r="AK6" s="17">
        <f>'1'!AL78+'2'!AL78+'3'!AL78+'4'!AL78+'5'!AL78</f>
        <v>0</v>
      </c>
      <c r="AL6" s="17">
        <f>'1'!AM78+'2'!AM78+'3'!AM78+'4'!AM78+'5'!AM78</f>
        <v>0</v>
      </c>
      <c r="AM6" s="17">
        <f>'1'!AN78+'2'!AN78+'3'!AN78+'4'!AN78+'5'!AN78</f>
        <v>0</v>
      </c>
      <c r="AN6" s="52">
        <f t="shared" si="0"/>
        <v>59</v>
      </c>
      <c r="AO6" s="53">
        <f t="shared" si="1"/>
        <v>1475</v>
      </c>
    </row>
    <row r="7" spans="1:60">
      <c r="A7" s="16" t="str">
        <f>'1'!B18</f>
        <v>8 mm Progress</v>
      </c>
      <c r="B7" s="17">
        <f>'1'!C79+'2'!C79+'3'!C79+'4'!C79+'5'!C79</f>
        <v>0</v>
      </c>
      <c r="C7" s="17">
        <f>'1'!D79+'2'!D79+'3'!D79+'4'!D79+'5'!D79</f>
        <v>0</v>
      </c>
      <c r="D7" s="17">
        <f>'1'!E79+'2'!E79+'3'!E79+'4'!E79+'5'!E79</f>
        <v>0</v>
      </c>
      <c r="E7" s="17">
        <f>'1'!F79+'2'!F79+'3'!F79+'4'!F79+'5'!F79</f>
        <v>0</v>
      </c>
      <c r="F7" s="17">
        <f>'1'!G79+'2'!G79+'3'!G79+'4'!G79+'5'!G79</f>
        <v>0</v>
      </c>
      <c r="G7" s="17">
        <f>'1'!H79+'2'!H79+'3'!H79+'4'!H79+'5'!H79</f>
        <v>0</v>
      </c>
      <c r="H7" s="17">
        <f>'1'!I79+'2'!I79+'3'!I79+'4'!I79+'5'!I79</f>
        <v>0</v>
      </c>
      <c r="I7" s="17">
        <f>'1'!J79+'2'!J79+'3'!J79+'4'!J79+'5'!J79</f>
        <v>0</v>
      </c>
      <c r="J7" s="17">
        <f>'1'!K79+'2'!K79+'3'!K79+'4'!K79+'5'!K79</f>
        <v>0</v>
      </c>
      <c r="K7" s="17">
        <f>'1'!L79+'2'!L79+'3'!L79+'4'!L79+'5'!L79</f>
        <v>0</v>
      </c>
      <c r="L7" s="17">
        <f>'1'!M79+'2'!M79+'3'!M79+'4'!M79+'5'!M79</f>
        <v>0</v>
      </c>
      <c r="M7" s="17">
        <f>'1'!N79+'2'!N79+'3'!N79+'4'!N79+'5'!N79</f>
        <v>0</v>
      </c>
      <c r="N7" s="17">
        <f>'1'!O79+'2'!O79+'3'!O79+'4'!O79+'5'!O79</f>
        <v>0</v>
      </c>
      <c r="O7" s="17">
        <f>'1'!P79+'2'!P79+'3'!P79+'4'!P79+'5'!P79</f>
        <v>0</v>
      </c>
      <c r="P7" s="17">
        <f>'1'!Q79+'2'!Q79+'3'!Q79+'4'!Q79+'5'!Q79</f>
        <v>0</v>
      </c>
      <c r="Q7" s="17">
        <f>'1'!R79+'2'!R79+'3'!R79+'4'!R79+'5'!R79</f>
        <v>3</v>
      </c>
      <c r="R7" s="17">
        <f>'1'!S79+'2'!S79+'3'!S79+'4'!S79+'5'!S79</f>
        <v>5</v>
      </c>
      <c r="S7" s="17">
        <f>'1'!T79+'2'!T79+'3'!T79+'4'!T79+'5'!T79</f>
        <v>3</v>
      </c>
      <c r="T7" s="17">
        <f>'1'!U79+'2'!U79+'3'!U79+'4'!U79+'5'!U79</f>
        <v>5</v>
      </c>
      <c r="U7" s="17">
        <f>'1'!V79+'2'!V79+'3'!V79+'4'!V79+'5'!V79</f>
        <v>7</v>
      </c>
      <c r="V7" s="17">
        <f>'1'!W79+'2'!W79+'3'!W79+'4'!W79+'5'!W79</f>
        <v>8</v>
      </c>
      <c r="W7" s="17">
        <f>'1'!X79+'2'!X79+'3'!X79+'4'!X79+'5'!X79</f>
        <v>8</v>
      </c>
      <c r="X7" s="17">
        <f>'1'!Y79+'2'!Y79+'3'!Y79+'4'!Y79+'5'!Y79</f>
        <v>5</v>
      </c>
      <c r="Y7" s="17">
        <f>'1'!Z79+'2'!Z79+'3'!Z79+'4'!Z79+'5'!Z79</f>
        <v>5</v>
      </c>
      <c r="Z7" s="17">
        <f>'1'!AA79+'2'!AA79+'3'!AA79+'4'!AA79+'5'!AA79</f>
        <v>8</v>
      </c>
      <c r="AA7" s="17">
        <f>'1'!AB79+'2'!AB79+'3'!AB79+'4'!AB79+'5'!AB79</f>
        <v>8</v>
      </c>
      <c r="AB7" s="17">
        <f>'1'!AC79+'2'!AC79+'3'!AC79+'4'!AC79+'5'!AC79</f>
        <v>4</v>
      </c>
      <c r="AC7" s="17">
        <f>'1'!AD79+'2'!AD79+'3'!AD79+'4'!AD79+'5'!AD79</f>
        <v>4</v>
      </c>
      <c r="AD7" s="17">
        <f>'1'!AE79+'2'!AE79+'3'!AE79+'4'!AE79+'5'!AE79</f>
        <v>3</v>
      </c>
      <c r="AE7" s="17">
        <f>'1'!AF79+'2'!AF79+'3'!AF79+'4'!AF79+'5'!AF79</f>
        <v>0</v>
      </c>
      <c r="AF7" s="17">
        <f>'1'!AG79+'2'!AG79+'3'!AG79+'4'!AG79+'5'!AG79</f>
        <v>3</v>
      </c>
      <c r="AG7" s="17">
        <f>'1'!AH79+'2'!AH79+'3'!AH79+'4'!AH79+'5'!AH79</f>
        <v>0</v>
      </c>
      <c r="AH7" s="17">
        <f>'1'!AI79+'2'!AI79+'3'!AI79+'4'!AI79+'5'!AI79</f>
        <v>3</v>
      </c>
      <c r="AI7" s="17">
        <f>'1'!AJ79+'2'!AJ79+'3'!AJ79+'4'!AJ79+'5'!AJ79</f>
        <v>5</v>
      </c>
      <c r="AJ7" s="17">
        <f>'1'!AK79+'2'!AK79+'3'!AK79+'4'!AK79+'5'!AK79</f>
        <v>0</v>
      </c>
      <c r="AK7" s="17">
        <f>'1'!AL79+'2'!AL79+'3'!AL79+'4'!AL79+'5'!AL79</f>
        <v>0</v>
      </c>
      <c r="AL7" s="17">
        <f>'1'!AM79+'2'!AM79+'3'!AM79+'4'!AM79+'5'!AM79</f>
        <v>0</v>
      </c>
      <c r="AM7" s="17">
        <f>'1'!AN79+'2'!AN79+'3'!AN79+'4'!AN79+'5'!AN79</f>
        <v>0</v>
      </c>
      <c r="AN7" s="52">
        <f t="shared" si="0"/>
        <v>87</v>
      </c>
      <c r="AO7" s="53">
        <f t="shared" si="1"/>
        <v>2175</v>
      </c>
    </row>
    <row r="8" spans="1:60">
      <c r="A8" s="16" t="str">
        <f>'1'!B19</f>
        <v>8 mm Reproductor</v>
      </c>
      <c r="B8" s="17">
        <f>'1'!C80+'2'!C80+'3'!C80+'4'!C80+'5'!C80</f>
        <v>0</v>
      </c>
      <c r="C8" s="17">
        <f>'1'!D80+'2'!D80+'3'!D80+'4'!D80+'5'!D80</f>
        <v>0</v>
      </c>
      <c r="D8" s="17">
        <f>'1'!E80+'2'!E80+'3'!E80+'4'!E80+'5'!E80</f>
        <v>0</v>
      </c>
      <c r="E8" s="17">
        <f>'1'!F80+'2'!F80+'3'!F80+'4'!F80+'5'!F80</f>
        <v>0</v>
      </c>
      <c r="F8" s="17">
        <f>'1'!G80+'2'!G80+'3'!G80+'4'!G80+'5'!G80</f>
        <v>0</v>
      </c>
      <c r="G8" s="17">
        <f>'1'!H80+'2'!H80+'3'!H80+'4'!H80+'5'!H80</f>
        <v>0</v>
      </c>
      <c r="H8" s="17">
        <f>'1'!I80+'2'!I80+'3'!I80+'4'!I80+'5'!I80</f>
        <v>0</v>
      </c>
      <c r="I8" s="17">
        <f>'1'!J80+'2'!J80+'3'!J80+'4'!J80+'5'!J80</f>
        <v>0</v>
      </c>
      <c r="J8" s="17">
        <f>'1'!K80+'2'!K80+'3'!K80+'4'!K80+'5'!K80</f>
        <v>0</v>
      </c>
      <c r="K8" s="17">
        <f>'1'!L80+'2'!L80+'3'!L80+'4'!L80+'5'!L80</f>
        <v>0</v>
      </c>
      <c r="L8" s="17">
        <f>'1'!M80+'2'!M80+'3'!M80+'4'!M80+'5'!M80</f>
        <v>0</v>
      </c>
      <c r="M8" s="17">
        <f>'1'!N80+'2'!N80+'3'!N80+'4'!N80+'5'!N80</f>
        <v>0</v>
      </c>
      <c r="N8" s="17">
        <f>'1'!O80+'2'!O80+'3'!O80+'4'!O80+'5'!O80</f>
        <v>0</v>
      </c>
      <c r="O8" s="17">
        <f>'1'!P80+'2'!P80+'3'!P80+'4'!P80+'5'!P80</f>
        <v>0</v>
      </c>
      <c r="P8" s="17">
        <f>'1'!Q80+'2'!Q80+'3'!Q80+'4'!Q80+'5'!Q80</f>
        <v>0</v>
      </c>
      <c r="Q8" s="17">
        <f>'1'!R80+'2'!R80+'3'!R80+'4'!R80+'5'!R80</f>
        <v>6</v>
      </c>
      <c r="R8" s="17">
        <f>'1'!S80+'2'!S80+'3'!S80+'4'!S80+'5'!S80</f>
        <v>9</v>
      </c>
      <c r="S8" s="17">
        <f>'1'!T80+'2'!T80+'3'!T80+'4'!T80+'5'!T80</f>
        <v>0</v>
      </c>
      <c r="T8" s="17">
        <f>'1'!U80+'2'!U80+'3'!U80+'4'!U80+'5'!U80</f>
        <v>10</v>
      </c>
      <c r="U8" s="17">
        <f>'1'!V80+'2'!V80+'3'!V80+'4'!V80+'5'!V80</f>
        <v>13</v>
      </c>
      <c r="V8" s="17">
        <f>'1'!W80+'2'!W80+'3'!W80+'4'!W80+'5'!W80</f>
        <v>12</v>
      </c>
      <c r="W8" s="17">
        <f>'1'!X80+'2'!X80+'3'!X80+'4'!X80+'5'!X80</f>
        <v>16</v>
      </c>
      <c r="X8" s="17">
        <f>'1'!Y80+'2'!Y80+'3'!Y80+'4'!Y80+'5'!Y80</f>
        <v>9</v>
      </c>
      <c r="Y8" s="17">
        <f>'1'!Z80+'2'!Z80+'3'!Z80+'4'!Z80+'5'!Z80</f>
        <v>11</v>
      </c>
      <c r="Z8" s="17">
        <f>'1'!AA80+'2'!AA80+'3'!AA80+'4'!AA80+'5'!AA80</f>
        <v>12</v>
      </c>
      <c r="AA8" s="17">
        <f>'1'!AB80+'2'!AB80+'3'!AB80+'4'!AB80+'5'!AB80</f>
        <v>9</v>
      </c>
      <c r="AB8" s="17">
        <f>'1'!AC80+'2'!AC80+'3'!AC80+'4'!AC80+'5'!AC80</f>
        <v>10</v>
      </c>
      <c r="AC8" s="17">
        <f>'1'!AD80+'2'!AD80+'3'!AD80+'4'!AD80+'5'!AD80</f>
        <v>9</v>
      </c>
      <c r="AD8" s="17">
        <f>'1'!AE80+'2'!AE80+'3'!AE80+'4'!AE80+'5'!AE80</f>
        <v>7</v>
      </c>
      <c r="AE8" s="17">
        <f>'1'!AF80+'2'!AF80+'3'!AF80+'4'!AF80+'5'!AF80</f>
        <v>1</v>
      </c>
      <c r="AF8" s="17">
        <f>'1'!AG80+'2'!AG80+'3'!AG80+'4'!AG80+'5'!AG80</f>
        <v>6</v>
      </c>
      <c r="AG8" s="17">
        <f>'1'!AH80+'2'!AH80+'3'!AH80+'4'!AH80+'5'!AH80</f>
        <v>0</v>
      </c>
      <c r="AH8" s="17">
        <f>'1'!AI80+'2'!AI80+'3'!AI80+'4'!AI80+'5'!AI80</f>
        <v>6</v>
      </c>
      <c r="AI8" s="17">
        <f>'1'!AJ80+'2'!AJ80+'3'!AJ80+'4'!AJ80+'5'!AJ80</f>
        <v>6</v>
      </c>
      <c r="AJ8" s="17">
        <f>'1'!AK80+'2'!AK80+'3'!AK80+'4'!AK80+'5'!AK80</f>
        <v>0</v>
      </c>
      <c r="AK8" s="17">
        <f>'1'!AL80+'2'!AL80+'3'!AL80+'4'!AL80+'5'!AL80</f>
        <v>0</v>
      </c>
      <c r="AL8" s="17">
        <f>'1'!AM80+'2'!AM80+'3'!AM80+'4'!AM80+'5'!AM80</f>
        <v>0</v>
      </c>
      <c r="AM8" s="17">
        <f>'1'!AN80+'2'!AN80+'3'!AN80+'4'!AN80+'5'!AN80</f>
        <v>0</v>
      </c>
      <c r="AN8" s="52">
        <f>SUM(B8:AM8)</f>
        <v>152</v>
      </c>
      <c r="AO8" s="53">
        <f t="shared" si="1"/>
        <v>3800</v>
      </c>
    </row>
    <row r="9" spans="1:60">
      <c r="AO9" s="154">
        <f>SUM(AO2:AO8)</f>
        <v>9225</v>
      </c>
    </row>
    <row r="11" spans="1:60" ht="15.75">
      <c r="A11" s="208" t="s">
        <v>70</v>
      </c>
      <c r="B11" s="208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4"/>
    </row>
    <row r="12" spans="1:60" ht="2.25" customHeight="1" thickBot="1"/>
    <row r="13" spans="1:60" ht="15" customHeight="1" thickTop="1">
      <c r="A13" s="209" t="s">
        <v>71</v>
      </c>
      <c r="B13" s="206"/>
      <c r="C13" s="206" t="s">
        <v>72</v>
      </c>
      <c r="D13" s="212"/>
      <c r="E13" s="212"/>
      <c r="F13" s="212"/>
      <c r="G13" s="212" t="str">
        <f>'1'!B13</f>
        <v>3 mm progress ex</v>
      </c>
      <c r="H13" s="212" t="str">
        <f>'1'!B14</f>
        <v xml:space="preserve">4,5 mm metabólica </v>
      </c>
      <c r="I13" s="212" t="str">
        <f>'1'!B15</f>
        <v>4.5 mm Progress</v>
      </c>
      <c r="J13" s="212" t="str">
        <f>'1'!B16</f>
        <v>6 mm Metabolica</v>
      </c>
      <c r="K13" s="212" t="str">
        <f>'1'!B17</f>
        <v>6 mm Progress</v>
      </c>
      <c r="L13" s="212" t="str">
        <f>'1'!B18</f>
        <v>8 mm Progress</v>
      </c>
      <c r="M13" s="215" t="str">
        <f>'1'!B19</f>
        <v>8 mm Reproductor</v>
      </c>
    </row>
    <row r="14" spans="1:60" ht="54.75" customHeight="1">
      <c r="A14" s="210"/>
      <c r="B14" s="207"/>
      <c r="C14" s="207"/>
      <c r="D14" s="213"/>
      <c r="E14" s="213"/>
      <c r="F14" s="214"/>
      <c r="G14" s="214"/>
      <c r="H14" s="214"/>
      <c r="I14" s="214"/>
      <c r="J14" s="214"/>
      <c r="K14" s="214"/>
      <c r="L14" s="214"/>
      <c r="M14" s="216"/>
      <c r="N14" s="49"/>
    </row>
    <row r="15" spans="1:60" ht="20.25" customHeight="1">
      <c r="A15" s="204" t="s">
        <v>73</v>
      </c>
      <c r="B15" s="18" t="s">
        <v>36</v>
      </c>
      <c r="C15" s="19" t="s">
        <v>74</v>
      </c>
      <c r="D15" s="20"/>
      <c r="E15" s="20"/>
      <c r="F15" s="20"/>
      <c r="G15" s="20">
        <f>B2</f>
        <v>0</v>
      </c>
      <c r="H15" s="20">
        <f>B3</f>
        <v>0</v>
      </c>
      <c r="I15" s="20">
        <f>B4</f>
        <v>0</v>
      </c>
      <c r="J15" s="20">
        <f>B5</f>
        <v>0</v>
      </c>
      <c r="K15" s="20">
        <f>B6</f>
        <v>0</v>
      </c>
      <c r="L15" s="20">
        <f>B$7</f>
        <v>0</v>
      </c>
      <c r="M15" s="11">
        <f>B8</f>
        <v>0</v>
      </c>
    </row>
    <row r="16" spans="1:60" ht="20.25" customHeight="1">
      <c r="A16" s="204"/>
      <c r="B16" s="18" t="s">
        <v>37</v>
      </c>
      <c r="C16" s="19" t="s">
        <v>74</v>
      </c>
      <c r="D16" s="20"/>
      <c r="E16" s="20"/>
      <c r="F16" s="20"/>
      <c r="G16" s="20">
        <f>C2</f>
        <v>0</v>
      </c>
      <c r="H16" s="20">
        <f>C3</f>
        <v>0</v>
      </c>
      <c r="I16" s="20">
        <f>C4</f>
        <v>0</v>
      </c>
      <c r="J16" s="20">
        <f>C5</f>
        <v>0</v>
      </c>
      <c r="K16" s="20">
        <f>C6</f>
        <v>0</v>
      </c>
      <c r="L16" s="20">
        <f>C7</f>
        <v>0</v>
      </c>
      <c r="M16" s="20">
        <f>C$8</f>
        <v>0</v>
      </c>
      <c r="N16" s="13" t="str">
        <f t="shared" ref="N16:N49" si="2">+B16</f>
        <v>SO2</v>
      </c>
      <c r="O16" s="153">
        <f>B8</f>
        <v>0</v>
      </c>
      <c r="P16" s="153">
        <f t="shared" ref="P16:BH16" si="3">C8</f>
        <v>0</v>
      </c>
      <c r="Q16" s="153">
        <f t="shared" si="3"/>
        <v>0</v>
      </c>
      <c r="R16" s="153">
        <f t="shared" si="3"/>
        <v>0</v>
      </c>
      <c r="S16" s="153">
        <f t="shared" si="3"/>
        <v>0</v>
      </c>
      <c r="T16" s="153">
        <f t="shared" si="3"/>
        <v>0</v>
      </c>
      <c r="U16" s="153">
        <f t="shared" si="3"/>
        <v>0</v>
      </c>
      <c r="V16" s="153">
        <f t="shared" si="3"/>
        <v>0</v>
      </c>
      <c r="W16" s="153">
        <f t="shared" si="3"/>
        <v>0</v>
      </c>
      <c r="X16" s="153">
        <f t="shared" si="3"/>
        <v>0</v>
      </c>
      <c r="Y16" s="153">
        <f t="shared" si="3"/>
        <v>0</v>
      </c>
      <c r="Z16" s="153">
        <f t="shared" si="3"/>
        <v>0</v>
      </c>
      <c r="AA16" s="153">
        <f t="shared" si="3"/>
        <v>0</v>
      </c>
      <c r="AB16" s="153">
        <f t="shared" si="3"/>
        <v>0</v>
      </c>
      <c r="AC16" s="153">
        <f t="shared" si="3"/>
        <v>0</v>
      </c>
      <c r="AD16" s="153">
        <f t="shared" si="3"/>
        <v>6</v>
      </c>
      <c r="AE16" s="153">
        <f t="shared" si="3"/>
        <v>9</v>
      </c>
      <c r="AF16" s="153">
        <f t="shared" si="3"/>
        <v>0</v>
      </c>
      <c r="AG16" s="153">
        <f t="shared" si="3"/>
        <v>10</v>
      </c>
      <c r="AH16" s="153">
        <f t="shared" si="3"/>
        <v>13</v>
      </c>
      <c r="AI16" s="153">
        <f t="shared" si="3"/>
        <v>12</v>
      </c>
      <c r="AJ16" s="153">
        <f t="shared" si="3"/>
        <v>16</v>
      </c>
      <c r="AK16" s="153">
        <f t="shared" si="3"/>
        <v>9</v>
      </c>
      <c r="AL16" s="153">
        <f t="shared" si="3"/>
        <v>11</v>
      </c>
      <c r="AM16" s="153">
        <f t="shared" si="3"/>
        <v>12</v>
      </c>
      <c r="AN16" s="153">
        <f t="shared" si="3"/>
        <v>9</v>
      </c>
      <c r="AO16" s="153">
        <f t="shared" si="3"/>
        <v>10</v>
      </c>
      <c r="AP16" s="153">
        <f t="shared" si="3"/>
        <v>9</v>
      </c>
      <c r="AQ16" s="153">
        <f t="shared" si="3"/>
        <v>7</v>
      </c>
      <c r="AR16" s="153">
        <f t="shared" si="3"/>
        <v>1</v>
      </c>
      <c r="AS16" s="153">
        <f t="shared" si="3"/>
        <v>6</v>
      </c>
      <c r="AT16" s="153">
        <f t="shared" si="3"/>
        <v>0</v>
      </c>
      <c r="AU16" s="153">
        <f t="shared" si="3"/>
        <v>6</v>
      </c>
      <c r="AV16" s="153">
        <f t="shared" si="3"/>
        <v>6</v>
      </c>
      <c r="AW16" s="153">
        <f t="shared" si="3"/>
        <v>0</v>
      </c>
      <c r="AX16" s="153">
        <f t="shared" si="3"/>
        <v>0</v>
      </c>
      <c r="AY16" s="153">
        <f t="shared" si="3"/>
        <v>0</v>
      </c>
      <c r="AZ16" s="153">
        <f t="shared" si="3"/>
        <v>0</v>
      </c>
      <c r="BA16" s="153">
        <f t="shared" si="3"/>
        <v>152</v>
      </c>
      <c r="BB16" s="153">
        <f t="shared" si="3"/>
        <v>3800</v>
      </c>
      <c r="BC16" s="153">
        <f t="shared" si="3"/>
        <v>0</v>
      </c>
      <c r="BD16" s="153">
        <f t="shared" si="3"/>
        <v>0</v>
      </c>
      <c r="BE16" s="153">
        <f t="shared" si="3"/>
        <v>0</v>
      </c>
      <c r="BF16" s="153">
        <f t="shared" si="3"/>
        <v>0</v>
      </c>
      <c r="BG16" s="153">
        <f t="shared" si="3"/>
        <v>0</v>
      </c>
      <c r="BH16" s="153">
        <f t="shared" si="3"/>
        <v>0</v>
      </c>
    </row>
    <row r="17" spans="1:19" ht="20.25" customHeight="1">
      <c r="A17" s="204"/>
      <c r="B17" s="18" t="s">
        <v>38</v>
      </c>
      <c r="C17" s="19" t="s">
        <v>75</v>
      </c>
      <c r="D17" s="20"/>
      <c r="E17" s="20"/>
      <c r="F17" s="20"/>
      <c r="G17" s="20">
        <f>D2</f>
        <v>0</v>
      </c>
      <c r="H17" s="20"/>
      <c r="I17" s="20">
        <f>D4</f>
        <v>0</v>
      </c>
      <c r="J17" s="20">
        <f>D5</f>
        <v>0</v>
      </c>
      <c r="K17" s="20">
        <f>D6</f>
        <v>0</v>
      </c>
      <c r="L17" s="20">
        <f>D7</f>
        <v>0</v>
      </c>
      <c r="M17" s="20">
        <f>D8</f>
        <v>0</v>
      </c>
      <c r="N17" s="13" t="str">
        <f t="shared" si="2"/>
        <v>SO3</v>
      </c>
      <c r="Q17" t="s">
        <v>139</v>
      </c>
      <c r="R17" t="s">
        <v>140</v>
      </c>
      <c r="S17" t="s">
        <v>141</v>
      </c>
    </row>
    <row r="18" spans="1:19" ht="20.25" customHeight="1">
      <c r="A18" s="204"/>
      <c r="B18" s="18" t="s">
        <v>39</v>
      </c>
      <c r="C18" s="19" t="s">
        <v>76</v>
      </c>
      <c r="D18" s="20"/>
      <c r="E18" s="20"/>
      <c r="F18" s="20"/>
      <c r="G18" s="20">
        <f>E2</f>
        <v>0</v>
      </c>
      <c r="H18" s="20">
        <f>E3</f>
        <v>0</v>
      </c>
      <c r="I18" s="20">
        <f>E4</f>
        <v>0</v>
      </c>
      <c r="J18" s="20">
        <f>E5</f>
        <v>0</v>
      </c>
      <c r="K18" s="20">
        <f>E6</f>
        <v>0</v>
      </c>
      <c r="L18" s="20">
        <f>E7</f>
        <v>0</v>
      </c>
      <c r="M18" s="20">
        <f>E8</f>
        <v>0</v>
      </c>
      <c r="N18" s="13" t="str">
        <f t="shared" si="2"/>
        <v>SO4</v>
      </c>
    </row>
    <row r="19" spans="1:19" ht="20.25" customHeight="1">
      <c r="A19" s="204"/>
      <c r="B19" s="18" t="s">
        <v>40</v>
      </c>
      <c r="C19" s="19" t="s">
        <v>76</v>
      </c>
      <c r="D19" s="20"/>
      <c r="E19" s="20"/>
      <c r="F19" s="20"/>
      <c r="G19" s="20">
        <f>F2</f>
        <v>0</v>
      </c>
      <c r="H19" s="20">
        <f>F3</f>
        <v>0</v>
      </c>
      <c r="I19" s="20">
        <f>F4</f>
        <v>0</v>
      </c>
      <c r="J19" s="20">
        <f>F5</f>
        <v>0</v>
      </c>
      <c r="K19" s="20">
        <f>F6</f>
        <v>0</v>
      </c>
      <c r="L19" s="20">
        <f>F7</f>
        <v>0</v>
      </c>
      <c r="M19" s="20">
        <f>F8</f>
        <v>0</v>
      </c>
      <c r="N19" s="13" t="str">
        <f t="shared" si="2"/>
        <v>SO5</v>
      </c>
    </row>
    <row r="20" spans="1:19" ht="20.25" customHeight="1" thickBot="1">
      <c r="A20" s="205"/>
      <c r="B20" s="18" t="s">
        <v>41</v>
      </c>
      <c r="C20" s="21" t="s">
        <v>75</v>
      </c>
      <c r="D20" s="22"/>
      <c r="E20" s="22"/>
      <c r="F20" s="22"/>
      <c r="G20" s="20">
        <f>G2</f>
        <v>0</v>
      </c>
      <c r="H20" s="20">
        <f>G3</f>
        <v>0</v>
      </c>
      <c r="I20" s="20">
        <f>G4</f>
        <v>0</v>
      </c>
      <c r="J20" s="20">
        <f>G5</f>
        <v>0</v>
      </c>
      <c r="K20" s="20">
        <f>G6</f>
        <v>0</v>
      </c>
      <c r="L20" s="20">
        <f>G7</f>
        <v>0</v>
      </c>
      <c r="M20" s="20">
        <f>G8</f>
        <v>0</v>
      </c>
      <c r="N20" s="13" t="str">
        <f t="shared" si="2"/>
        <v>SO6</v>
      </c>
    </row>
    <row r="21" spans="1:19" ht="20.25" customHeight="1" thickTop="1">
      <c r="A21" s="202" t="s">
        <v>77</v>
      </c>
      <c r="B21" s="23" t="s">
        <v>42</v>
      </c>
      <c r="C21" s="24" t="s">
        <v>78</v>
      </c>
      <c r="D21" s="25"/>
      <c r="E21" s="25"/>
      <c r="F21" s="25"/>
      <c r="G21" s="20">
        <f>H2</f>
        <v>0</v>
      </c>
      <c r="H21" s="20">
        <f>H3</f>
        <v>0</v>
      </c>
      <c r="I21" s="20">
        <f>H4</f>
        <v>0</v>
      </c>
      <c r="J21" s="20">
        <f>H5</f>
        <v>0</v>
      </c>
      <c r="K21" s="20">
        <f>H6</f>
        <v>0</v>
      </c>
      <c r="L21" s="20">
        <f>H7</f>
        <v>0</v>
      </c>
      <c r="M21" s="20">
        <f>H8</f>
        <v>0</v>
      </c>
      <c r="N21" s="13"/>
    </row>
    <row r="22" spans="1:19" ht="20.25" customHeight="1">
      <c r="A22" s="202"/>
      <c r="B22" s="23" t="s">
        <v>43</v>
      </c>
      <c r="C22" s="26" t="s">
        <v>79</v>
      </c>
      <c r="D22" s="20"/>
      <c r="E22" s="20"/>
      <c r="F22" s="20"/>
      <c r="G22" s="20">
        <f>I2</f>
        <v>0</v>
      </c>
      <c r="H22" s="20">
        <f>I3</f>
        <v>0</v>
      </c>
      <c r="I22" s="20">
        <f>I4</f>
        <v>0</v>
      </c>
      <c r="J22" s="20">
        <f>I5</f>
        <v>0</v>
      </c>
      <c r="K22" s="20">
        <f>I6</f>
        <v>0</v>
      </c>
      <c r="L22" s="20">
        <f>I7</f>
        <v>0</v>
      </c>
      <c r="M22" s="20">
        <f>I8</f>
        <v>0</v>
      </c>
      <c r="N22" s="13"/>
    </row>
    <row r="23" spans="1:19" ht="20.25" customHeight="1">
      <c r="A23" s="202"/>
      <c r="B23" s="23" t="s">
        <v>44</v>
      </c>
      <c r="C23" s="19" t="s">
        <v>75</v>
      </c>
      <c r="D23" s="20"/>
      <c r="E23" s="20"/>
      <c r="F23" s="20"/>
      <c r="G23" s="20">
        <f>J2</f>
        <v>11</v>
      </c>
      <c r="H23" s="20">
        <f>J3</f>
        <v>0</v>
      </c>
      <c r="I23" s="20">
        <f>J4</f>
        <v>1</v>
      </c>
      <c r="J23" s="20">
        <f>J5</f>
        <v>0</v>
      </c>
      <c r="K23" s="20">
        <f>J6</f>
        <v>0</v>
      </c>
      <c r="L23" s="20">
        <f>J7</f>
        <v>0</v>
      </c>
      <c r="M23" s="20">
        <f>J8</f>
        <v>0</v>
      </c>
      <c r="N23" s="13"/>
    </row>
    <row r="24" spans="1:19" ht="20.25" customHeight="1">
      <c r="A24" s="202"/>
      <c r="B24" s="23" t="s">
        <v>45</v>
      </c>
      <c r="C24" s="19" t="s">
        <v>75</v>
      </c>
      <c r="D24" s="20"/>
      <c r="E24" s="20"/>
      <c r="F24" s="20"/>
      <c r="G24" s="20">
        <f>K2</f>
        <v>10</v>
      </c>
      <c r="H24" s="20">
        <f>K3</f>
        <v>0</v>
      </c>
      <c r="I24" s="20">
        <f>K4</f>
        <v>1</v>
      </c>
      <c r="J24" s="20">
        <f>K5</f>
        <v>0</v>
      </c>
      <c r="K24" s="20">
        <f>K6</f>
        <v>0</v>
      </c>
      <c r="L24" s="20">
        <f>K7</f>
        <v>0</v>
      </c>
      <c r="M24" s="20">
        <f>K8</f>
        <v>0</v>
      </c>
      <c r="N24" s="13"/>
    </row>
    <row r="25" spans="1:19" ht="20.25" customHeight="1">
      <c r="A25" s="202"/>
      <c r="B25" s="23" t="s">
        <v>46</v>
      </c>
      <c r="C25" s="27" t="s">
        <v>75</v>
      </c>
      <c r="D25" s="20"/>
      <c r="E25" s="20"/>
      <c r="F25" s="20"/>
      <c r="G25" s="20">
        <f>L2</f>
        <v>0</v>
      </c>
      <c r="H25" s="20">
        <f>L3</f>
        <v>0</v>
      </c>
      <c r="I25" s="20">
        <f>L4</f>
        <v>0</v>
      </c>
      <c r="J25" s="20">
        <f>L5</f>
        <v>0</v>
      </c>
      <c r="K25" s="20">
        <f>L6</f>
        <v>0</v>
      </c>
      <c r="L25" s="20">
        <f>L7</f>
        <v>0</v>
      </c>
      <c r="M25" s="20">
        <f>L8</f>
        <v>0</v>
      </c>
      <c r="N25" s="13"/>
    </row>
    <row r="26" spans="1:19" ht="20.25" customHeight="1" thickBot="1">
      <c r="A26" s="203"/>
      <c r="B26" s="23" t="s">
        <v>47</v>
      </c>
      <c r="C26" s="21" t="s">
        <v>80</v>
      </c>
      <c r="D26" s="22"/>
      <c r="E26" s="22"/>
      <c r="F26" s="22"/>
      <c r="G26" s="20">
        <f>M2</f>
        <v>0</v>
      </c>
      <c r="H26" s="20">
        <f>M3</f>
        <v>0</v>
      </c>
      <c r="I26" s="20">
        <f>M4</f>
        <v>0</v>
      </c>
      <c r="J26" s="20">
        <f>M5</f>
        <v>0</v>
      </c>
      <c r="K26" s="20">
        <f>M6</f>
        <v>0</v>
      </c>
      <c r="L26" s="20">
        <f>M7</f>
        <v>0</v>
      </c>
      <c r="M26" s="20">
        <f>M8</f>
        <v>0</v>
      </c>
      <c r="N26" s="13"/>
    </row>
    <row r="27" spans="1:19" ht="20.25" customHeight="1" thickTop="1">
      <c r="A27" s="211" t="s">
        <v>81</v>
      </c>
      <c r="B27" s="23" t="s">
        <v>48</v>
      </c>
      <c r="C27" s="28" t="s">
        <v>78</v>
      </c>
      <c r="D27" s="29"/>
      <c r="E27" s="29"/>
      <c r="F27" s="29"/>
      <c r="G27" s="20">
        <f>N2</f>
        <v>0</v>
      </c>
      <c r="H27" s="20">
        <f>N3</f>
        <v>0</v>
      </c>
      <c r="I27" s="20">
        <f>N4</f>
        <v>3</v>
      </c>
      <c r="J27" s="20">
        <f>N5</f>
        <v>0</v>
      </c>
      <c r="K27" s="20">
        <f>N6</f>
        <v>20</v>
      </c>
      <c r="L27" s="20">
        <f>N7</f>
        <v>0</v>
      </c>
      <c r="M27" s="20">
        <f>N8</f>
        <v>0</v>
      </c>
      <c r="N27" s="13"/>
    </row>
    <row r="28" spans="1:19" ht="20.25" customHeight="1">
      <c r="A28" s="204"/>
      <c r="B28" s="23" t="s">
        <v>49</v>
      </c>
      <c r="C28" s="28"/>
      <c r="D28" s="29"/>
      <c r="E28" s="29"/>
      <c r="F28" s="29"/>
      <c r="G28" s="20">
        <f>O2</f>
        <v>0</v>
      </c>
      <c r="H28" s="20">
        <f>O3</f>
        <v>0</v>
      </c>
      <c r="I28" s="20">
        <f>O4</f>
        <v>13</v>
      </c>
      <c r="J28" s="20">
        <f>O5</f>
        <v>0</v>
      </c>
      <c r="K28" s="20">
        <f>O6</f>
        <v>1</v>
      </c>
      <c r="L28" s="20">
        <f>O7</f>
        <v>0</v>
      </c>
      <c r="M28" s="20">
        <f>O8</f>
        <v>0</v>
      </c>
      <c r="N28" s="13"/>
    </row>
    <row r="29" spans="1:19" ht="20.25" customHeight="1">
      <c r="A29" s="204"/>
      <c r="B29" s="23" t="s">
        <v>50</v>
      </c>
      <c r="C29" s="28"/>
      <c r="D29" s="29"/>
      <c r="E29" s="29"/>
      <c r="F29" s="29"/>
      <c r="G29" s="20">
        <f>P2</f>
        <v>0</v>
      </c>
      <c r="H29" s="20">
        <f>P3</f>
        <v>0</v>
      </c>
      <c r="I29" s="20">
        <f>P4</f>
        <v>13</v>
      </c>
      <c r="J29" s="20">
        <f>P5</f>
        <v>0</v>
      </c>
      <c r="K29" s="20">
        <f>P6</f>
        <v>0</v>
      </c>
      <c r="L29" s="20">
        <f>P7</f>
        <v>0</v>
      </c>
      <c r="M29" s="20">
        <f>P8</f>
        <v>0</v>
      </c>
      <c r="N29" s="13"/>
    </row>
    <row r="30" spans="1:19" ht="20.25" customHeight="1">
      <c r="A30" s="204"/>
      <c r="B30" s="23" t="s">
        <v>51</v>
      </c>
      <c r="C30" s="28"/>
      <c r="D30" s="29"/>
      <c r="E30" s="29"/>
      <c r="F30" s="29"/>
      <c r="G30" s="20">
        <f>Q2</f>
        <v>0</v>
      </c>
      <c r="H30" s="20">
        <f>Q3</f>
        <v>0</v>
      </c>
      <c r="I30" s="20">
        <f>Q4</f>
        <v>0</v>
      </c>
      <c r="J30" s="20">
        <f>Q5</f>
        <v>0</v>
      </c>
      <c r="K30" s="20">
        <f>Q6</f>
        <v>7</v>
      </c>
      <c r="L30" s="20">
        <f>Q7</f>
        <v>3</v>
      </c>
      <c r="M30" s="20">
        <f>Q8</f>
        <v>6</v>
      </c>
      <c r="N30" s="13"/>
    </row>
    <row r="31" spans="1:19" ht="20.25" customHeight="1">
      <c r="A31" s="204"/>
      <c r="B31" s="23" t="s">
        <v>52</v>
      </c>
      <c r="C31" s="28"/>
      <c r="D31" s="29"/>
      <c r="E31" s="29"/>
      <c r="F31" s="29"/>
      <c r="G31" s="20">
        <f>R2</f>
        <v>0</v>
      </c>
      <c r="H31" s="20">
        <f>R3</f>
        <v>0</v>
      </c>
      <c r="I31" s="20">
        <f>R4</f>
        <v>0</v>
      </c>
      <c r="J31" s="20">
        <f>R5</f>
        <v>0</v>
      </c>
      <c r="K31" s="20">
        <f>R6</f>
        <v>9</v>
      </c>
      <c r="L31" s="20">
        <f>R7</f>
        <v>5</v>
      </c>
      <c r="M31" s="20">
        <f>R8</f>
        <v>9</v>
      </c>
      <c r="N31" s="13"/>
    </row>
    <row r="32" spans="1:19" ht="20.25" customHeight="1" thickBot="1">
      <c r="A32" s="204"/>
      <c r="B32" s="30" t="s">
        <v>53</v>
      </c>
      <c r="C32" s="28" t="s">
        <v>78</v>
      </c>
      <c r="D32" s="29"/>
      <c r="E32" s="29"/>
      <c r="F32" s="29"/>
      <c r="G32" s="20">
        <f>S2</f>
        <v>0</v>
      </c>
      <c r="H32" s="20">
        <f>S3</f>
        <v>0</v>
      </c>
      <c r="I32" s="20">
        <f>S4</f>
        <v>2</v>
      </c>
      <c r="J32" s="20">
        <f>S5</f>
        <v>0</v>
      </c>
      <c r="K32" s="20">
        <f>S6</f>
        <v>3</v>
      </c>
      <c r="L32" s="20">
        <f>S7</f>
        <v>3</v>
      </c>
      <c r="M32" s="20">
        <f>S8</f>
        <v>0</v>
      </c>
      <c r="N32" s="13"/>
    </row>
    <row r="33" spans="1:14" ht="20.25" customHeight="1" thickTop="1">
      <c r="A33" s="201" t="s">
        <v>82</v>
      </c>
      <c r="B33" s="31" t="s">
        <v>54</v>
      </c>
      <c r="C33" s="32"/>
      <c r="D33" s="33"/>
      <c r="E33" s="33"/>
      <c r="F33" s="33"/>
      <c r="G33" s="20">
        <f>T2</f>
        <v>0</v>
      </c>
      <c r="H33" s="20">
        <f>T3</f>
        <v>0</v>
      </c>
      <c r="I33" s="20">
        <f>T4</f>
        <v>0</v>
      </c>
      <c r="J33" s="20">
        <f>T5</f>
        <v>0</v>
      </c>
      <c r="K33" s="20">
        <f>T6</f>
        <v>6</v>
      </c>
      <c r="L33" s="20">
        <f>T7</f>
        <v>5</v>
      </c>
      <c r="M33" s="20">
        <f>T8</f>
        <v>10</v>
      </c>
      <c r="N33" s="13"/>
    </row>
    <row r="34" spans="1:14" ht="20.25" customHeight="1">
      <c r="A34" s="202"/>
      <c r="B34" s="34" t="s">
        <v>55</v>
      </c>
      <c r="C34" s="28"/>
      <c r="D34" s="29"/>
      <c r="E34" s="29"/>
      <c r="F34" s="29"/>
      <c r="G34" s="20">
        <f>U2</f>
        <v>0</v>
      </c>
      <c r="H34" s="20">
        <f>U3</f>
        <v>0</v>
      </c>
      <c r="I34" s="20">
        <f>U4</f>
        <v>0</v>
      </c>
      <c r="J34" s="20">
        <f>U5</f>
        <v>0</v>
      </c>
      <c r="K34" s="20">
        <f>U6</f>
        <v>9</v>
      </c>
      <c r="L34" s="20">
        <f>U7</f>
        <v>7</v>
      </c>
      <c r="M34" s="20">
        <f>U8</f>
        <v>13</v>
      </c>
      <c r="N34" s="13"/>
    </row>
    <row r="35" spans="1:14" ht="20.25" customHeight="1">
      <c r="A35" s="202"/>
      <c r="B35" s="34" t="s">
        <v>56</v>
      </c>
      <c r="C35" s="28"/>
      <c r="D35" s="29"/>
      <c r="E35" s="29"/>
      <c r="F35" s="29"/>
      <c r="G35" s="20">
        <f>V2</f>
        <v>0</v>
      </c>
      <c r="H35" s="20">
        <f>V3</f>
        <v>0</v>
      </c>
      <c r="I35" s="20">
        <f>V4</f>
        <v>0</v>
      </c>
      <c r="J35" s="20">
        <f>V5</f>
        <v>0</v>
      </c>
      <c r="K35" s="20">
        <f>V6</f>
        <v>1</v>
      </c>
      <c r="L35" s="20">
        <f>V7</f>
        <v>8</v>
      </c>
      <c r="M35" s="20">
        <f>V8</f>
        <v>12</v>
      </c>
      <c r="N35" s="13"/>
    </row>
    <row r="36" spans="1:14" ht="20.25" customHeight="1">
      <c r="A36" s="202"/>
      <c r="B36" s="34" t="s">
        <v>57</v>
      </c>
      <c r="C36" s="28"/>
      <c r="D36" s="29"/>
      <c r="E36" s="29"/>
      <c r="F36" s="29"/>
      <c r="G36" s="20">
        <f>W2</f>
        <v>0</v>
      </c>
      <c r="H36" s="20">
        <f>W3</f>
        <v>0</v>
      </c>
      <c r="I36" s="20">
        <f>W4</f>
        <v>0</v>
      </c>
      <c r="J36" s="20">
        <f>W5</f>
        <v>0</v>
      </c>
      <c r="K36" s="20">
        <f>W6</f>
        <v>1</v>
      </c>
      <c r="L36" s="20">
        <f>W7</f>
        <v>8</v>
      </c>
      <c r="M36" s="20">
        <f>W8</f>
        <v>16</v>
      </c>
      <c r="N36" s="13"/>
    </row>
    <row r="37" spans="1:14" ht="20.25" customHeight="1">
      <c r="A37" s="202"/>
      <c r="B37" s="34" t="s">
        <v>58</v>
      </c>
      <c r="C37" s="28"/>
      <c r="D37" s="29"/>
      <c r="E37" s="29"/>
      <c r="F37" s="29"/>
      <c r="G37" s="20">
        <f>X2</f>
        <v>0</v>
      </c>
      <c r="H37" s="20">
        <f>X3</f>
        <v>0</v>
      </c>
      <c r="I37" s="20">
        <f>X4</f>
        <v>0</v>
      </c>
      <c r="J37" s="20">
        <f>X5</f>
        <v>0</v>
      </c>
      <c r="K37" s="20">
        <f>X6</f>
        <v>1</v>
      </c>
      <c r="L37" s="20">
        <f>X7</f>
        <v>5</v>
      </c>
      <c r="M37" s="20">
        <f>X8</f>
        <v>9</v>
      </c>
      <c r="N37" s="13"/>
    </row>
    <row r="38" spans="1:14" ht="20.25" customHeight="1" thickBot="1">
      <c r="A38" s="203"/>
      <c r="B38" s="35" t="s">
        <v>59</v>
      </c>
      <c r="C38" s="36"/>
      <c r="D38" s="37"/>
      <c r="E38" s="37"/>
      <c r="F38" s="37"/>
      <c r="G38" s="20">
        <f>Y2</f>
        <v>0</v>
      </c>
      <c r="H38" s="20">
        <f>Y3</f>
        <v>0</v>
      </c>
      <c r="I38" s="20">
        <f>Y4</f>
        <v>0</v>
      </c>
      <c r="J38" s="20">
        <f>Y5</f>
        <v>0</v>
      </c>
      <c r="K38" s="20">
        <f>Y6</f>
        <v>1</v>
      </c>
      <c r="L38" s="20">
        <f>Y7</f>
        <v>5</v>
      </c>
      <c r="M38" s="20">
        <f>Y8</f>
        <v>11</v>
      </c>
      <c r="N38" s="13"/>
    </row>
    <row r="39" spans="1:14" ht="20.25" customHeight="1" thickTop="1">
      <c r="A39" s="204" t="s">
        <v>83</v>
      </c>
      <c r="B39" s="23" t="s">
        <v>60</v>
      </c>
      <c r="C39" s="28"/>
      <c r="D39" s="29"/>
      <c r="E39" s="29"/>
      <c r="F39" s="29"/>
      <c r="G39" s="20">
        <f>Z2</f>
        <v>0</v>
      </c>
      <c r="H39" s="20">
        <f>Z3</f>
        <v>0</v>
      </c>
      <c r="I39" s="20">
        <f>Z4</f>
        <v>0</v>
      </c>
      <c r="J39" s="20">
        <f>Z5</f>
        <v>0</v>
      </c>
      <c r="K39" s="20">
        <f>Z6</f>
        <v>0</v>
      </c>
      <c r="L39" s="20">
        <f>Z7</f>
        <v>8</v>
      </c>
      <c r="M39" s="20">
        <f>Z8</f>
        <v>12</v>
      </c>
      <c r="N39" s="13"/>
    </row>
    <row r="40" spans="1:14" ht="20.25" customHeight="1">
      <c r="A40" s="204"/>
      <c r="B40" s="23" t="s">
        <v>61</v>
      </c>
      <c r="C40" s="28"/>
      <c r="D40" s="29"/>
      <c r="E40" s="29"/>
      <c r="F40" s="29"/>
      <c r="G40" s="20">
        <f>AA2</f>
        <v>0</v>
      </c>
      <c r="H40" s="20">
        <f>AA3</f>
        <v>0</v>
      </c>
      <c r="I40" s="20">
        <f>AA4</f>
        <v>0</v>
      </c>
      <c r="J40" s="20">
        <f>AA5</f>
        <v>0</v>
      </c>
      <c r="K40" s="20">
        <f>AA6</f>
        <v>0</v>
      </c>
      <c r="L40" s="20">
        <f>AA7</f>
        <v>8</v>
      </c>
      <c r="M40" s="20">
        <f>AA8</f>
        <v>9</v>
      </c>
      <c r="N40" s="13"/>
    </row>
    <row r="41" spans="1:14" ht="20.25" customHeight="1">
      <c r="A41" s="204"/>
      <c r="B41" s="23" t="s">
        <v>62</v>
      </c>
      <c r="C41" s="28"/>
      <c r="D41" s="29"/>
      <c r="E41" s="29"/>
      <c r="F41" s="29"/>
      <c r="G41" s="20">
        <f>AB2</f>
        <v>0</v>
      </c>
      <c r="H41" s="20">
        <f>AB3</f>
        <v>0</v>
      </c>
      <c r="I41" s="20">
        <f>AB4</f>
        <v>0</v>
      </c>
      <c r="J41" s="20">
        <f>AB5</f>
        <v>0</v>
      </c>
      <c r="K41" s="20">
        <f>AB6</f>
        <v>0</v>
      </c>
      <c r="L41" s="20">
        <f>AB7</f>
        <v>4</v>
      </c>
      <c r="M41" s="20">
        <f>AB8</f>
        <v>10</v>
      </c>
      <c r="N41" s="13"/>
    </row>
    <row r="42" spans="1:14" ht="20.25" customHeight="1">
      <c r="A42" s="204"/>
      <c r="B42" s="23" t="s">
        <v>63</v>
      </c>
      <c r="C42" s="28"/>
      <c r="D42" s="29"/>
      <c r="E42" s="29"/>
      <c r="F42" s="29"/>
      <c r="G42" s="20">
        <f>AC2</f>
        <v>0</v>
      </c>
      <c r="H42" s="20">
        <f>AC3</f>
        <v>0</v>
      </c>
      <c r="I42" s="20">
        <f>AC4</f>
        <v>0</v>
      </c>
      <c r="J42" s="20">
        <f>AC5</f>
        <v>0</v>
      </c>
      <c r="K42" s="20">
        <f>AC6</f>
        <v>0</v>
      </c>
      <c r="L42" s="20">
        <f>AC7</f>
        <v>4</v>
      </c>
      <c r="M42" s="20">
        <f>AC8</f>
        <v>9</v>
      </c>
      <c r="N42" s="13"/>
    </row>
    <row r="43" spans="1:14" ht="20.25" customHeight="1">
      <c r="A43" s="204"/>
      <c r="B43" s="23" t="s">
        <v>64</v>
      </c>
      <c r="C43" s="28"/>
      <c r="D43" s="29"/>
      <c r="E43" s="29"/>
      <c r="F43" s="29"/>
      <c r="G43" s="20">
        <f>AD2</f>
        <v>0</v>
      </c>
      <c r="H43" s="20">
        <f>AD3</f>
        <v>0</v>
      </c>
      <c r="I43" s="20">
        <f>AD4</f>
        <v>0</v>
      </c>
      <c r="J43" s="20">
        <f>AD5</f>
        <v>0</v>
      </c>
      <c r="K43" s="20">
        <f>AD6</f>
        <v>0</v>
      </c>
      <c r="L43" s="20">
        <f>AD7</f>
        <v>3</v>
      </c>
      <c r="M43" s="20">
        <f>AD8</f>
        <v>7</v>
      </c>
      <c r="N43" s="13"/>
    </row>
    <row r="44" spans="1:14" ht="20.25" customHeight="1" thickBot="1">
      <c r="A44" s="205"/>
      <c r="B44" s="38" t="s">
        <v>65</v>
      </c>
      <c r="C44" s="36"/>
      <c r="D44" s="37"/>
      <c r="E44" s="37"/>
      <c r="F44" s="37"/>
      <c r="G44" s="20">
        <f>AE2</f>
        <v>0</v>
      </c>
      <c r="H44" s="20">
        <f>AE3</f>
        <v>0</v>
      </c>
      <c r="I44" s="20">
        <f>AE4</f>
        <v>0</v>
      </c>
      <c r="J44" s="20">
        <f>AE5</f>
        <v>0</v>
      </c>
      <c r="K44" s="20">
        <f>AE6</f>
        <v>0</v>
      </c>
      <c r="L44" s="20">
        <f>AE7</f>
        <v>0</v>
      </c>
      <c r="M44" s="20">
        <f>AE8</f>
        <v>1</v>
      </c>
      <c r="N44" s="13"/>
    </row>
    <row r="45" spans="1:14" ht="20.25" customHeight="1" thickTop="1">
      <c r="A45" s="202" t="s">
        <v>84</v>
      </c>
      <c r="B45" s="23" t="s">
        <v>66</v>
      </c>
      <c r="C45" s="24" t="s">
        <v>85</v>
      </c>
      <c r="D45" s="25"/>
      <c r="E45" s="25"/>
      <c r="F45" s="25"/>
      <c r="G45" s="20">
        <f>AF2</f>
        <v>0</v>
      </c>
      <c r="H45" s="152">
        <f>AF3</f>
        <v>0</v>
      </c>
      <c r="I45" s="152">
        <f>AF4</f>
        <v>0</v>
      </c>
      <c r="J45" s="152">
        <f>AF5</f>
        <v>0</v>
      </c>
      <c r="K45" s="152">
        <f>AF6</f>
        <v>0</v>
      </c>
      <c r="L45" s="152">
        <f>AF7</f>
        <v>3</v>
      </c>
      <c r="M45" s="20">
        <f>AF8</f>
        <v>6</v>
      </c>
      <c r="N45" s="13" t="str">
        <f t="shared" si="2"/>
        <v>C1</v>
      </c>
    </row>
    <row r="46" spans="1:14" ht="20.25" customHeight="1">
      <c r="A46" s="202"/>
      <c r="B46" s="23" t="s">
        <v>67</v>
      </c>
      <c r="C46" s="19" t="s">
        <v>86</v>
      </c>
      <c r="D46" s="20"/>
      <c r="E46" s="20"/>
      <c r="F46" s="20"/>
      <c r="G46" s="20">
        <f>AG2</f>
        <v>0</v>
      </c>
      <c r="H46" s="152">
        <f>AG3</f>
        <v>0</v>
      </c>
      <c r="I46" s="152">
        <f>AG4</f>
        <v>0</v>
      </c>
      <c r="J46" s="152">
        <f>AG5</f>
        <v>0</v>
      </c>
      <c r="K46" s="152">
        <f>AG6</f>
        <v>0</v>
      </c>
      <c r="L46" s="152">
        <f>AG7</f>
        <v>0</v>
      </c>
      <c r="M46" s="152">
        <f>AG8</f>
        <v>0</v>
      </c>
      <c r="N46" s="13" t="str">
        <f t="shared" si="2"/>
        <v>C2</v>
      </c>
    </row>
    <row r="47" spans="1:14" ht="20.25" customHeight="1">
      <c r="A47" s="202"/>
      <c r="B47" s="23" t="s">
        <v>68</v>
      </c>
      <c r="C47" s="19" t="s">
        <v>76</v>
      </c>
      <c r="D47" s="20"/>
      <c r="E47" s="20"/>
      <c r="F47" s="20"/>
      <c r="G47" s="20">
        <f>AH2</f>
        <v>0</v>
      </c>
      <c r="H47" s="152">
        <f>AH3</f>
        <v>0</v>
      </c>
      <c r="I47" s="152">
        <f>AH4</f>
        <v>0</v>
      </c>
      <c r="J47" s="152">
        <f>AH5</f>
        <v>0</v>
      </c>
      <c r="K47" s="152">
        <f>AH6</f>
        <v>0</v>
      </c>
      <c r="L47" s="152">
        <f>AH7</f>
        <v>3</v>
      </c>
      <c r="M47" s="152">
        <f>AH8</f>
        <v>6</v>
      </c>
      <c r="N47" s="13" t="str">
        <f t="shared" si="2"/>
        <v>C3</v>
      </c>
    </row>
    <row r="48" spans="1:14" ht="20.25" customHeight="1">
      <c r="A48" s="202"/>
      <c r="B48" s="23" t="s">
        <v>69</v>
      </c>
      <c r="C48" s="147"/>
      <c r="D48" s="148"/>
      <c r="E48" s="148"/>
      <c r="F48" s="148"/>
      <c r="G48" s="20">
        <f>AI2</f>
        <v>0</v>
      </c>
      <c r="H48" s="152">
        <f>AI3</f>
        <v>0</v>
      </c>
      <c r="I48" s="152">
        <f>AI4</f>
        <v>0</v>
      </c>
      <c r="J48" s="152">
        <f>AI5</f>
        <v>0</v>
      </c>
      <c r="K48" s="152">
        <f>AI6</f>
        <v>0</v>
      </c>
      <c r="L48" s="152">
        <f>AI7</f>
        <v>5</v>
      </c>
      <c r="M48" s="152">
        <f>AI8</f>
        <v>6</v>
      </c>
      <c r="N48" s="13"/>
    </row>
    <row r="49" spans="1:14" ht="20.25" customHeight="1" thickBot="1">
      <c r="A49" s="203"/>
      <c r="B49" s="23" t="s">
        <v>129</v>
      </c>
      <c r="C49" s="21" t="s">
        <v>76</v>
      </c>
      <c r="D49" s="22"/>
      <c r="E49" s="22"/>
      <c r="F49" s="22"/>
      <c r="G49" s="20">
        <f>AK2</f>
        <v>8</v>
      </c>
      <c r="H49" s="152">
        <f>AK3</f>
        <v>0</v>
      </c>
      <c r="I49" s="152">
        <f>AK4</f>
        <v>9</v>
      </c>
      <c r="J49" s="152">
        <f>AK5</f>
        <v>0</v>
      </c>
      <c r="K49" s="152">
        <f>AK6</f>
        <v>0</v>
      </c>
      <c r="L49" s="152">
        <f>AK7</f>
        <v>0</v>
      </c>
      <c r="M49" s="152">
        <f>AK8</f>
        <v>0</v>
      </c>
      <c r="N49" s="13" t="str">
        <f t="shared" si="2"/>
        <v>C6</v>
      </c>
    </row>
    <row r="50" spans="1:14" ht="20.25" customHeight="1" thickTop="1" thickBot="1">
      <c r="A50" s="40" t="s">
        <v>87</v>
      </c>
      <c r="B50" s="41" t="s">
        <v>88</v>
      </c>
      <c r="C50" s="42" t="s">
        <v>89</v>
      </c>
      <c r="D50" s="43"/>
      <c r="E50" s="43"/>
      <c r="F50" s="43"/>
      <c r="G50" s="44">
        <f>AM2</f>
        <v>0</v>
      </c>
      <c r="H50" s="44">
        <f>AM3</f>
        <v>0</v>
      </c>
      <c r="I50" s="44">
        <f>AM4</f>
        <v>0</v>
      </c>
      <c r="J50" s="44">
        <f>AM5</f>
        <v>0</v>
      </c>
      <c r="K50" s="44">
        <f>AM6</f>
        <v>0</v>
      </c>
      <c r="L50" s="44">
        <f>AM7</f>
        <v>0</v>
      </c>
      <c r="M50" s="39">
        <f>AM8</f>
        <v>0</v>
      </c>
    </row>
    <row r="51" spans="1:14" ht="20.25" customHeight="1" thickTop="1">
      <c r="A51" s="45" t="s">
        <v>90</v>
      </c>
      <c r="B51" s="46" t="s">
        <v>91</v>
      </c>
      <c r="C51" s="47"/>
      <c r="D51" s="48"/>
      <c r="E51" s="48"/>
      <c r="F51" s="48"/>
      <c r="G51" s="48"/>
      <c r="H51" s="48"/>
      <c r="I51" s="48"/>
      <c r="J51" s="48"/>
      <c r="K51" s="48"/>
      <c r="L51" s="48"/>
      <c r="M51" s="44"/>
    </row>
    <row r="52" spans="1:14">
      <c r="G52">
        <f t="shared" ref="G52:M52" si="4">SUM(G15:G51)</f>
        <v>29</v>
      </c>
      <c r="H52">
        <f t="shared" si="4"/>
        <v>0</v>
      </c>
      <c r="I52">
        <f t="shared" si="4"/>
        <v>42</v>
      </c>
      <c r="J52">
        <f t="shared" si="4"/>
        <v>0</v>
      </c>
      <c r="K52">
        <f t="shared" si="4"/>
        <v>59</v>
      </c>
      <c r="L52">
        <f t="shared" si="4"/>
        <v>87</v>
      </c>
      <c r="M52">
        <f t="shared" si="4"/>
        <v>152</v>
      </c>
    </row>
    <row r="53" spans="1:14">
      <c r="G53">
        <f>G52*25</f>
        <v>725</v>
      </c>
      <c r="H53">
        <f t="shared" ref="H53:M53" si="5">H52*25</f>
        <v>0</v>
      </c>
      <c r="I53">
        <f t="shared" si="5"/>
        <v>1050</v>
      </c>
      <c r="J53">
        <f t="shared" si="5"/>
        <v>0</v>
      </c>
      <c r="K53">
        <f t="shared" si="5"/>
        <v>1475</v>
      </c>
      <c r="L53">
        <f t="shared" si="5"/>
        <v>2175</v>
      </c>
      <c r="M53">
        <f t="shared" si="5"/>
        <v>3800</v>
      </c>
    </row>
    <row r="54" spans="1:14">
      <c r="M54" s="153">
        <f>SUM(G53:M53)</f>
        <v>9225</v>
      </c>
    </row>
    <row r="55" spans="1:14">
      <c r="M55" s="153"/>
    </row>
    <row r="56" spans="1:14">
      <c r="M56" s="153"/>
    </row>
    <row r="57" spans="1:14">
      <c r="M57" s="153"/>
    </row>
    <row r="58" spans="1:14">
      <c r="M58" s="153"/>
    </row>
  </sheetData>
  <mergeCells count="20">
    <mergeCell ref="A11:M11"/>
    <mergeCell ref="A13:A14"/>
    <mergeCell ref="A15:A20"/>
    <mergeCell ref="A21:A26"/>
    <mergeCell ref="A27:A32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  <mergeCell ref="A33:A38"/>
    <mergeCell ref="A39:A44"/>
    <mergeCell ref="A45:A49"/>
    <mergeCell ref="B13:B14"/>
    <mergeCell ref="C13:C14"/>
  </mergeCells>
  <phoneticPr fontId="34" type="noConversion"/>
  <conditionalFormatting sqref="A2:A8">
    <cfRule type="cellIs" dxfId="18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3722C-5633-446A-841D-7FABF132D0DD}">
  <dimension ref="A2:H14"/>
  <sheetViews>
    <sheetView tabSelected="1" workbookViewId="0">
      <selection activeCell="D7" sqref="D7"/>
    </sheetView>
  </sheetViews>
  <sheetFormatPr baseColWidth="10" defaultRowHeight="15"/>
  <cols>
    <col min="1" max="1" width="19.85546875" bestFit="1" customWidth="1"/>
    <col min="2" max="3" width="13.85546875" bestFit="1" customWidth="1"/>
    <col min="4" max="4" width="14.7109375" customWidth="1"/>
    <col min="5" max="5" width="12.42578125" bestFit="1" customWidth="1"/>
    <col min="6" max="8" width="13.85546875" bestFit="1" customWidth="1"/>
  </cols>
  <sheetData>
    <row r="2" spans="1:8">
      <c r="D2" t="s">
        <v>145</v>
      </c>
    </row>
    <row r="3" spans="1:8" ht="52.5" customHeight="1">
      <c r="A3" s="159" t="s">
        <v>149</v>
      </c>
      <c r="B3" s="10" t="s">
        <v>152</v>
      </c>
      <c r="C3" s="10" t="s">
        <v>158</v>
      </c>
      <c r="D3" s="10" t="s">
        <v>157</v>
      </c>
      <c r="E3" s="10" t="s">
        <v>156</v>
      </c>
      <c r="F3" s="10" t="s">
        <v>155</v>
      </c>
      <c r="G3" s="10" t="s">
        <v>154</v>
      </c>
      <c r="H3" s="10" t="s">
        <v>153</v>
      </c>
    </row>
    <row r="4" spans="1:8">
      <c r="A4" s="10" t="s">
        <v>89</v>
      </c>
      <c r="B4" s="234">
        <v>0</v>
      </c>
      <c r="C4" s="234">
        <v>275</v>
      </c>
      <c r="D4" s="234">
        <v>0</v>
      </c>
      <c r="E4" s="234">
        <v>25</v>
      </c>
      <c r="F4" s="234">
        <v>0</v>
      </c>
      <c r="G4" s="234">
        <v>0</v>
      </c>
      <c r="H4" s="234">
        <v>0</v>
      </c>
    </row>
    <row r="5" spans="1:8">
      <c r="A5" s="10" t="s">
        <v>80</v>
      </c>
      <c r="B5" s="234">
        <v>375</v>
      </c>
      <c r="C5" s="234">
        <v>0</v>
      </c>
      <c r="D5" s="234">
        <v>0</v>
      </c>
      <c r="E5" s="234">
        <v>0</v>
      </c>
      <c r="F5" s="234">
        <v>0</v>
      </c>
      <c r="G5" s="234">
        <v>400</v>
      </c>
      <c r="H5" s="234">
        <v>200</v>
      </c>
    </row>
    <row r="6" spans="1:8">
      <c r="A6" s="10" t="s">
        <v>85</v>
      </c>
      <c r="B6" s="234">
        <v>150</v>
      </c>
      <c r="C6" s="234">
        <v>0</v>
      </c>
      <c r="D6" s="234">
        <v>0</v>
      </c>
      <c r="E6" s="234">
        <v>0</v>
      </c>
      <c r="F6" s="234">
        <v>0</v>
      </c>
      <c r="G6" s="234">
        <v>0</v>
      </c>
      <c r="H6" s="234">
        <v>75</v>
      </c>
    </row>
    <row r="7" spans="1:8">
      <c r="A7" s="10" t="s">
        <v>146</v>
      </c>
      <c r="B7" s="234">
        <v>3275</v>
      </c>
      <c r="C7" s="234">
        <v>0</v>
      </c>
      <c r="D7" s="234">
        <v>0</v>
      </c>
      <c r="E7" s="234">
        <v>0</v>
      </c>
      <c r="F7" s="234">
        <v>0</v>
      </c>
      <c r="G7" s="234">
        <v>475</v>
      </c>
      <c r="H7" s="234">
        <v>1825</v>
      </c>
    </row>
    <row r="8" spans="1:8">
      <c r="A8" s="10" t="s">
        <v>147</v>
      </c>
      <c r="B8" s="234">
        <v>0</v>
      </c>
      <c r="C8" s="234">
        <v>0</v>
      </c>
      <c r="D8" s="234">
        <v>0</v>
      </c>
      <c r="E8" s="234">
        <v>650</v>
      </c>
      <c r="F8" s="234">
        <v>0</v>
      </c>
      <c r="G8" s="234">
        <v>25</v>
      </c>
      <c r="H8" s="234">
        <v>0</v>
      </c>
    </row>
    <row r="9" spans="1:8">
      <c r="A9" s="10" t="s">
        <v>144</v>
      </c>
      <c r="B9" s="234">
        <v>0</v>
      </c>
      <c r="C9" s="234">
        <v>200</v>
      </c>
      <c r="D9" s="234">
        <v>0</v>
      </c>
      <c r="E9" s="234">
        <v>225</v>
      </c>
      <c r="F9" s="234">
        <v>0</v>
      </c>
      <c r="G9" s="234">
        <v>0</v>
      </c>
      <c r="H9" s="234">
        <v>0</v>
      </c>
    </row>
    <row r="10" spans="1:8">
      <c r="A10" s="10" t="s">
        <v>78</v>
      </c>
      <c r="B10" s="234">
        <v>0</v>
      </c>
      <c r="C10" s="234">
        <v>0</v>
      </c>
      <c r="D10" s="234">
        <v>0</v>
      </c>
      <c r="E10" s="234">
        <v>125</v>
      </c>
      <c r="F10" s="234">
        <v>0</v>
      </c>
      <c r="G10" s="234">
        <v>575</v>
      </c>
      <c r="H10" s="234">
        <v>75</v>
      </c>
    </row>
    <row r="11" spans="1:8">
      <c r="A11" s="10" t="s">
        <v>88</v>
      </c>
      <c r="B11" s="234">
        <v>0</v>
      </c>
      <c r="C11" s="234">
        <v>250</v>
      </c>
      <c r="D11" s="234">
        <v>0</v>
      </c>
      <c r="E11" s="234">
        <v>25</v>
      </c>
      <c r="F11" s="234">
        <v>0</v>
      </c>
      <c r="G11" s="234">
        <v>0</v>
      </c>
      <c r="H11" s="234">
        <v>0</v>
      </c>
    </row>
    <row r="12" spans="1:8">
      <c r="A12" s="10" t="s">
        <v>150</v>
      </c>
      <c r="B12" s="234">
        <v>0</v>
      </c>
      <c r="C12" s="234">
        <v>0</v>
      </c>
      <c r="D12" s="234">
        <v>0</v>
      </c>
      <c r="E12" s="234">
        <v>0</v>
      </c>
      <c r="F12" s="234">
        <v>0</v>
      </c>
      <c r="G12" s="234">
        <v>0</v>
      </c>
      <c r="H12" s="234">
        <v>0</v>
      </c>
    </row>
    <row r="13" spans="1:8">
      <c r="A13" s="10" t="s">
        <v>143</v>
      </c>
      <c r="B13" s="234">
        <v>0</v>
      </c>
      <c r="C13" s="234">
        <v>150</v>
      </c>
      <c r="D13" s="234">
        <v>0</v>
      </c>
      <c r="E13" s="234">
        <v>0</v>
      </c>
      <c r="F13" s="234">
        <v>0</v>
      </c>
      <c r="G13" s="234">
        <v>0</v>
      </c>
      <c r="H13" s="234">
        <v>0</v>
      </c>
    </row>
    <row r="14" spans="1:8">
      <c r="A14" s="10" t="s">
        <v>151</v>
      </c>
      <c r="B14" s="234">
        <v>3800</v>
      </c>
      <c r="C14" s="234">
        <v>875</v>
      </c>
      <c r="D14" s="234">
        <v>0</v>
      </c>
      <c r="E14" s="234">
        <v>1050</v>
      </c>
      <c r="F14" s="234">
        <v>0</v>
      </c>
      <c r="G14" s="234">
        <v>1475</v>
      </c>
      <c r="H14" s="234">
        <v>2175</v>
      </c>
    </row>
  </sheetData>
  <pageMargins left="0.7" right="0.7" top="0.75" bottom="0.75" header="0.3" footer="0.3"/>
  <pageSetup orientation="landscape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5">
    <tabColor theme="9" tint="-0.249977111117893"/>
  </sheetPr>
  <dimension ref="A1:Z65"/>
  <sheetViews>
    <sheetView view="pageLayout" topLeftCell="A46" zoomScaleNormal="100" workbookViewId="0">
      <selection activeCell="D55" sqref="D55"/>
    </sheetView>
  </sheetViews>
  <sheetFormatPr baseColWidth="10" defaultColWidth="11" defaultRowHeight="15"/>
  <cols>
    <col min="1" max="1" width="10.5703125" customWidth="1"/>
    <col min="2" max="2" width="5.7109375" customWidth="1"/>
    <col min="3" max="3" width="16.5703125" customWidth="1"/>
    <col min="4" max="4" width="7.5703125" customWidth="1"/>
    <col min="5" max="5" width="4.85546875" customWidth="1"/>
    <col min="6" max="13" width="7.5703125" customWidth="1"/>
    <col min="14" max="14" width="9.7109375" customWidth="1"/>
    <col min="15" max="21" width="6" customWidth="1"/>
  </cols>
  <sheetData>
    <row r="1" spans="1:14" ht="11.25" customHeight="1">
      <c r="A1" s="2" t="s">
        <v>92</v>
      </c>
      <c r="B1" s="227" t="s">
        <v>93</v>
      </c>
      <c r="C1" s="228"/>
      <c r="D1" s="233" t="s">
        <v>94</v>
      </c>
      <c r="E1" s="233"/>
      <c r="F1" s="233"/>
      <c r="G1" s="233"/>
      <c r="H1" s="233"/>
      <c r="I1" s="233"/>
      <c r="J1" s="225"/>
      <c r="K1" s="225"/>
      <c r="L1" s="225"/>
      <c r="M1" s="225"/>
      <c r="N1" s="4"/>
    </row>
    <row r="2" spans="1:14" ht="11.25" customHeight="1">
      <c r="A2" s="2" t="s">
        <v>95</v>
      </c>
      <c r="B2" s="231" t="s">
        <v>96</v>
      </c>
      <c r="C2" s="228"/>
      <c r="D2" s="233"/>
      <c r="E2" s="233"/>
      <c r="F2" s="233"/>
      <c r="G2" s="233"/>
      <c r="H2" s="233"/>
      <c r="I2" s="233"/>
      <c r="J2" s="225"/>
      <c r="K2" s="225"/>
      <c r="L2" s="225"/>
      <c r="M2" s="225"/>
      <c r="N2" s="4"/>
    </row>
    <row r="3" spans="1:14" ht="11.25" customHeight="1">
      <c r="A3" s="2" t="s">
        <v>97</v>
      </c>
      <c r="B3" s="232">
        <v>44701</v>
      </c>
      <c r="C3" s="228"/>
      <c r="D3" s="226" t="s">
        <v>98</v>
      </c>
      <c r="E3" s="226"/>
      <c r="F3" s="226"/>
      <c r="G3" s="226"/>
      <c r="H3" s="226"/>
      <c r="I3" s="226"/>
      <c r="J3" s="225"/>
      <c r="K3" s="225"/>
      <c r="L3" s="225"/>
      <c r="M3" s="225"/>
      <c r="N3" s="4"/>
    </row>
    <row r="4" spans="1:14" ht="11.25" customHeight="1">
      <c r="A4" s="2" t="s">
        <v>99</v>
      </c>
      <c r="B4" s="227" t="s">
        <v>100</v>
      </c>
      <c r="C4" s="228"/>
      <c r="D4" s="226"/>
      <c r="E4" s="226"/>
      <c r="F4" s="226"/>
      <c r="G4" s="226"/>
      <c r="H4" s="226"/>
      <c r="I4" s="226"/>
      <c r="J4" s="225"/>
      <c r="K4" s="225"/>
      <c r="L4" s="225"/>
      <c r="M4" s="225"/>
      <c r="N4" s="4"/>
    </row>
    <row r="5" spans="1:14" ht="11.25" customHeight="1">
      <c r="A5" s="3" t="s">
        <v>101</v>
      </c>
      <c r="B5" s="227" t="s">
        <v>102</v>
      </c>
      <c r="C5" s="228"/>
      <c r="D5" s="226"/>
      <c r="E5" s="226"/>
      <c r="F5" s="226"/>
      <c r="G5" s="226"/>
      <c r="H5" s="226"/>
      <c r="I5" s="226"/>
      <c r="J5" s="229" t="s">
        <v>159</v>
      </c>
      <c r="K5" s="229"/>
      <c r="L5" s="229"/>
      <c r="M5" s="229"/>
      <c r="N5" s="4"/>
    </row>
    <row r="6" spans="1:14" ht="11.25" customHeight="1">
      <c r="A6" s="2" t="s">
        <v>103</v>
      </c>
      <c r="B6" s="227" t="s">
        <v>100</v>
      </c>
      <c r="C6" s="228"/>
      <c r="D6" s="230" t="s">
        <v>104</v>
      </c>
      <c r="E6" s="230"/>
      <c r="F6" s="230"/>
      <c r="G6" s="230"/>
      <c r="H6" s="230"/>
      <c r="I6" s="230"/>
      <c r="J6" s="229"/>
      <c r="K6" s="229"/>
      <c r="L6" s="229"/>
      <c r="M6" s="229"/>
      <c r="N6" s="4"/>
    </row>
    <row r="7" spans="1:14" ht="11.25" customHeight="1">
      <c r="A7" s="2" t="s">
        <v>105</v>
      </c>
      <c r="B7" s="227" t="s">
        <v>106</v>
      </c>
      <c r="C7" s="228"/>
      <c r="D7" s="230"/>
      <c r="E7" s="230"/>
      <c r="F7" s="230"/>
      <c r="G7" s="230"/>
      <c r="H7" s="230"/>
      <c r="I7" s="230"/>
      <c r="J7" s="229"/>
      <c r="K7" s="229"/>
      <c r="L7" s="229"/>
      <c r="M7" s="229"/>
      <c r="N7" s="4"/>
    </row>
    <row r="8" spans="1:14" ht="5.25" customHeight="1">
      <c r="A8" s="2"/>
      <c r="B8" s="2"/>
      <c r="C8" s="4"/>
      <c r="D8" s="5"/>
      <c r="E8" s="5"/>
      <c r="F8" s="5"/>
      <c r="G8" s="5"/>
      <c r="H8" s="5"/>
      <c r="I8" s="5"/>
      <c r="J8" s="12"/>
      <c r="K8" s="12"/>
      <c r="L8" s="12"/>
      <c r="M8" s="12"/>
      <c r="N8" s="4"/>
    </row>
    <row r="9" spans="1:14" ht="18" customHeight="1">
      <c r="A9" s="217" t="s">
        <v>70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  <c r="M9" s="217"/>
      <c r="N9" s="4"/>
    </row>
    <row r="10" spans="1:14" ht="2.25" customHeight="1"/>
    <row r="11" spans="1:14" ht="62.25" customHeight="1">
      <c r="A11" s="6" t="s">
        <v>71</v>
      </c>
      <c r="B11" s="6"/>
      <c r="C11" s="156" t="s">
        <v>72</v>
      </c>
      <c r="D11" s="126" t="s">
        <v>136</v>
      </c>
      <c r="E11" s="126" t="s">
        <v>137</v>
      </c>
      <c r="F11" s="126" t="s">
        <v>138</v>
      </c>
      <c r="G11" s="126" t="str">
        <f>Total!G13</f>
        <v>3 mm progress ex</v>
      </c>
      <c r="H11" s="126" t="str">
        <f>Total!H13</f>
        <v xml:space="preserve">4,5 mm metabólica </v>
      </c>
      <c r="I11" s="126" t="str">
        <f>Total!I13</f>
        <v>4.5 mm Progress</v>
      </c>
      <c r="J11" s="126" t="str">
        <f>Total!J13</f>
        <v>6 mm Metabolica</v>
      </c>
      <c r="K11" s="126" t="str">
        <f>Total!K13</f>
        <v>6 mm Progress</v>
      </c>
      <c r="L11" s="126" t="str">
        <f>Total!L13</f>
        <v>8 mm Progress</v>
      </c>
      <c r="M11" s="126" t="str">
        <f>Total!M13</f>
        <v>8 mm Reproductor</v>
      </c>
    </row>
    <row r="12" spans="1:14" ht="19.5" customHeight="1">
      <c r="A12" s="218" t="s">
        <v>73</v>
      </c>
      <c r="B12" s="7" t="s">
        <v>36</v>
      </c>
      <c r="C12" s="19" t="s">
        <v>146</v>
      </c>
      <c r="D12" s="8"/>
      <c r="E12" s="8"/>
      <c r="F12" s="8"/>
      <c r="G12" s="8">
        <f>Total!G15*25</f>
        <v>0</v>
      </c>
      <c r="H12" s="8">
        <f>Total!H15*25</f>
        <v>0</v>
      </c>
      <c r="I12" s="8">
        <f>Total!I15*25</f>
        <v>0</v>
      </c>
      <c r="J12" s="8">
        <f>Total!J15*25</f>
        <v>0</v>
      </c>
      <c r="K12" s="8">
        <f>Total!K15*25</f>
        <v>0</v>
      </c>
      <c r="L12" s="8">
        <f>Total!L15*25</f>
        <v>0</v>
      </c>
      <c r="M12" s="8">
        <f>Total!M15*25</f>
        <v>0</v>
      </c>
      <c r="N12" s="13" t="str">
        <f t="shared" ref="N12:N17" si="0">+B12</f>
        <v>SO1</v>
      </c>
    </row>
    <row r="13" spans="1:14" ht="19.5" customHeight="1">
      <c r="A13" s="218"/>
      <c r="B13" s="7" t="s">
        <v>37</v>
      </c>
      <c r="C13" s="19" t="s">
        <v>146</v>
      </c>
      <c r="D13" s="8"/>
      <c r="E13" s="8"/>
      <c r="F13" s="8"/>
      <c r="G13" s="8">
        <f>Total!G16*25</f>
        <v>0</v>
      </c>
      <c r="H13" s="8">
        <f>Total!H16*25</f>
        <v>0</v>
      </c>
      <c r="I13" s="8">
        <f>Total!I16*25</f>
        <v>0</v>
      </c>
      <c r="J13" s="8">
        <f>Total!J16*25</f>
        <v>0</v>
      </c>
      <c r="K13" s="8">
        <f>Total!K16*25</f>
        <v>0</v>
      </c>
      <c r="L13" s="8">
        <f>Total!L16*25</f>
        <v>0</v>
      </c>
      <c r="M13" s="8">
        <f>Total!M16*25</f>
        <v>0</v>
      </c>
      <c r="N13" s="13" t="str">
        <f t="shared" si="0"/>
        <v>SO2</v>
      </c>
    </row>
    <row r="14" spans="1:14" ht="19.5" customHeight="1" thickBot="1">
      <c r="A14" s="218"/>
      <c r="B14" s="7" t="s">
        <v>38</v>
      </c>
      <c r="C14" s="19" t="s">
        <v>146</v>
      </c>
      <c r="D14" s="8"/>
      <c r="E14" s="8"/>
      <c r="F14" s="8"/>
      <c r="G14" s="8">
        <f>Total!G17*25</f>
        <v>0</v>
      </c>
      <c r="H14" s="8">
        <f>Total!H17*25</f>
        <v>0</v>
      </c>
      <c r="I14" s="8">
        <f>Total!I17*25</f>
        <v>0</v>
      </c>
      <c r="J14" s="8">
        <f>Total!J17*25</f>
        <v>0</v>
      </c>
      <c r="K14" s="8">
        <f>Total!K17*25</f>
        <v>0</v>
      </c>
      <c r="L14" s="8">
        <f>Total!L17*25</f>
        <v>0</v>
      </c>
      <c r="M14" s="8">
        <f>Total!M17*25</f>
        <v>0</v>
      </c>
      <c r="N14" s="13" t="str">
        <f t="shared" si="0"/>
        <v>SO3</v>
      </c>
    </row>
    <row r="15" spans="1:14" ht="19.5" customHeight="1" thickTop="1" thickBot="1">
      <c r="A15" s="218"/>
      <c r="B15" s="7" t="s">
        <v>39</v>
      </c>
      <c r="C15" s="32" t="s">
        <v>146</v>
      </c>
      <c r="D15" s="8"/>
      <c r="E15" s="8"/>
      <c r="F15" s="8"/>
      <c r="G15" s="8">
        <f>Total!G18*25</f>
        <v>0</v>
      </c>
      <c r="H15" s="8">
        <f>Total!H18*25</f>
        <v>0</v>
      </c>
      <c r="I15" s="8">
        <f>Total!I18*25</f>
        <v>0</v>
      </c>
      <c r="J15" s="8">
        <f>Total!J18*25</f>
        <v>0</v>
      </c>
      <c r="K15" s="8">
        <f>Total!K18*25</f>
        <v>0</v>
      </c>
      <c r="L15" s="8">
        <f>Total!L18*25</f>
        <v>0</v>
      </c>
      <c r="M15" s="8">
        <f>Total!M18*25</f>
        <v>0</v>
      </c>
      <c r="N15" s="13" t="str">
        <f t="shared" si="0"/>
        <v>SO4</v>
      </c>
    </row>
    <row r="16" spans="1:14" ht="19.5" customHeight="1" thickTop="1">
      <c r="A16" s="218"/>
      <c r="B16" s="7" t="s">
        <v>40</v>
      </c>
      <c r="C16" s="32" t="s">
        <v>146</v>
      </c>
      <c r="D16" s="8"/>
      <c r="E16" s="8"/>
      <c r="F16" s="8"/>
      <c r="G16" s="8">
        <f>Total!G19*25</f>
        <v>0</v>
      </c>
      <c r="H16" s="8">
        <f>Total!H19*25</f>
        <v>0</v>
      </c>
      <c r="I16" s="8">
        <f>Total!I19*25</f>
        <v>0</v>
      </c>
      <c r="J16" s="8">
        <f>Total!J19*25</f>
        <v>0</v>
      </c>
      <c r="K16" s="8">
        <f>Total!K19*25</f>
        <v>0</v>
      </c>
      <c r="L16" s="8">
        <f>Total!L19*25</f>
        <v>0</v>
      </c>
      <c r="M16" s="8">
        <f>Total!M19*25</f>
        <v>0</v>
      </c>
      <c r="N16" s="13" t="str">
        <f t="shared" si="0"/>
        <v>SO5</v>
      </c>
    </row>
    <row r="17" spans="1:14" ht="19.5" customHeight="1" thickBot="1">
      <c r="A17" s="218"/>
      <c r="B17" s="7" t="s">
        <v>41</v>
      </c>
      <c r="C17" s="21" t="s">
        <v>146</v>
      </c>
      <c r="D17" s="8"/>
      <c r="E17" s="8"/>
      <c r="F17" s="8"/>
      <c r="G17" s="8">
        <f>Total!G20*25</f>
        <v>0</v>
      </c>
      <c r="H17" s="8">
        <f>Total!H20*25</f>
        <v>0</v>
      </c>
      <c r="I17" s="8">
        <f>Total!I20*25</f>
        <v>0</v>
      </c>
      <c r="J17" s="8">
        <f>Total!J20*25</f>
        <v>0</v>
      </c>
      <c r="K17" s="8">
        <f>Total!K20*25</f>
        <v>0</v>
      </c>
      <c r="L17" s="8">
        <f>Total!L20*25</f>
        <v>0</v>
      </c>
      <c r="M17" s="8">
        <f>Total!M20*25</f>
        <v>0</v>
      </c>
      <c r="N17" s="13" t="str">
        <f t="shared" si="0"/>
        <v>SO6</v>
      </c>
    </row>
    <row r="18" spans="1:14" ht="19.5" customHeight="1" thickTop="1">
      <c r="A18" s="218" t="s">
        <v>77</v>
      </c>
      <c r="B18" s="7" t="s">
        <v>42</v>
      </c>
      <c r="C18" s="24" t="s">
        <v>78</v>
      </c>
      <c r="D18" s="8"/>
      <c r="E18" s="8"/>
      <c r="F18" s="8"/>
      <c r="G18" s="8">
        <f>Total!G21*25</f>
        <v>0</v>
      </c>
      <c r="H18" s="8">
        <f>Total!H21*25</f>
        <v>0</v>
      </c>
      <c r="I18" s="8">
        <f>Total!I21*25</f>
        <v>0</v>
      </c>
      <c r="J18" s="8">
        <f>Total!J21*25</f>
        <v>0</v>
      </c>
      <c r="K18" s="8">
        <f>Total!K21*25</f>
        <v>0</v>
      </c>
      <c r="L18" s="8">
        <f>Total!L21*25</f>
        <v>0</v>
      </c>
      <c r="M18" s="8">
        <f>Total!M21*25</f>
        <v>0</v>
      </c>
      <c r="N18" s="13"/>
    </row>
    <row r="19" spans="1:14" ht="19.5" customHeight="1">
      <c r="A19" s="218"/>
      <c r="B19" s="7" t="s">
        <v>43</v>
      </c>
      <c r="C19" s="26" t="s">
        <v>146</v>
      </c>
      <c r="D19" s="8"/>
      <c r="E19" s="8"/>
      <c r="F19" s="8"/>
      <c r="G19" s="8">
        <f>Total!G22*25</f>
        <v>0</v>
      </c>
      <c r="H19" s="8">
        <f>Total!H22*25</f>
        <v>0</v>
      </c>
      <c r="I19" s="8">
        <f>Total!I22*25</f>
        <v>0</v>
      </c>
      <c r="J19" s="8">
        <f>Total!J22*25</f>
        <v>0</v>
      </c>
      <c r="K19" s="8">
        <f>Total!K22*25</f>
        <v>0</v>
      </c>
      <c r="L19" s="8">
        <f>Total!L22*25</f>
        <v>0</v>
      </c>
      <c r="M19" s="8">
        <f>Total!M22*25</f>
        <v>0</v>
      </c>
      <c r="N19" s="13"/>
    </row>
    <row r="20" spans="1:14" ht="19.5" customHeight="1">
      <c r="A20" s="218"/>
      <c r="B20" s="7" t="s">
        <v>44</v>
      </c>
      <c r="C20" s="19" t="s">
        <v>89</v>
      </c>
      <c r="D20" s="8"/>
      <c r="E20" s="8"/>
      <c r="F20" s="8"/>
      <c r="G20" s="8">
        <f>Total!G23*25</f>
        <v>275</v>
      </c>
      <c r="H20" s="8">
        <f>Total!H23*25</f>
        <v>0</v>
      </c>
      <c r="I20" s="8">
        <f>Total!I23*25</f>
        <v>25</v>
      </c>
      <c r="J20" s="8">
        <f>Total!J23*25</f>
        <v>0</v>
      </c>
      <c r="K20" s="8">
        <f>Total!K23*25</f>
        <v>0</v>
      </c>
      <c r="L20" s="8">
        <f>Total!L23*25</f>
        <v>0</v>
      </c>
      <c r="M20" s="8">
        <f>Total!M23*25</f>
        <v>0</v>
      </c>
      <c r="N20" s="13"/>
    </row>
    <row r="21" spans="1:14" ht="19.5" customHeight="1">
      <c r="A21" s="218"/>
      <c r="B21" s="7" t="s">
        <v>45</v>
      </c>
      <c r="C21" s="19" t="s">
        <v>88</v>
      </c>
      <c r="D21" s="8"/>
      <c r="E21" s="8"/>
      <c r="F21" s="8"/>
      <c r="G21" s="8">
        <f>Total!G24*25</f>
        <v>250</v>
      </c>
      <c r="H21" s="8">
        <f>Total!H24*25</f>
        <v>0</v>
      </c>
      <c r="I21" s="8">
        <f>Total!I24*25</f>
        <v>25</v>
      </c>
      <c r="J21" s="8">
        <f>Total!J24*25</f>
        <v>0</v>
      </c>
      <c r="K21" s="8">
        <f>Total!K24*25</f>
        <v>0</v>
      </c>
      <c r="L21" s="8">
        <f>Total!L24*25</f>
        <v>0</v>
      </c>
      <c r="M21" s="8">
        <f>Total!M24*25</f>
        <v>0</v>
      </c>
      <c r="N21" s="13"/>
    </row>
    <row r="22" spans="1:14" ht="19.5" customHeight="1">
      <c r="A22" s="218"/>
      <c r="B22" s="7" t="s">
        <v>46</v>
      </c>
      <c r="C22" s="27" t="s">
        <v>146</v>
      </c>
      <c r="D22" s="8"/>
      <c r="E22" s="8"/>
      <c r="F22" s="8"/>
      <c r="G22" s="8">
        <f>Total!G25*25</f>
        <v>0</v>
      </c>
      <c r="H22" s="8">
        <f>Total!H25*25</f>
        <v>0</v>
      </c>
      <c r="I22" s="8">
        <f>Total!I25*25</f>
        <v>0</v>
      </c>
      <c r="J22" s="8">
        <f>Total!J25*25</f>
        <v>0</v>
      </c>
      <c r="K22" s="8">
        <f>Total!K25*25</f>
        <v>0</v>
      </c>
      <c r="L22" s="8">
        <f>Total!L25*25</f>
        <v>0</v>
      </c>
      <c r="M22" s="8">
        <f>Total!M25*25</f>
        <v>0</v>
      </c>
      <c r="N22" s="13"/>
    </row>
    <row r="23" spans="1:14" ht="19.5" customHeight="1" thickBot="1">
      <c r="A23" s="218"/>
      <c r="B23" s="7" t="s">
        <v>47</v>
      </c>
      <c r="C23" s="21" t="s">
        <v>80</v>
      </c>
      <c r="D23" s="8"/>
      <c r="E23" s="8"/>
      <c r="F23" s="8"/>
      <c r="G23" s="8">
        <f>Total!G26*25</f>
        <v>0</v>
      </c>
      <c r="H23" s="8">
        <f>Total!H26*25</f>
        <v>0</v>
      </c>
      <c r="I23" s="8">
        <f>Total!I26*25</f>
        <v>0</v>
      </c>
      <c r="J23" s="8">
        <f>Total!J26*25</f>
        <v>0</v>
      </c>
      <c r="K23" s="8">
        <f>Total!K26*25</f>
        <v>0</v>
      </c>
      <c r="L23" s="8">
        <f>Total!L26*25</f>
        <v>0</v>
      </c>
      <c r="M23" s="8">
        <f>Total!M26*25</f>
        <v>0</v>
      </c>
      <c r="N23" s="13"/>
    </row>
    <row r="24" spans="1:14" ht="19.5" customHeight="1" thickTop="1">
      <c r="A24" s="218" t="s">
        <v>81</v>
      </c>
      <c r="B24" s="7" t="s">
        <v>48</v>
      </c>
      <c r="C24" s="28" t="s">
        <v>78</v>
      </c>
      <c r="D24" s="8"/>
      <c r="E24" s="8"/>
      <c r="F24" s="8"/>
      <c r="G24" s="8">
        <f>Total!G27*25</f>
        <v>0</v>
      </c>
      <c r="H24" s="8">
        <f>Total!H27*25</f>
        <v>0</v>
      </c>
      <c r="I24" s="8">
        <f>Total!I27*25</f>
        <v>75</v>
      </c>
      <c r="J24" s="8">
        <f>Total!J27*25</f>
        <v>0</v>
      </c>
      <c r="K24" s="8">
        <f>Total!K27*25</f>
        <v>500</v>
      </c>
      <c r="L24" s="8">
        <f>Total!L27*25</f>
        <v>0</v>
      </c>
      <c r="M24" s="8">
        <f>Total!M27*25</f>
        <v>0</v>
      </c>
      <c r="N24" s="13"/>
    </row>
    <row r="25" spans="1:14" ht="19.5" customHeight="1">
      <c r="A25" s="218"/>
      <c r="B25" s="7" t="s">
        <v>49</v>
      </c>
      <c r="C25" s="28" t="s">
        <v>147</v>
      </c>
      <c r="D25" s="8"/>
      <c r="E25" s="8"/>
      <c r="F25" s="8"/>
      <c r="G25" s="8">
        <f>Total!G28*25</f>
        <v>0</v>
      </c>
      <c r="H25" s="8">
        <f>Total!H28*25</f>
        <v>0</v>
      </c>
      <c r="I25" s="8">
        <f>Total!I28*25</f>
        <v>325</v>
      </c>
      <c r="J25" s="8">
        <f>Total!J28*25</f>
        <v>0</v>
      </c>
      <c r="K25" s="8">
        <f>Total!K28*25</f>
        <v>25</v>
      </c>
      <c r="L25" s="8">
        <f>Total!L28*25</f>
        <v>0</v>
      </c>
      <c r="M25" s="8">
        <f>Total!M28*25</f>
        <v>0</v>
      </c>
      <c r="N25" s="13"/>
    </row>
    <row r="26" spans="1:14" ht="19.5" customHeight="1">
      <c r="A26" s="218"/>
      <c r="B26" s="7" t="s">
        <v>50</v>
      </c>
      <c r="C26" s="28" t="s">
        <v>147</v>
      </c>
      <c r="D26" s="8"/>
      <c r="E26" s="8"/>
      <c r="F26" s="8"/>
      <c r="G26" s="8">
        <f>Total!G29*25</f>
        <v>0</v>
      </c>
      <c r="H26" s="8">
        <f>Total!H29*25</f>
        <v>0</v>
      </c>
      <c r="I26" s="8">
        <f>Total!I29*25</f>
        <v>325</v>
      </c>
      <c r="J26" s="8">
        <f>Total!J29*25</f>
        <v>0</v>
      </c>
      <c r="K26" s="8">
        <f>Total!K29*25</f>
        <v>0</v>
      </c>
      <c r="L26" s="8">
        <f>Total!L29*25</f>
        <v>0</v>
      </c>
      <c r="M26" s="8">
        <f>Total!M29*25</f>
        <v>0</v>
      </c>
      <c r="N26" s="13"/>
    </row>
    <row r="27" spans="1:14" ht="19.5" customHeight="1">
      <c r="A27" s="218"/>
      <c r="B27" s="7" t="s">
        <v>51</v>
      </c>
      <c r="C27" s="28" t="s">
        <v>148</v>
      </c>
      <c r="D27" s="8"/>
      <c r="E27" s="8"/>
      <c r="F27" s="8"/>
      <c r="G27" s="8">
        <f>Total!G30*25</f>
        <v>0</v>
      </c>
      <c r="H27" s="8">
        <f>Total!H30*25</f>
        <v>0</v>
      </c>
      <c r="I27" s="8">
        <f>Total!I30*25</f>
        <v>0</v>
      </c>
      <c r="J27" s="8">
        <f>Total!J30*25</f>
        <v>0</v>
      </c>
      <c r="K27" s="8">
        <f>Total!K30*25</f>
        <v>175</v>
      </c>
      <c r="L27" s="8">
        <f>Total!L30*25</f>
        <v>75</v>
      </c>
      <c r="M27" s="8">
        <f>Total!M30*25</f>
        <v>150</v>
      </c>
      <c r="N27" s="13"/>
    </row>
    <row r="28" spans="1:14" ht="19.5" customHeight="1">
      <c r="A28" s="218"/>
      <c r="B28" s="7" t="s">
        <v>52</v>
      </c>
      <c r="C28" s="28" t="s">
        <v>148</v>
      </c>
      <c r="D28" s="8"/>
      <c r="E28" s="8"/>
      <c r="F28" s="8"/>
      <c r="G28" s="8">
        <f>Total!G31*25</f>
        <v>0</v>
      </c>
      <c r="H28" s="8">
        <f>Total!H31*25</f>
        <v>0</v>
      </c>
      <c r="I28" s="8">
        <f>Total!I31*25</f>
        <v>0</v>
      </c>
      <c r="J28" s="8">
        <f>Total!J31*25</f>
        <v>0</v>
      </c>
      <c r="K28" s="8">
        <f>Total!K31*25</f>
        <v>225</v>
      </c>
      <c r="L28" s="8">
        <f>Total!L31*25</f>
        <v>125</v>
      </c>
      <c r="M28" s="8">
        <f>Total!M31*25</f>
        <v>225</v>
      </c>
      <c r="N28" s="13"/>
    </row>
    <row r="29" spans="1:14" ht="19.5" customHeight="1" thickBot="1">
      <c r="A29" s="218"/>
      <c r="B29" s="7" t="s">
        <v>53</v>
      </c>
      <c r="C29" s="28" t="s">
        <v>78</v>
      </c>
      <c r="D29" s="8"/>
      <c r="E29" s="8"/>
      <c r="F29" s="8"/>
      <c r="G29" s="8">
        <f>Total!G32*25</f>
        <v>0</v>
      </c>
      <c r="H29" s="8">
        <f>Total!H32*25</f>
        <v>0</v>
      </c>
      <c r="I29" s="8">
        <f>Total!I32*25</f>
        <v>50</v>
      </c>
      <c r="J29" s="8">
        <f>Total!J32*25</f>
        <v>0</v>
      </c>
      <c r="K29" s="8">
        <f>Total!K32*25</f>
        <v>75</v>
      </c>
      <c r="L29" s="8">
        <f>Total!L32*25</f>
        <v>75</v>
      </c>
      <c r="M29" s="8">
        <f>Total!M32*25</f>
        <v>0</v>
      </c>
      <c r="N29" s="13"/>
    </row>
    <row r="30" spans="1:14" ht="19.5" customHeight="1" thickTop="1" thickBot="1">
      <c r="A30" s="218" t="s">
        <v>82</v>
      </c>
      <c r="B30" s="7" t="s">
        <v>54</v>
      </c>
      <c r="C30" s="32" t="s">
        <v>146</v>
      </c>
      <c r="D30" s="8"/>
      <c r="E30" s="8"/>
      <c r="F30" s="8"/>
      <c r="G30" s="8">
        <f>Total!G33*25</f>
        <v>0</v>
      </c>
      <c r="H30" s="8">
        <f>Total!H33*25</f>
        <v>0</v>
      </c>
      <c r="I30" s="8">
        <f>Total!I33*25</f>
        <v>0</v>
      </c>
      <c r="J30" s="8">
        <f>Total!J33*25</f>
        <v>0</v>
      </c>
      <c r="K30" s="8">
        <f>Total!K33*25</f>
        <v>150</v>
      </c>
      <c r="L30" s="8">
        <f>Total!L33*25</f>
        <v>125</v>
      </c>
      <c r="M30" s="8">
        <f>Total!M33*25</f>
        <v>250</v>
      </c>
      <c r="N30" s="13"/>
    </row>
    <row r="31" spans="1:14" ht="19.5" customHeight="1" thickTop="1" thickBot="1">
      <c r="A31" s="218"/>
      <c r="B31" s="7" t="s">
        <v>55</v>
      </c>
      <c r="C31" s="32" t="s">
        <v>146</v>
      </c>
      <c r="D31" s="8"/>
      <c r="E31" s="8"/>
      <c r="F31" s="8"/>
      <c r="G31" s="8">
        <f>Total!G34*25</f>
        <v>0</v>
      </c>
      <c r="H31" s="8">
        <f>Total!H34*25</f>
        <v>0</v>
      </c>
      <c r="I31" s="8">
        <f>Total!I34*25</f>
        <v>0</v>
      </c>
      <c r="J31" s="8">
        <f>Total!J34*25</f>
        <v>0</v>
      </c>
      <c r="K31" s="8">
        <f>Total!K34*25</f>
        <v>225</v>
      </c>
      <c r="L31" s="8">
        <f>Total!L34*25</f>
        <v>175</v>
      </c>
      <c r="M31" s="8">
        <f>Total!M34*25</f>
        <v>325</v>
      </c>
      <c r="N31" s="13"/>
    </row>
    <row r="32" spans="1:14" ht="19.5" customHeight="1" thickTop="1" thickBot="1">
      <c r="A32" s="218"/>
      <c r="B32" s="7" t="s">
        <v>56</v>
      </c>
      <c r="C32" s="32" t="s">
        <v>146</v>
      </c>
      <c r="D32" s="8"/>
      <c r="E32" s="8"/>
      <c r="F32" s="8"/>
      <c r="G32" s="8">
        <f>Total!G35*25</f>
        <v>0</v>
      </c>
      <c r="H32" s="8">
        <f>Total!H35*25</f>
        <v>0</v>
      </c>
      <c r="I32" s="8">
        <f>Total!I35*25</f>
        <v>0</v>
      </c>
      <c r="J32" s="8">
        <f>Total!J35*25</f>
        <v>0</v>
      </c>
      <c r="K32" s="8">
        <f>Total!K35*25</f>
        <v>25</v>
      </c>
      <c r="L32" s="8">
        <f>Total!L35*25</f>
        <v>200</v>
      </c>
      <c r="M32" s="8">
        <f>Total!M35*25</f>
        <v>300</v>
      </c>
      <c r="N32" s="13"/>
    </row>
    <row r="33" spans="1:14" ht="19.5" customHeight="1" thickTop="1" thickBot="1">
      <c r="A33" s="218"/>
      <c r="B33" s="7" t="s">
        <v>57</v>
      </c>
      <c r="C33" s="32" t="s">
        <v>146</v>
      </c>
      <c r="D33" s="8"/>
      <c r="E33" s="8"/>
      <c r="F33" s="8"/>
      <c r="G33" s="8">
        <f>Total!G36*25</f>
        <v>0</v>
      </c>
      <c r="H33" s="8">
        <f>Total!H36*25</f>
        <v>0</v>
      </c>
      <c r="I33" s="8">
        <f>Total!I36*25</f>
        <v>0</v>
      </c>
      <c r="J33" s="8">
        <f>Total!J36*25</f>
        <v>0</v>
      </c>
      <c r="K33" s="8">
        <f>Total!K36*25</f>
        <v>25</v>
      </c>
      <c r="L33" s="8">
        <f>Total!L36*25</f>
        <v>200</v>
      </c>
      <c r="M33" s="8">
        <f>Total!M36*25</f>
        <v>400</v>
      </c>
      <c r="N33" s="13"/>
    </row>
    <row r="34" spans="1:14" ht="19.5" customHeight="1" thickTop="1" thickBot="1">
      <c r="A34" s="218"/>
      <c r="B34" s="7" t="s">
        <v>58</v>
      </c>
      <c r="C34" s="32" t="s">
        <v>146</v>
      </c>
      <c r="D34" s="8"/>
      <c r="E34" s="8"/>
      <c r="F34" s="8"/>
      <c r="G34" s="8">
        <f>Total!G37*25</f>
        <v>0</v>
      </c>
      <c r="H34" s="8">
        <f>Total!H37*25</f>
        <v>0</v>
      </c>
      <c r="I34" s="8">
        <f>Total!I37*25</f>
        <v>0</v>
      </c>
      <c r="J34" s="8">
        <f>Total!J37*25</f>
        <v>0</v>
      </c>
      <c r="K34" s="8">
        <f>Total!K37*25</f>
        <v>25</v>
      </c>
      <c r="L34" s="8">
        <f>Total!L37*25</f>
        <v>125</v>
      </c>
      <c r="M34" s="8">
        <f>Total!M37*25</f>
        <v>225</v>
      </c>
      <c r="N34" s="13"/>
    </row>
    <row r="35" spans="1:14" ht="19.5" customHeight="1" thickTop="1" thickBot="1">
      <c r="A35" s="218"/>
      <c r="B35" s="7" t="s">
        <v>59</v>
      </c>
      <c r="C35" s="32" t="s">
        <v>146</v>
      </c>
      <c r="D35" s="8"/>
      <c r="E35" s="8"/>
      <c r="F35" s="8"/>
      <c r="G35" s="8">
        <f>Total!G38*25</f>
        <v>0</v>
      </c>
      <c r="H35" s="8">
        <f>Total!H38*25</f>
        <v>0</v>
      </c>
      <c r="I35" s="8">
        <f>Total!I38*25</f>
        <v>0</v>
      </c>
      <c r="J35" s="8">
        <f>Total!J38*25</f>
        <v>0</v>
      </c>
      <c r="K35" s="8">
        <f>Total!K38*25</f>
        <v>25</v>
      </c>
      <c r="L35" s="8">
        <f>Total!L38*25</f>
        <v>125</v>
      </c>
      <c r="M35" s="8">
        <f>Total!M38*25</f>
        <v>275</v>
      </c>
      <c r="N35" s="13"/>
    </row>
    <row r="36" spans="1:14" ht="19.5" customHeight="1" thickTop="1" thickBot="1">
      <c r="A36" s="218" t="s">
        <v>83</v>
      </c>
      <c r="B36" s="7" t="s">
        <v>60</v>
      </c>
      <c r="C36" s="32" t="s">
        <v>146</v>
      </c>
      <c r="D36" s="8"/>
      <c r="E36" s="8"/>
      <c r="F36" s="8"/>
      <c r="G36" s="8">
        <f>Total!G39*25</f>
        <v>0</v>
      </c>
      <c r="H36" s="8">
        <f>Total!H39*25</f>
        <v>0</v>
      </c>
      <c r="I36" s="8">
        <f>Total!I39*25</f>
        <v>0</v>
      </c>
      <c r="J36" s="8">
        <f>Total!J39*25</f>
        <v>0</v>
      </c>
      <c r="K36" s="8">
        <f>Total!K39*25</f>
        <v>0</v>
      </c>
      <c r="L36" s="8">
        <f>Total!L39*25</f>
        <v>200</v>
      </c>
      <c r="M36" s="8">
        <f>Total!M39*25</f>
        <v>300</v>
      </c>
      <c r="N36" s="13"/>
    </row>
    <row r="37" spans="1:14" ht="19.5" customHeight="1" thickTop="1" thickBot="1">
      <c r="A37" s="218"/>
      <c r="B37" s="7" t="s">
        <v>61</v>
      </c>
      <c r="C37" s="32" t="s">
        <v>146</v>
      </c>
      <c r="D37" s="8"/>
      <c r="E37" s="8"/>
      <c r="F37" s="8"/>
      <c r="G37" s="8">
        <f>Total!G40*25</f>
        <v>0</v>
      </c>
      <c r="H37" s="8">
        <f>Total!H40*25</f>
        <v>0</v>
      </c>
      <c r="I37" s="8">
        <f>Total!I40*25</f>
        <v>0</v>
      </c>
      <c r="J37" s="8">
        <f>Total!J40*25</f>
        <v>0</v>
      </c>
      <c r="K37" s="8">
        <f>Total!K40*25</f>
        <v>0</v>
      </c>
      <c r="L37" s="8">
        <f>Total!L40*25</f>
        <v>200</v>
      </c>
      <c r="M37" s="8">
        <f>Total!M40*25</f>
        <v>225</v>
      </c>
      <c r="N37" s="13"/>
    </row>
    <row r="38" spans="1:14" ht="19.5" customHeight="1" thickTop="1" thickBot="1">
      <c r="A38" s="218"/>
      <c r="B38" s="7" t="s">
        <v>62</v>
      </c>
      <c r="C38" s="32" t="s">
        <v>146</v>
      </c>
      <c r="D38" s="8"/>
      <c r="E38" s="8"/>
      <c r="F38" s="8"/>
      <c r="G38" s="8">
        <f>Total!G41*25</f>
        <v>0</v>
      </c>
      <c r="H38" s="8">
        <f>Total!H41*25</f>
        <v>0</v>
      </c>
      <c r="I38" s="8">
        <f>Total!I41*25</f>
        <v>0</v>
      </c>
      <c r="J38" s="8">
        <f>Total!J41*25</f>
        <v>0</v>
      </c>
      <c r="K38" s="8">
        <f>Total!K41*25</f>
        <v>0</v>
      </c>
      <c r="L38" s="8">
        <f>Total!L41*25</f>
        <v>100</v>
      </c>
      <c r="M38" s="8">
        <f>Total!M41*25</f>
        <v>250</v>
      </c>
      <c r="N38" s="13"/>
    </row>
    <row r="39" spans="1:14" ht="19.5" customHeight="1" thickTop="1" thickBot="1">
      <c r="A39" s="218"/>
      <c r="B39" s="7" t="s">
        <v>63</v>
      </c>
      <c r="C39" s="32" t="s">
        <v>146</v>
      </c>
      <c r="D39" s="8"/>
      <c r="E39" s="8"/>
      <c r="F39" s="8"/>
      <c r="G39" s="8">
        <f>Total!G42*25</f>
        <v>0</v>
      </c>
      <c r="H39" s="8">
        <f>Total!H42*25</f>
        <v>0</v>
      </c>
      <c r="I39" s="8">
        <f>Total!I42*25</f>
        <v>0</v>
      </c>
      <c r="J39" s="8">
        <f>Total!J42*25</f>
        <v>0</v>
      </c>
      <c r="K39" s="8">
        <f>Total!K42*25</f>
        <v>0</v>
      </c>
      <c r="L39" s="8">
        <f>Total!L42*25</f>
        <v>100</v>
      </c>
      <c r="M39" s="8">
        <f>Total!M42*25</f>
        <v>225</v>
      </c>
      <c r="N39" s="13"/>
    </row>
    <row r="40" spans="1:14" ht="19.5" customHeight="1" thickTop="1" thickBot="1">
      <c r="A40" s="218"/>
      <c r="B40" s="7" t="s">
        <v>64</v>
      </c>
      <c r="C40" s="32" t="s">
        <v>146</v>
      </c>
      <c r="D40" s="8"/>
      <c r="E40" s="8"/>
      <c r="F40" s="8"/>
      <c r="G40" s="8">
        <f>Total!G43*25</f>
        <v>0</v>
      </c>
      <c r="H40" s="8">
        <f>Total!H43*25</f>
        <v>0</v>
      </c>
      <c r="I40" s="8">
        <f>Total!I43*25</f>
        <v>0</v>
      </c>
      <c r="J40" s="8">
        <f>Total!J43*25</f>
        <v>0</v>
      </c>
      <c r="K40" s="8">
        <f>Total!K43*25</f>
        <v>0</v>
      </c>
      <c r="L40" s="8">
        <f>Total!L43*25</f>
        <v>75</v>
      </c>
      <c r="M40" s="8">
        <f>Total!M43*25</f>
        <v>175</v>
      </c>
      <c r="N40" s="13"/>
    </row>
    <row r="41" spans="1:14" ht="19.5" customHeight="1" thickTop="1">
      <c r="A41" s="218"/>
      <c r="B41" s="7" t="s">
        <v>65</v>
      </c>
      <c r="C41" s="32" t="s">
        <v>146</v>
      </c>
      <c r="D41" s="8"/>
      <c r="E41" s="8"/>
      <c r="F41" s="8"/>
      <c r="G41" s="8">
        <f>Total!G44*25</f>
        <v>0</v>
      </c>
      <c r="H41" s="8">
        <f>Total!H44*25</f>
        <v>0</v>
      </c>
      <c r="I41" s="8">
        <f>Total!I44*25</f>
        <v>0</v>
      </c>
      <c r="J41" s="8">
        <f>Total!J44*25</f>
        <v>0</v>
      </c>
      <c r="K41" s="8">
        <f>Total!K44*25</f>
        <v>0</v>
      </c>
      <c r="L41" s="8">
        <f>Total!L44*25</f>
        <v>0</v>
      </c>
      <c r="M41" s="8">
        <f>Total!M44*25</f>
        <v>25</v>
      </c>
      <c r="N41" s="13"/>
    </row>
    <row r="42" spans="1:14" ht="19.5" customHeight="1">
      <c r="A42" s="218" t="s">
        <v>84</v>
      </c>
      <c r="B42" s="7" t="s">
        <v>66</v>
      </c>
      <c r="C42" s="24" t="s">
        <v>85</v>
      </c>
      <c r="D42" s="8"/>
      <c r="E42" s="8"/>
      <c r="F42" s="8"/>
      <c r="G42" s="8">
        <f>Total!G45*25</f>
        <v>0</v>
      </c>
      <c r="H42" s="8">
        <f>Total!H45*25</f>
        <v>0</v>
      </c>
      <c r="I42" s="8">
        <f>Total!I45*25</f>
        <v>0</v>
      </c>
      <c r="J42" s="8">
        <f>Total!J45*25</f>
        <v>0</v>
      </c>
      <c r="K42" s="8">
        <f>Total!K45*25</f>
        <v>0</v>
      </c>
      <c r="L42" s="8">
        <f>Total!L45*25</f>
        <v>75</v>
      </c>
      <c r="M42" s="8">
        <f>Total!M45*25</f>
        <v>150</v>
      </c>
      <c r="N42" s="13" t="str">
        <f>+B42</f>
        <v>C1</v>
      </c>
    </row>
    <row r="43" spans="1:14" ht="19.5" customHeight="1" thickBot="1">
      <c r="A43" s="218"/>
      <c r="B43" s="7" t="s">
        <v>67</v>
      </c>
      <c r="C43" s="19" t="s">
        <v>85</v>
      </c>
      <c r="D43" s="8"/>
      <c r="E43" s="8"/>
      <c r="F43" s="8"/>
      <c r="G43" s="8">
        <f>Total!G46*25</f>
        <v>0</v>
      </c>
      <c r="H43" s="8">
        <f>Total!H46*25</f>
        <v>0</v>
      </c>
      <c r="I43" s="8">
        <f>Total!I46*25</f>
        <v>0</v>
      </c>
      <c r="J43" s="8">
        <f>Total!J46*25</f>
        <v>0</v>
      </c>
      <c r="K43" s="8">
        <f>Total!K46*25</f>
        <v>0</v>
      </c>
      <c r="L43" s="8">
        <f>Total!L46*25</f>
        <v>0</v>
      </c>
      <c r="M43" s="8">
        <f>Total!M46*25</f>
        <v>0</v>
      </c>
      <c r="N43" s="13" t="str">
        <f>+B43</f>
        <v>C2</v>
      </c>
    </row>
    <row r="44" spans="1:14" ht="19.5" customHeight="1" thickTop="1" thickBot="1">
      <c r="A44" s="218"/>
      <c r="B44" s="7" t="s">
        <v>68</v>
      </c>
      <c r="C44" s="32" t="s">
        <v>146</v>
      </c>
      <c r="D44" s="8"/>
      <c r="E44" s="8"/>
      <c r="F44" s="8"/>
      <c r="G44" s="8">
        <f>Total!G47*25</f>
        <v>0</v>
      </c>
      <c r="H44" s="8">
        <f>Total!H47*25</f>
        <v>0</v>
      </c>
      <c r="I44" s="8">
        <f>Total!I47*25</f>
        <v>0</v>
      </c>
      <c r="J44" s="8">
        <f>Total!J47*25</f>
        <v>0</v>
      </c>
      <c r="K44" s="8">
        <f>Total!K47*25</f>
        <v>0</v>
      </c>
      <c r="L44" s="8">
        <f>Total!L47*25</f>
        <v>75</v>
      </c>
      <c r="M44" s="8">
        <f>Total!M47*25</f>
        <v>150</v>
      </c>
      <c r="N44" s="13" t="str">
        <f>+B44</f>
        <v>C3</v>
      </c>
    </row>
    <row r="45" spans="1:14" ht="19.5" customHeight="1" thickTop="1">
      <c r="A45" s="218"/>
      <c r="B45" s="7" t="s">
        <v>69</v>
      </c>
      <c r="C45" s="32" t="s">
        <v>146</v>
      </c>
      <c r="D45" s="8"/>
      <c r="E45" s="8"/>
      <c r="F45" s="8"/>
      <c r="G45" s="8">
        <f>Total!G48*25</f>
        <v>0</v>
      </c>
      <c r="H45" s="8">
        <f>Total!H48*25</f>
        <v>0</v>
      </c>
      <c r="I45" s="8">
        <f>Total!I48*25</f>
        <v>0</v>
      </c>
      <c r="J45" s="8">
        <f>Total!J48*25</f>
        <v>0</v>
      </c>
      <c r="K45" s="8">
        <f>Total!K48*25</f>
        <v>0</v>
      </c>
      <c r="L45" s="8">
        <f>Total!L48*25</f>
        <v>125</v>
      </c>
      <c r="M45" s="8">
        <f>Total!M48*25</f>
        <v>150</v>
      </c>
      <c r="N45" s="13" t="str">
        <f>+B45</f>
        <v>C4</v>
      </c>
    </row>
    <row r="46" spans="1:14" ht="19.5" customHeight="1">
      <c r="A46" s="9" t="s">
        <v>128</v>
      </c>
      <c r="B46" s="7" t="s">
        <v>129</v>
      </c>
      <c r="C46" s="7" t="s">
        <v>144</v>
      </c>
      <c r="D46" s="8"/>
      <c r="E46" s="8"/>
      <c r="F46" s="8"/>
      <c r="G46" s="8">
        <f>Total!G49*25</f>
        <v>200</v>
      </c>
      <c r="H46" s="8">
        <f>Total!H49*25</f>
        <v>0</v>
      </c>
      <c r="I46" s="8">
        <f>Total!I49*25</f>
        <v>225</v>
      </c>
      <c r="J46" s="8">
        <f>Total!J49*25</f>
        <v>0</v>
      </c>
      <c r="K46" s="8">
        <f>Total!K49*25</f>
        <v>0</v>
      </c>
      <c r="L46" s="8">
        <f>Total!L49*25</f>
        <v>0</v>
      </c>
      <c r="M46" s="8">
        <f>Total!M49*25</f>
        <v>0</v>
      </c>
      <c r="N46" s="13" t="str">
        <f>+B46</f>
        <v>C6</v>
      </c>
    </row>
    <row r="47" spans="1:14" ht="19.5" customHeight="1">
      <c r="A47" s="9" t="s">
        <v>87</v>
      </c>
      <c r="B47" s="158"/>
      <c r="C47" s="158"/>
      <c r="D47" s="8"/>
      <c r="E47" s="8"/>
      <c r="F47" s="8"/>
      <c r="G47" s="8">
        <f>Total!G50*25</f>
        <v>0</v>
      </c>
      <c r="H47" s="8">
        <f>Total!H50*25</f>
        <v>0</v>
      </c>
      <c r="I47" s="8">
        <f>Total!I50*25</f>
        <v>0</v>
      </c>
      <c r="J47" s="8">
        <f>Total!J50*25</f>
        <v>0</v>
      </c>
      <c r="K47" s="8">
        <f>Total!K50*25</f>
        <v>0</v>
      </c>
      <c r="L47" s="8">
        <f>Total!L50*25</f>
        <v>0</v>
      </c>
      <c r="M47" s="8">
        <f>Total!M50*25</f>
        <v>0</v>
      </c>
    </row>
    <row r="48" spans="1:14" ht="19.5" customHeight="1">
      <c r="A48" s="9" t="s">
        <v>90</v>
      </c>
      <c r="B48" s="157" t="s">
        <v>143</v>
      </c>
      <c r="C48" s="157" t="s">
        <v>143</v>
      </c>
      <c r="D48" s="8">
        <v>20</v>
      </c>
      <c r="E48" s="8">
        <v>20</v>
      </c>
      <c r="F48" s="8">
        <v>560</v>
      </c>
      <c r="G48" s="8">
        <v>150</v>
      </c>
      <c r="H48" s="8">
        <v>0</v>
      </c>
      <c r="I48" s="8">
        <v>0</v>
      </c>
      <c r="J48" s="8">
        <f>Total!J51*25</f>
        <v>0</v>
      </c>
      <c r="K48" s="8">
        <f>Total!K51*25</f>
        <v>0</v>
      </c>
      <c r="L48" s="8">
        <f>Total!L51*25</f>
        <v>0</v>
      </c>
      <c r="M48" s="8">
        <f>Total!M51*25</f>
        <v>0</v>
      </c>
    </row>
    <row r="49" spans="1:26" s="1" customFormat="1" ht="3" customHeight="1">
      <c r="A49" s="10"/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s="1" customFormat="1" ht="23.25" customHeight="1">
      <c r="A50" s="10"/>
      <c r="B50" s="10"/>
      <c r="C50" s="10"/>
      <c r="D50" s="11"/>
      <c r="E50" s="11"/>
      <c r="F50" s="11"/>
      <c r="G50" s="11"/>
      <c r="H50" s="221" t="s">
        <v>107</v>
      </c>
      <c r="I50" s="221"/>
      <c r="J50" s="222">
        <f>SUM(D51:M51)</f>
        <v>9975</v>
      </c>
      <c r="K50" s="222"/>
      <c r="L50" s="222"/>
      <c r="M50" s="222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s="1" customFormat="1" ht="24" customHeight="1">
      <c r="A51" s="223" t="s">
        <v>108</v>
      </c>
      <c r="B51" s="223"/>
      <c r="C51" s="223"/>
      <c r="D51" s="8">
        <f>SUM(D12:D48)</f>
        <v>20</v>
      </c>
      <c r="E51" s="8">
        <f t="shared" ref="E51:M51" si="1">SUM(E12:E48)</f>
        <v>20</v>
      </c>
      <c r="F51" s="8">
        <f t="shared" si="1"/>
        <v>560</v>
      </c>
      <c r="G51" s="8">
        <f t="shared" si="1"/>
        <v>875</v>
      </c>
      <c r="H51" s="8">
        <f t="shared" si="1"/>
        <v>0</v>
      </c>
      <c r="I51" s="8">
        <f t="shared" si="1"/>
        <v>1050</v>
      </c>
      <c r="J51" s="8">
        <f t="shared" si="1"/>
        <v>0</v>
      </c>
      <c r="K51" s="8">
        <f t="shared" si="1"/>
        <v>1475</v>
      </c>
      <c r="L51" s="8">
        <f t="shared" si="1"/>
        <v>2175</v>
      </c>
      <c r="M51" s="8">
        <f t="shared" si="1"/>
        <v>3800</v>
      </c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s="1" customFormat="1" ht="24" customHeight="1">
      <c r="A52" s="223" t="s">
        <v>109</v>
      </c>
      <c r="B52" s="223"/>
      <c r="C52" s="223"/>
      <c r="D52" s="8">
        <v>20</v>
      </c>
      <c r="E52" s="8">
        <v>20</v>
      </c>
      <c r="F52" s="8">
        <v>560</v>
      </c>
      <c r="G52" s="8">
        <v>3350</v>
      </c>
      <c r="H52" s="8">
        <v>0</v>
      </c>
      <c r="I52" s="8">
        <v>3400</v>
      </c>
      <c r="J52" s="8">
        <v>0</v>
      </c>
      <c r="K52" s="8">
        <v>9550</v>
      </c>
      <c r="L52" s="8">
        <v>5000</v>
      </c>
      <c r="M52" s="8">
        <v>10400</v>
      </c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s="1" customFormat="1" ht="24" customHeight="1">
      <c r="A53" s="223" t="s">
        <v>110</v>
      </c>
      <c r="B53" s="223"/>
      <c r="C53" s="223"/>
      <c r="D53" s="8">
        <v>0</v>
      </c>
      <c r="E53" s="8"/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s="1" customFormat="1" ht="24" customHeight="1">
      <c r="A54" s="224" t="s">
        <v>111</v>
      </c>
      <c r="B54" s="224"/>
      <c r="C54" s="224"/>
      <c r="D54" s="155">
        <f>(D52+D53)-D51</f>
        <v>0</v>
      </c>
      <c r="E54" s="155">
        <f t="shared" ref="E54:F54" si="2">(E52+E53)-E51</f>
        <v>0</v>
      </c>
      <c r="F54" s="155">
        <f t="shared" si="2"/>
        <v>0</v>
      </c>
      <c r="G54" s="155">
        <f t="shared" ref="G54" si="3">(G52+G53)-G51</f>
        <v>2475</v>
      </c>
      <c r="H54" s="155">
        <f t="shared" ref="H54:I54" si="4">(H52+H53)-H51</f>
        <v>0</v>
      </c>
      <c r="I54" s="155">
        <f t="shared" si="4"/>
        <v>2350</v>
      </c>
      <c r="J54" s="155">
        <f t="shared" ref="J54" si="5">(J52+J53)-J51</f>
        <v>0</v>
      </c>
      <c r="K54" s="155">
        <f t="shared" ref="K54:L54" si="6">(K52+K53)-K51</f>
        <v>8075</v>
      </c>
      <c r="L54" s="155">
        <f t="shared" si="6"/>
        <v>2825</v>
      </c>
      <c r="M54" s="155">
        <f t="shared" ref="M54" si="7">(M52+M53)-M51</f>
        <v>6600</v>
      </c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s="1" customFormat="1" ht="21.75" customHeight="1">
      <c r="A55" s="11"/>
      <c r="B55" s="11"/>
      <c r="C55" s="11"/>
      <c r="D55" s="11"/>
      <c r="E55" s="11"/>
      <c r="F55" s="11"/>
      <c r="G55" s="11"/>
      <c r="H55" s="219" t="s">
        <v>112</v>
      </c>
      <c r="I55" s="219"/>
      <c r="J55" s="219">
        <f>SUM(D54:M54)</f>
        <v>22325</v>
      </c>
      <c r="K55" s="219"/>
      <c r="L55" s="219"/>
      <c r="M55" s="219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s="1" customFormat="1" ht="3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s="1" customFormat="1" ht="12" customHeight="1">
      <c r="A57" s="220"/>
      <c r="B57" s="220"/>
      <c r="C57" s="220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s="1" customFormat="1" ht="5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5" spans="6:6">
      <c r="F65" t="s">
        <v>114</v>
      </c>
    </row>
  </sheetData>
  <mergeCells count="28">
    <mergeCell ref="J1:M4"/>
    <mergeCell ref="D3:I5"/>
    <mergeCell ref="B6:C6"/>
    <mergeCell ref="B7:C7"/>
    <mergeCell ref="J5:M7"/>
    <mergeCell ref="D6:I7"/>
    <mergeCell ref="B1:C1"/>
    <mergeCell ref="B2:C2"/>
    <mergeCell ref="B3:C3"/>
    <mergeCell ref="B4:C4"/>
    <mergeCell ref="B5:C5"/>
    <mergeCell ref="D1:I2"/>
    <mergeCell ref="A36:A41"/>
    <mergeCell ref="A42:A45"/>
    <mergeCell ref="H55:I55"/>
    <mergeCell ref="J55:M55"/>
    <mergeCell ref="A57:M57"/>
    <mergeCell ref="H50:I50"/>
    <mergeCell ref="J50:M50"/>
    <mergeCell ref="A51:C51"/>
    <mergeCell ref="A52:C52"/>
    <mergeCell ref="A53:C53"/>
    <mergeCell ref="A54:C54"/>
    <mergeCell ref="A9:M9"/>
    <mergeCell ref="A12:A17"/>
    <mergeCell ref="A18:A23"/>
    <mergeCell ref="A24:A29"/>
    <mergeCell ref="A30:A35"/>
  </mergeCells>
  <pageMargins left="0.19791666666666699" right="0.17708333333333301" top="0.124583333333333" bottom="0.14583333333333301" header="0.3" footer="0.3"/>
  <pageSetup paperSize="121" scale="91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1D81F-37E3-4B1C-8D1F-05C8D1D5FB7C}">
  <dimension ref="B2:AK8"/>
  <sheetViews>
    <sheetView workbookViewId="0">
      <selection activeCell="F19" sqref="F19"/>
    </sheetView>
  </sheetViews>
  <sheetFormatPr baseColWidth="10" defaultRowHeight="15"/>
  <sheetData>
    <row r="2" spans="2:37">
      <c r="B2" s="63"/>
      <c r="C2" s="64"/>
      <c r="D2" s="64"/>
      <c r="E2" s="64"/>
      <c r="F2" s="64"/>
      <c r="G2" s="65"/>
      <c r="H2" s="83"/>
      <c r="I2" s="64"/>
      <c r="J2" s="64"/>
      <c r="K2" s="64"/>
      <c r="L2" s="64"/>
      <c r="M2" s="84"/>
      <c r="N2" s="83"/>
      <c r="O2" s="64"/>
      <c r="P2" s="64"/>
      <c r="Q2" s="64"/>
      <c r="R2" s="64"/>
      <c r="S2" s="84"/>
      <c r="T2" s="83"/>
      <c r="U2" s="64"/>
      <c r="V2" s="64"/>
      <c r="W2" s="64"/>
      <c r="X2" s="64"/>
      <c r="Y2" s="84"/>
      <c r="Z2" s="83"/>
      <c r="AA2" s="64"/>
      <c r="AB2" s="64"/>
      <c r="AC2" s="64"/>
      <c r="AD2" s="64"/>
      <c r="AE2" s="84"/>
      <c r="AF2" s="83"/>
      <c r="AG2" s="64"/>
      <c r="AH2" s="64"/>
      <c r="AI2" s="65"/>
      <c r="AJ2" s="94"/>
      <c r="AK2" s="95"/>
    </row>
    <row r="3" spans="2:37">
      <c r="B3" s="63"/>
      <c r="C3" s="64"/>
      <c r="D3" s="64"/>
      <c r="E3" s="64"/>
      <c r="F3" s="64"/>
      <c r="G3" s="65"/>
      <c r="H3" s="83"/>
      <c r="I3" s="64"/>
      <c r="J3" s="64"/>
      <c r="K3" s="64"/>
      <c r="L3" s="64"/>
      <c r="M3" s="84"/>
      <c r="N3" s="83"/>
      <c r="O3" s="64"/>
      <c r="P3" s="64"/>
      <c r="Q3" s="64"/>
      <c r="R3" s="64"/>
      <c r="S3" s="84"/>
      <c r="T3" s="83"/>
      <c r="U3" s="64"/>
      <c r="V3" s="64"/>
      <c r="W3" s="64"/>
      <c r="X3" s="64"/>
      <c r="Y3" s="84"/>
      <c r="Z3" s="83"/>
      <c r="AA3" s="64"/>
      <c r="AB3" s="64"/>
      <c r="AC3" s="64"/>
      <c r="AD3" s="64"/>
      <c r="AE3" s="84"/>
      <c r="AF3" s="83"/>
      <c r="AG3" s="64"/>
      <c r="AH3" s="64"/>
      <c r="AI3" s="65"/>
      <c r="AJ3" s="94"/>
      <c r="AK3" s="95"/>
    </row>
    <row r="4" spans="2:37">
      <c r="B4" s="63"/>
      <c r="C4" s="64"/>
      <c r="D4" s="64"/>
      <c r="E4" s="64"/>
      <c r="F4" s="64"/>
      <c r="G4" s="65"/>
      <c r="H4" s="83"/>
      <c r="I4" s="64"/>
      <c r="J4" s="64"/>
      <c r="K4" s="64"/>
      <c r="L4" s="64"/>
      <c r="M4" s="84"/>
      <c r="N4" s="83"/>
      <c r="O4" s="64"/>
      <c r="P4" s="64"/>
      <c r="Q4" s="64"/>
      <c r="R4" s="64"/>
      <c r="S4" s="84"/>
      <c r="T4" s="83"/>
      <c r="U4" s="64"/>
      <c r="V4" s="64"/>
      <c r="W4" s="64"/>
      <c r="X4" s="64"/>
      <c r="Y4" s="84"/>
      <c r="Z4" s="83"/>
      <c r="AA4" s="64"/>
      <c r="AB4" s="64"/>
      <c r="AC4" s="64"/>
      <c r="AD4" s="64"/>
      <c r="AE4" s="84"/>
      <c r="AF4" s="83"/>
      <c r="AG4" s="64"/>
      <c r="AH4" s="64"/>
      <c r="AI4" s="65"/>
      <c r="AJ4" s="94"/>
      <c r="AK4" s="95"/>
    </row>
    <row r="5" spans="2:37">
      <c r="B5" s="63"/>
      <c r="C5" s="64"/>
      <c r="D5" s="64"/>
      <c r="E5" s="64"/>
      <c r="F5" s="64"/>
      <c r="G5" s="65"/>
      <c r="H5" s="83"/>
      <c r="I5" s="64"/>
      <c r="J5" s="64"/>
      <c r="K5" s="64"/>
      <c r="L5" s="64"/>
      <c r="M5" s="84"/>
      <c r="N5" s="83"/>
      <c r="O5" s="64"/>
      <c r="P5" s="64"/>
      <c r="Q5" s="64"/>
      <c r="R5" s="64"/>
      <c r="S5" s="84"/>
      <c r="T5" s="83"/>
      <c r="U5" s="64"/>
      <c r="V5" s="64"/>
      <c r="W5" s="64"/>
      <c r="X5" s="64"/>
      <c r="Y5" s="84"/>
      <c r="Z5" s="83"/>
      <c r="AA5" s="64"/>
      <c r="AB5" s="64"/>
      <c r="AC5" s="64"/>
      <c r="AD5" s="64"/>
      <c r="AE5" s="84"/>
      <c r="AF5" s="83"/>
      <c r="AG5" s="64"/>
      <c r="AH5" s="64"/>
      <c r="AI5" s="65"/>
      <c r="AJ5" s="94"/>
      <c r="AK5" s="95"/>
    </row>
    <row r="6" spans="2:37">
      <c r="B6" s="63"/>
      <c r="C6" s="64"/>
      <c r="D6" s="64"/>
      <c r="E6" s="64"/>
      <c r="F6" s="64"/>
      <c r="G6" s="65"/>
      <c r="H6" s="83"/>
      <c r="I6" s="64"/>
      <c r="J6" s="64"/>
      <c r="K6" s="64"/>
      <c r="L6" s="64"/>
      <c r="M6" s="84"/>
      <c r="N6" s="83"/>
      <c r="O6" s="64"/>
      <c r="P6" s="64"/>
      <c r="Q6" s="64"/>
      <c r="R6" s="64"/>
      <c r="S6" s="84"/>
      <c r="T6" s="83"/>
      <c r="U6" s="64"/>
      <c r="V6" s="64"/>
      <c r="W6" s="64"/>
      <c r="X6" s="64"/>
      <c r="Y6" s="84"/>
      <c r="Z6" s="83"/>
      <c r="AA6" s="64"/>
      <c r="AB6" s="64"/>
      <c r="AC6" s="64"/>
      <c r="AD6" s="64"/>
      <c r="AE6" s="84"/>
      <c r="AF6" s="83"/>
      <c r="AG6" s="64"/>
      <c r="AH6" s="64"/>
      <c r="AI6" s="65"/>
      <c r="AJ6" s="94"/>
      <c r="AK6" s="95"/>
    </row>
    <row r="7" spans="2:37">
      <c r="B7" s="63"/>
      <c r="C7" s="64"/>
      <c r="D7" s="64"/>
      <c r="E7" s="64"/>
      <c r="F7" s="64"/>
      <c r="G7" s="65"/>
      <c r="H7" s="83"/>
      <c r="I7" s="64"/>
      <c r="J7" s="64"/>
      <c r="K7" s="64"/>
      <c r="L7" s="64"/>
      <c r="M7" s="84"/>
      <c r="N7" s="83"/>
      <c r="O7" s="64"/>
      <c r="P7" s="64"/>
      <c r="Q7" s="64"/>
      <c r="R7" s="64"/>
      <c r="S7" s="84"/>
      <c r="T7" s="83"/>
      <c r="U7" s="64"/>
      <c r="V7" s="64"/>
      <c r="W7" s="64"/>
      <c r="X7" s="64"/>
      <c r="Y7" s="84"/>
      <c r="Z7" s="83"/>
      <c r="AA7" s="64"/>
      <c r="AB7" s="64"/>
      <c r="AC7" s="64"/>
      <c r="AD7" s="64"/>
      <c r="AE7" s="84"/>
      <c r="AF7" s="83"/>
      <c r="AG7" s="64"/>
      <c r="AH7" s="64"/>
      <c r="AI7" s="65"/>
      <c r="AJ7" s="94"/>
      <c r="AK7" s="95"/>
    </row>
    <row r="8" spans="2:37">
      <c r="B8" s="63"/>
      <c r="C8" s="64"/>
      <c r="D8" s="64"/>
      <c r="E8" s="64"/>
      <c r="F8" s="64"/>
      <c r="G8" s="65"/>
      <c r="H8" s="83"/>
      <c r="I8" s="64"/>
      <c r="J8" s="64"/>
      <c r="K8" s="64"/>
      <c r="L8" s="64"/>
      <c r="M8" s="84"/>
      <c r="N8" s="83"/>
      <c r="O8" s="64"/>
      <c r="P8" s="64"/>
      <c r="Q8" s="64"/>
      <c r="R8" s="64"/>
      <c r="S8" s="84"/>
      <c r="T8" s="83"/>
      <c r="U8" s="64"/>
      <c r="V8" s="64"/>
      <c r="W8" s="64"/>
      <c r="X8" s="64"/>
      <c r="Y8" s="84"/>
      <c r="Z8" s="83"/>
      <c r="AA8" s="64"/>
      <c r="AB8" s="64"/>
      <c r="AC8" s="64"/>
      <c r="AD8" s="64"/>
      <c r="AE8" s="84"/>
      <c r="AF8" s="83"/>
      <c r="AG8" s="64"/>
      <c r="AH8" s="64"/>
      <c r="AI8" s="65"/>
      <c r="AJ8" s="94"/>
      <c r="AK8" s="9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7CCBA-0AC7-4071-A631-C92C9FB19496}">
  <dimension ref="B1:AI8"/>
  <sheetViews>
    <sheetView zoomScaleNormal="100" workbookViewId="0">
      <selection activeCell="M15" sqref="M15"/>
    </sheetView>
  </sheetViews>
  <sheetFormatPr baseColWidth="10" defaultRowHeight="15"/>
  <cols>
    <col min="2" max="35" width="6.28515625" customWidth="1"/>
  </cols>
  <sheetData>
    <row r="1" spans="2:35">
      <c r="B1" s="14" t="s">
        <v>36</v>
      </c>
      <c r="C1" s="14" t="s">
        <v>37</v>
      </c>
      <c r="D1" s="14" t="s">
        <v>38</v>
      </c>
      <c r="E1" s="14" t="s">
        <v>39</v>
      </c>
      <c r="F1" s="14" t="s">
        <v>40</v>
      </c>
      <c r="G1" s="15" t="s">
        <v>41</v>
      </c>
      <c r="H1" s="14" t="s">
        <v>42</v>
      </c>
      <c r="I1" s="14" t="s">
        <v>43</v>
      </c>
      <c r="J1" s="14" t="s">
        <v>44</v>
      </c>
      <c r="K1" s="14" t="s">
        <v>45</v>
      </c>
      <c r="L1" s="14" t="s">
        <v>46</v>
      </c>
      <c r="M1" s="15" t="s">
        <v>47</v>
      </c>
      <c r="N1" s="14" t="s">
        <v>48</v>
      </c>
      <c r="O1" s="14" t="s">
        <v>49</v>
      </c>
      <c r="P1" s="14" t="s">
        <v>50</v>
      </c>
      <c r="Q1" s="14" t="s">
        <v>51</v>
      </c>
      <c r="R1" s="14" t="s">
        <v>52</v>
      </c>
      <c r="S1" s="15" t="s">
        <v>53</v>
      </c>
      <c r="T1" s="14" t="s">
        <v>54</v>
      </c>
      <c r="U1" s="14" t="s">
        <v>55</v>
      </c>
      <c r="V1" s="14" t="s">
        <v>56</v>
      </c>
      <c r="W1" s="14" t="s">
        <v>57</v>
      </c>
      <c r="X1" s="14" t="s">
        <v>58</v>
      </c>
      <c r="Y1" s="15" t="s">
        <v>59</v>
      </c>
      <c r="Z1" s="14" t="s">
        <v>60</v>
      </c>
      <c r="AA1" s="14" t="s">
        <v>61</v>
      </c>
      <c r="AB1" s="14" t="s">
        <v>62</v>
      </c>
      <c r="AC1" s="14" t="s">
        <v>63</v>
      </c>
      <c r="AD1" s="14" t="s">
        <v>64</v>
      </c>
      <c r="AE1" s="15" t="s">
        <v>65</v>
      </c>
      <c r="AF1" s="14" t="s">
        <v>66</v>
      </c>
      <c r="AG1" s="14" t="s">
        <v>67</v>
      </c>
      <c r="AH1" s="14" t="s">
        <v>68</v>
      </c>
      <c r="AI1" s="15" t="s">
        <v>69</v>
      </c>
    </row>
    <row r="2" spans="2:35">
      <c r="B2" s="17">
        <f>Total!B2</f>
        <v>0</v>
      </c>
      <c r="C2" s="17">
        <f>Total!C2</f>
        <v>0</v>
      </c>
      <c r="D2" s="17">
        <f>Total!D2</f>
        <v>0</v>
      </c>
      <c r="E2" s="17">
        <f>Total!E2</f>
        <v>0</v>
      </c>
      <c r="F2" s="17">
        <f>Total!F2</f>
        <v>0</v>
      </c>
      <c r="G2" s="17">
        <f>Total!G2</f>
        <v>0</v>
      </c>
      <c r="H2" s="17">
        <f>Total!H2</f>
        <v>0</v>
      </c>
      <c r="I2" s="17">
        <f>Total!I2</f>
        <v>0</v>
      </c>
      <c r="J2" s="17">
        <f>Total!J2</f>
        <v>11</v>
      </c>
      <c r="K2" s="17">
        <f>Total!K2</f>
        <v>10</v>
      </c>
      <c r="L2" s="17">
        <f>Total!L2</f>
        <v>0</v>
      </c>
      <c r="M2" s="17">
        <f>Total!M2</f>
        <v>0</v>
      </c>
      <c r="N2" s="17">
        <f>Total!N2</f>
        <v>0</v>
      </c>
      <c r="O2" s="17">
        <f>Total!O2</f>
        <v>0</v>
      </c>
      <c r="P2" s="17">
        <f>Total!P2</f>
        <v>0</v>
      </c>
      <c r="Q2" s="17">
        <f>Total!Q2</f>
        <v>0</v>
      </c>
      <c r="R2" s="17">
        <f>Total!R2</f>
        <v>0</v>
      </c>
      <c r="S2" s="17">
        <f>Total!S2</f>
        <v>0</v>
      </c>
      <c r="T2" s="17">
        <f>Total!T2</f>
        <v>0</v>
      </c>
      <c r="U2" s="17">
        <f>Total!U2</f>
        <v>0</v>
      </c>
      <c r="V2" s="17">
        <f>Total!V2</f>
        <v>0</v>
      </c>
      <c r="W2" s="17">
        <f>Total!W2</f>
        <v>0</v>
      </c>
      <c r="X2" s="17">
        <f>Total!X2</f>
        <v>0</v>
      </c>
      <c r="Y2" s="17">
        <f>Total!Y2</f>
        <v>0</v>
      </c>
      <c r="Z2" s="17">
        <f>Total!Z2</f>
        <v>0</v>
      </c>
      <c r="AA2" s="17">
        <f>Total!AA2</f>
        <v>0</v>
      </c>
      <c r="AB2" s="17">
        <f>Total!AB2</f>
        <v>0</v>
      </c>
      <c r="AC2" s="17">
        <f>Total!AC2</f>
        <v>0</v>
      </c>
      <c r="AD2" s="17">
        <f>Total!AD2</f>
        <v>0</v>
      </c>
      <c r="AE2" s="17">
        <f>Total!AE2</f>
        <v>0</v>
      </c>
      <c r="AF2" s="17">
        <f>Total!AF2</f>
        <v>0</v>
      </c>
      <c r="AG2" s="17">
        <f>Total!AG2</f>
        <v>0</v>
      </c>
      <c r="AH2" s="17">
        <f>Total!AH2</f>
        <v>0</v>
      </c>
      <c r="AI2" s="17">
        <f>Total!AK2</f>
        <v>8</v>
      </c>
    </row>
    <row r="3" spans="2:35">
      <c r="B3" s="17">
        <f>Total!B3</f>
        <v>0</v>
      </c>
      <c r="C3" s="17">
        <f>Total!C3</f>
        <v>0</v>
      </c>
      <c r="D3" s="17">
        <f>Total!D3</f>
        <v>0</v>
      </c>
      <c r="E3" s="17">
        <f>Total!E3</f>
        <v>0</v>
      </c>
      <c r="F3" s="17">
        <f>Total!F3</f>
        <v>0</v>
      </c>
      <c r="G3" s="17">
        <f>Total!G3</f>
        <v>0</v>
      </c>
      <c r="H3" s="17">
        <f>Total!H3</f>
        <v>0</v>
      </c>
      <c r="I3" s="17">
        <f>Total!I3</f>
        <v>0</v>
      </c>
      <c r="J3" s="17">
        <f>Total!J3</f>
        <v>0</v>
      </c>
      <c r="K3" s="17">
        <f>Total!K3</f>
        <v>0</v>
      </c>
      <c r="L3" s="17">
        <f>Total!L3</f>
        <v>0</v>
      </c>
      <c r="M3" s="17">
        <f>Total!M3</f>
        <v>0</v>
      </c>
      <c r="N3" s="17">
        <f>Total!N3</f>
        <v>0</v>
      </c>
      <c r="O3" s="17">
        <f>Total!O3</f>
        <v>0</v>
      </c>
      <c r="P3" s="17">
        <f>Total!P3</f>
        <v>0</v>
      </c>
      <c r="Q3" s="17">
        <f>Total!Q3</f>
        <v>0</v>
      </c>
      <c r="R3" s="17">
        <f>Total!R3</f>
        <v>0</v>
      </c>
      <c r="S3" s="17">
        <f>Total!S3</f>
        <v>0</v>
      </c>
      <c r="T3" s="17">
        <f>Total!T3</f>
        <v>0</v>
      </c>
      <c r="U3" s="17">
        <f>Total!U3</f>
        <v>0</v>
      </c>
      <c r="V3" s="17">
        <f>Total!V3</f>
        <v>0</v>
      </c>
      <c r="W3" s="17">
        <f>Total!W3</f>
        <v>0</v>
      </c>
      <c r="X3" s="17">
        <f>Total!X3</f>
        <v>0</v>
      </c>
      <c r="Y3" s="17">
        <f>Total!Y3</f>
        <v>0</v>
      </c>
      <c r="Z3" s="17">
        <f>Total!Z3</f>
        <v>0</v>
      </c>
      <c r="AA3" s="17">
        <f>Total!AA3</f>
        <v>0</v>
      </c>
      <c r="AB3" s="17">
        <f>Total!AB3</f>
        <v>0</v>
      </c>
      <c r="AC3" s="17">
        <f>Total!AC3</f>
        <v>0</v>
      </c>
      <c r="AD3" s="17">
        <f>Total!AD3</f>
        <v>0</v>
      </c>
      <c r="AE3" s="17">
        <f>Total!AE3</f>
        <v>0</v>
      </c>
      <c r="AF3" s="17">
        <f>Total!AF3</f>
        <v>0</v>
      </c>
      <c r="AG3" s="17">
        <f>Total!AG3</f>
        <v>0</v>
      </c>
      <c r="AH3" s="17">
        <f>Total!AH3</f>
        <v>0</v>
      </c>
      <c r="AI3" s="17">
        <f>Total!AK3</f>
        <v>0</v>
      </c>
    </row>
    <row r="4" spans="2:35">
      <c r="B4" s="17">
        <f>Total!B4</f>
        <v>0</v>
      </c>
      <c r="C4" s="17">
        <f>Total!C4</f>
        <v>0</v>
      </c>
      <c r="D4" s="17">
        <f>Total!D4</f>
        <v>0</v>
      </c>
      <c r="E4" s="17">
        <f>Total!E4</f>
        <v>0</v>
      </c>
      <c r="F4" s="17">
        <f>Total!F4</f>
        <v>0</v>
      </c>
      <c r="G4" s="17">
        <f>Total!G4</f>
        <v>0</v>
      </c>
      <c r="H4" s="17">
        <f>Total!H4</f>
        <v>0</v>
      </c>
      <c r="I4" s="17">
        <f>Total!I4</f>
        <v>0</v>
      </c>
      <c r="J4" s="17">
        <f>Total!J4</f>
        <v>1</v>
      </c>
      <c r="K4" s="17">
        <f>Total!K4</f>
        <v>1</v>
      </c>
      <c r="L4" s="17">
        <f>Total!L4</f>
        <v>0</v>
      </c>
      <c r="M4" s="17">
        <f>Total!M4</f>
        <v>0</v>
      </c>
      <c r="N4" s="17">
        <f>Total!N4</f>
        <v>3</v>
      </c>
      <c r="O4" s="17">
        <f>Total!O4</f>
        <v>13</v>
      </c>
      <c r="P4" s="17">
        <f>Total!P4</f>
        <v>13</v>
      </c>
      <c r="Q4" s="17">
        <f>Total!Q4</f>
        <v>0</v>
      </c>
      <c r="R4" s="17">
        <f>Total!R4</f>
        <v>0</v>
      </c>
      <c r="S4" s="17">
        <f>Total!S4</f>
        <v>2</v>
      </c>
      <c r="T4" s="17">
        <f>Total!T4</f>
        <v>0</v>
      </c>
      <c r="U4" s="17">
        <f>Total!U4</f>
        <v>0</v>
      </c>
      <c r="V4" s="17">
        <f>Total!V4</f>
        <v>0</v>
      </c>
      <c r="W4" s="17">
        <f>Total!W4</f>
        <v>0</v>
      </c>
      <c r="X4" s="17">
        <f>Total!X4</f>
        <v>0</v>
      </c>
      <c r="Y4" s="17">
        <f>Total!Y4</f>
        <v>0</v>
      </c>
      <c r="Z4" s="17">
        <f>Total!Z4</f>
        <v>0</v>
      </c>
      <c r="AA4" s="17">
        <f>Total!AA4</f>
        <v>0</v>
      </c>
      <c r="AB4" s="17">
        <f>Total!AB4</f>
        <v>0</v>
      </c>
      <c r="AC4" s="17">
        <f>Total!AC4</f>
        <v>0</v>
      </c>
      <c r="AD4" s="17">
        <f>Total!AD4</f>
        <v>0</v>
      </c>
      <c r="AE4" s="17">
        <f>Total!AE4</f>
        <v>0</v>
      </c>
      <c r="AF4" s="17">
        <f>Total!AF4</f>
        <v>0</v>
      </c>
      <c r="AG4" s="17">
        <f>Total!AG4</f>
        <v>0</v>
      </c>
      <c r="AH4" s="17">
        <f>Total!AH4</f>
        <v>0</v>
      </c>
      <c r="AI4" s="17">
        <f>Total!AK4</f>
        <v>9</v>
      </c>
    </row>
    <row r="5" spans="2:35">
      <c r="B5" s="17">
        <f>Total!B5</f>
        <v>0</v>
      </c>
      <c r="C5" s="17">
        <f>Total!C5</f>
        <v>0</v>
      </c>
      <c r="D5" s="17">
        <f>Total!D5</f>
        <v>0</v>
      </c>
      <c r="E5" s="17">
        <f>Total!E5</f>
        <v>0</v>
      </c>
      <c r="F5" s="17">
        <f>Total!F5</f>
        <v>0</v>
      </c>
      <c r="G5" s="17">
        <f>Total!G5</f>
        <v>0</v>
      </c>
      <c r="H5" s="17">
        <f>Total!H5</f>
        <v>0</v>
      </c>
      <c r="I5" s="17">
        <f>Total!I5</f>
        <v>0</v>
      </c>
      <c r="J5" s="17">
        <f>Total!J5</f>
        <v>0</v>
      </c>
      <c r="K5" s="17">
        <f>Total!K5</f>
        <v>0</v>
      </c>
      <c r="L5" s="17">
        <f>Total!L5</f>
        <v>0</v>
      </c>
      <c r="M5" s="17">
        <f>Total!M5</f>
        <v>0</v>
      </c>
      <c r="N5" s="17">
        <f>Total!N5</f>
        <v>0</v>
      </c>
      <c r="O5" s="17">
        <f>Total!O5</f>
        <v>0</v>
      </c>
      <c r="P5" s="17">
        <f>Total!P5</f>
        <v>0</v>
      </c>
      <c r="Q5" s="17">
        <f>Total!Q5</f>
        <v>0</v>
      </c>
      <c r="R5" s="17">
        <f>Total!R5</f>
        <v>0</v>
      </c>
      <c r="S5" s="17">
        <f>Total!S5</f>
        <v>0</v>
      </c>
      <c r="T5" s="17">
        <f>Total!T5</f>
        <v>0</v>
      </c>
      <c r="U5" s="17">
        <f>Total!U5</f>
        <v>0</v>
      </c>
      <c r="V5" s="17">
        <f>Total!V5</f>
        <v>0</v>
      </c>
      <c r="W5" s="17">
        <f>Total!W5</f>
        <v>0</v>
      </c>
      <c r="X5" s="17">
        <f>Total!X5</f>
        <v>0</v>
      </c>
      <c r="Y5" s="17">
        <f>Total!Y5</f>
        <v>0</v>
      </c>
      <c r="Z5" s="17">
        <f>Total!Z5</f>
        <v>0</v>
      </c>
      <c r="AA5" s="17">
        <f>Total!AA5</f>
        <v>0</v>
      </c>
      <c r="AB5" s="17">
        <f>Total!AB5</f>
        <v>0</v>
      </c>
      <c r="AC5" s="17">
        <f>Total!AC5</f>
        <v>0</v>
      </c>
      <c r="AD5" s="17">
        <f>Total!AD5</f>
        <v>0</v>
      </c>
      <c r="AE5" s="17">
        <f>Total!AE5</f>
        <v>0</v>
      </c>
      <c r="AF5" s="17">
        <f>Total!AF5</f>
        <v>0</v>
      </c>
      <c r="AG5" s="17">
        <f>Total!AG5</f>
        <v>0</v>
      </c>
      <c r="AH5" s="17">
        <f>Total!AH5</f>
        <v>0</v>
      </c>
      <c r="AI5" s="17">
        <f>Total!AK5</f>
        <v>0</v>
      </c>
    </row>
    <row r="6" spans="2:35">
      <c r="B6" s="17">
        <f>Total!B6</f>
        <v>0</v>
      </c>
      <c r="C6" s="17">
        <f>Total!C6</f>
        <v>0</v>
      </c>
      <c r="D6" s="17">
        <f>Total!D6</f>
        <v>0</v>
      </c>
      <c r="E6" s="17">
        <f>Total!E6</f>
        <v>0</v>
      </c>
      <c r="F6" s="17">
        <f>Total!F6</f>
        <v>0</v>
      </c>
      <c r="G6" s="17">
        <f>Total!G6</f>
        <v>0</v>
      </c>
      <c r="H6" s="17">
        <f>Total!H6</f>
        <v>0</v>
      </c>
      <c r="I6" s="17">
        <f>Total!I6</f>
        <v>0</v>
      </c>
      <c r="J6" s="17">
        <f>Total!J6</f>
        <v>0</v>
      </c>
      <c r="K6" s="17">
        <f>Total!K6</f>
        <v>0</v>
      </c>
      <c r="L6" s="17">
        <f>Total!L6</f>
        <v>0</v>
      </c>
      <c r="M6" s="17">
        <f>Total!M6</f>
        <v>0</v>
      </c>
      <c r="N6" s="17">
        <f>Total!N6</f>
        <v>20</v>
      </c>
      <c r="O6" s="17">
        <f>Total!O6</f>
        <v>1</v>
      </c>
      <c r="P6" s="17">
        <f>Total!P6</f>
        <v>0</v>
      </c>
      <c r="Q6" s="17">
        <f>Total!Q6</f>
        <v>7</v>
      </c>
      <c r="R6" s="17">
        <f>Total!R6</f>
        <v>9</v>
      </c>
      <c r="S6" s="17">
        <f>Total!S6</f>
        <v>3</v>
      </c>
      <c r="T6" s="17">
        <f>Total!T6</f>
        <v>6</v>
      </c>
      <c r="U6" s="17">
        <f>Total!U6</f>
        <v>9</v>
      </c>
      <c r="V6" s="17">
        <f>Total!V6</f>
        <v>1</v>
      </c>
      <c r="W6" s="17">
        <f>Total!W6</f>
        <v>1</v>
      </c>
      <c r="X6" s="17">
        <f>Total!X6</f>
        <v>1</v>
      </c>
      <c r="Y6" s="17">
        <f>Total!Y6</f>
        <v>1</v>
      </c>
      <c r="Z6" s="17">
        <f>Total!Z6</f>
        <v>0</v>
      </c>
      <c r="AA6" s="17">
        <f>Total!AA6</f>
        <v>0</v>
      </c>
      <c r="AB6" s="17">
        <f>Total!AB6</f>
        <v>0</v>
      </c>
      <c r="AC6" s="17">
        <f>Total!AC6</f>
        <v>0</v>
      </c>
      <c r="AD6" s="17">
        <f>Total!AD6</f>
        <v>0</v>
      </c>
      <c r="AE6" s="17">
        <f>Total!AE6</f>
        <v>0</v>
      </c>
      <c r="AF6" s="17">
        <f>Total!AF6</f>
        <v>0</v>
      </c>
      <c r="AG6" s="17">
        <f>Total!AG6</f>
        <v>0</v>
      </c>
      <c r="AH6" s="17">
        <f>Total!AH6</f>
        <v>0</v>
      </c>
      <c r="AI6" s="17">
        <f>Total!AK6</f>
        <v>0</v>
      </c>
    </row>
    <row r="7" spans="2:35">
      <c r="B7" s="17">
        <f>Total!B7</f>
        <v>0</v>
      </c>
      <c r="C7" s="17">
        <f>Total!C7</f>
        <v>0</v>
      </c>
      <c r="D7" s="17">
        <f>Total!D7</f>
        <v>0</v>
      </c>
      <c r="E7" s="17">
        <f>Total!E7</f>
        <v>0</v>
      </c>
      <c r="F7" s="17">
        <f>Total!F7</f>
        <v>0</v>
      </c>
      <c r="G7" s="17">
        <f>Total!G7</f>
        <v>0</v>
      </c>
      <c r="H7" s="17">
        <f>Total!H7</f>
        <v>0</v>
      </c>
      <c r="I7" s="17">
        <f>Total!I7</f>
        <v>0</v>
      </c>
      <c r="J7" s="17">
        <f>Total!J7</f>
        <v>0</v>
      </c>
      <c r="K7" s="17">
        <f>Total!K7</f>
        <v>0</v>
      </c>
      <c r="L7" s="17">
        <f>Total!L7</f>
        <v>0</v>
      </c>
      <c r="M7" s="17">
        <f>Total!M7</f>
        <v>0</v>
      </c>
      <c r="N7" s="17">
        <f>Total!N7</f>
        <v>0</v>
      </c>
      <c r="O7" s="17">
        <f>Total!O7</f>
        <v>0</v>
      </c>
      <c r="P7" s="17">
        <f>Total!P7</f>
        <v>0</v>
      </c>
      <c r="Q7" s="17">
        <f>Total!Q7</f>
        <v>3</v>
      </c>
      <c r="R7" s="17">
        <f>Total!R7</f>
        <v>5</v>
      </c>
      <c r="S7" s="17">
        <f>Total!S7</f>
        <v>3</v>
      </c>
      <c r="T7" s="17">
        <f>Total!T7</f>
        <v>5</v>
      </c>
      <c r="U7" s="17">
        <f>Total!U7</f>
        <v>7</v>
      </c>
      <c r="V7" s="17">
        <f>Total!V7</f>
        <v>8</v>
      </c>
      <c r="W7" s="17">
        <f>Total!W7</f>
        <v>8</v>
      </c>
      <c r="X7" s="17">
        <f>Total!X7</f>
        <v>5</v>
      </c>
      <c r="Y7" s="17">
        <f>Total!Y7</f>
        <v>5</v>
      </c>
      <c r="Z7" s="17">
        <f>Total!Z7</f>
        <v>8</v>
      </c>
      <c r="AA7" s="17">
        <f>Total!AA7</f>
        <v>8</v>
      </c>
      <c r="AB7" s="17">
        <f>Total!AB7</f>
        <v>4</v>
      </c>
      <c r="AC7" s="17">
        <f>Total!AC7</f>
        <v>4</v>
      </c>
      <c r="AD7" s="17">
        <f>Total!AD7</f>
        <v>3</v>
      </c>
      <c r="AE7" s="17">
        <f>Total!AE7</f>
        <v>0</v>
      </c>
      <c r="AF7" s="17">
        <f>Total!AF7</f>
        <v>3</v>
      </c>
      <c r="AG7" s="17">
        <f>Total!AG7</f>
        <v>0</v>
      </c>
      <c r="AH7" s="17">
        <f>Total!AH7</f>
        <v>3</v>
      </c>
      <c r="AI7" s="17">
        <f>Total!AK7</f>
        <v>0</v>
      </c>
    </row>
    <row r="8" spans="2:35">
      <c r="B8" s="17">
        <f>Total!B8</f>
        <v>0</v>
      </c>
      <c r="C8" s="17">
        <f>Total!C8</f>
        <v>0</v>
      </c>
      <c r="D8" s="17">
        <f>Total!D8</f>
        <v>0</v>
      </c>
      <c r="E8" s="17">
        <f>Total!E8</f>
        <v>0</v>
      </c>
      <c r="F8" s="17">
        <f>Total!F8</f>
        <v>0</v>
      </c>
      <c r="G8" s="17">
        <f>Total!G8</f>
        <v>0</v>
      </c>
      <c r="H8" s="17">
        <f>Total!H8</f>
        <v>0</v>
      </c>
      <c r="I8" s="17">
        <f>Total!I8</f>
        <v>0</v>
      </c>
      <c r="J8" s="17">
        <f>Total!J8</f>
        <v>0</v>
      </c>
      <c r="K8" s="17">
        <f>Total!K8</f>
        <v>0</v>
      </c>
      <c r="L8" s="17">
        <f>Total!L8</f>
        <v>0</v>
      </c>
      <c r="M8" s="17">
        <f>Total!M8</f>
        <v>0</v>
      </c>
      <c r="N8" s="17">
        <f>Total!N8</f>
        <v>0</v>
      </c>
      <c r="O8" s="17">
        <f>Total!O8</f>
        <v>0</v>
      </c>
      <c r="P8" s="17">
        <f>Total!P8</f>
        <v>0</v>
      </c>
      <c r="Q8" s="17">
        <f>Total!Q8</f>
        <v>6</v>
      </c>
      <c r="R8" s="17">
        <f>Total!R8</f>
        <v>9</v>
      </c>
      <c r="S8" s="17">
        <f>Total!S8</f>
        <v>0</v>
      </c>
      <c r="T8" s="17">
        <f>Total!T8</f>
        <v>10</v>
      </c>
      <c r="U8" s="17">
        <f>Total!U8</f>
        <v>13</v>
      </c>
      <c r="V8" s="17">
        <f>Total!V8</f>
        <v>12</v>
      </c>
      <c r="W8" s="17">
        <f>Total!W8</f>
        <v>16</v>
      </c>
      <c r="X8" s="17">
        <f>Total!X8</f>
        <v>9</v>
      </c>
      <c r="Y8" s="17">
        <f>Total!Y8</f>
        <v>11</v>
      </c>
      <c r="Z8" s="17">
        <f>Total!Z8</f>
        <v>12</v>
      </c>
      <c r="AA8" s="17">
        <f>Total!AA8</f>
        <v>9</v>
      </c>
      <c r="AB8" s="17">
        <f>Total!AB8</f>
        <v>10</v>
      </c>
      <c r="AC8" s="17">
        <f>Total!AC8</f>
        <v>9</v>
      </c>
      <c r="AD8" s="17">
        <f>Total!AD8</f>
        <v>7</v>
      </c>
      <c r="AE8" s="17">
        <f>Total!AE8</f>
        <v>1</v>
      </c>
      <c r="AF8" s="17">
        <f>Total!AF8</f>
        <v>6</v>
      </c>
      <c r="AG8" s="17">
        <f>Total!AG8</f>
        <v>0</v>
      </c>
      <c r="AH8" s="17">
        <f>Total!AH8</f>
        <v>6</v>
      </c>
      <c r="AI8" s="17">
        <f>Total!AK8</f>
        <v>0</v>
      </c>
    </row>
  </sheetData>
  <pageMargins left="0.40625" right="0.17708333333333334" top="0.20833333333333334" bottom="0.75" header="0.3" footer="0.3"/>
  <pageSetup paperSize="12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</vt:i4>
      </vt:variant>
    </vt:vector>
  </HeadingPairs>
  <TitlesOfParts>
    <vt:vector size="16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Total</vt:lpstr>
      <vt:lpstr>Hoja3</vt:lpstr>
      <vt:lpstr>Total Consumo Mensual</vt:lpstr>
      <vt:lpstr>Hoja1</vt:lpstr>
      <vt:lpstr>Hoja2</vt:lpstr>
      <vt:lpstr>'Total Consumo Mensual'!Área_de_impresión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cp:lastPrinted>2025-02-28T19:50:06Z</cp:lastPrinted>
  <dcterms:created xsi:type="dcterms:W3CDTF">2023-06-22T14:18:00Z</dcterms:created>
  <dcterms:modified xsi:type="dcterms:W3CDTF">2025-02-28T19:50:15Z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442518E47CF643BEB111400DE4DA515F_12</vt:lpwstr>
  </property>
  <property fmtid="{D5CDD505-2E9C-101B-9397-08002B2CF9AE}" pid="3" name="KSOProductBuildVer">
    <vt:lpwstr>2058-12.2.0.13201</vt:lpwstr>
  </property>
</Properties>
</file>
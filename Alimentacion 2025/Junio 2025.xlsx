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C5DA9F2C-E8A9-48F9-9832-C85C833DA950}" xr6:coauthVersionLast="47" xr6:coauthVersionMax="47" xr10:uidLastSave="{00000000-0000-0000-0000-000000000000}"/>
  <bookViews>
    <workbookView xWindow="-120" yWindow="-120" windowWidth="20730" windowHeight="11310" tabRatio="800" firstSheet="2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2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12" i="20" s="1"/>
  <c r="D4" i="8"/>
  <c r="E13" i="20" s="1"/>
  <c r="D5" i="8"/>
  <c r="E14" i="20" s="1"/>
  <c r="D6" i="8"/>
  <c r="E15" i="20" s="1"/>
  <c r="D7" i="8"/>
  <c r="E16" i="20" s="1"/>
  <c r="D8" i="8"/>
  <c r="E17" i="20" s="1"/>
  <c r="D9" i="8"/>
  <c r="E18" i="20" s="1"/>
  <c r="D10" i="8"/>
  <c r="E19" i="20" s="1"/>
  <c r="D11" i="8"/>
  <c r="E20" i="20" s="1"/>
  <c r="D12" i="8"/>
  <c r="E21" i="20" s="1"/>
  <c r="D13" i="8"/>
  <c r="E22" i="20" s="1"/>
  <c r="D14" i="8"/>
  <c r="E23" i="20" s="1"/>
  <c r="D15" i="8"/>
  <c r="E24" i="20" s="1"/>
  <c r="D16" i="8"/>
  <c r="E25" i="20" s="1"/>
  <c r="D17" i="8"/>
  <c r="E26" i="20" s="1"/>
  <c r="D18" i="8"/>
  <c r="E27" i="20" s="1"/>
  <c r="D19" i="8"/>
  <c r="E28" i="20" s="1"/>
  <c r="D20" i="8"/>
  <c r="E29" i="20" s="1"/>
  <c r="D21" i="8"/>
  <c r="E30" i="20" s="1"/>
  <c r="D22" i="8"/>
  <c r="E31" i="20" s="1"/>
  <c r="D23" i="8"/>
  <c r="E32" i="20" s="1"/>
  <c r="D24" i="8"/>
  <c r="E33" i="20" s="1"/>
  <c r="D25" i="8"/>
  <c r="E34" i="20" s="1"/>
  <c r="D26" i="8"/>
  <c r="E35" i="20" s="1"/>
  <c r="D27" i="8"/>
  <c r="E36" i="20" s="1"/>
  <c r="D28" i="8"/>
  <c r="E37" i="20" s="1"/>
  <c r="D29" i="8"/>
  <c r="E38" i="20" s="1"/>
  <c r="D30" i="8"/>
  <c r="E39" i="20" s="1"/>
  <c r="D31" i="8"/>
  <c r="E40" i="20" s="1"/>
  <c r="D32" i="8"/>
  <c r="E41" i="20" s="1"/>
  <c r="D33" i="8"/>
  <c r="E42" i="20" s="1"/>
  <c r="D34" i="8"/>
  <c r="E43" i="20" s="1"/>
  <c r="D35" i="8"/>
  <c r="E44" i="20" s="1"/>
  <c r="D36" i="8"/>
  <c r="E45" i="20" s="1"/>
  <c r="D37" i="8"/>
  <c r="E46" i="20" s="1"/>
  <c r="D38" i="8"/>
  <c r="E47" i="20" s="1"/>
  <c r="D39" i="8"/>
  <c r="E48" i="20" s="1"/>
  <c r="D40" i="8"/>
  <c r="E49" i="20" s="1"/>
  <c r="D41" i="8"/>
  <c r="E50" i="20" s="1"/>
  <c r="E3" i="8"/>
  <c r="F12" i="20" s="1"/>
  <c r="E4" i="8"/>
  <c r="F13" i="20" s="1"/>
  <c r="E5" i="8"/>
  <c r="F14" i="20" s="1"/>
  <c r="E6" i="8"/>
  <c r="F15" i="20" s="1"/>
  <c r="E7" i="8"/>
  <c r="F16" i="20" s="1"/>
  <c r="E8" i="8"/>
  <c r="F17" i="20" s="1"/>
  <c r="E9" i="8"/>
  <c r="F18" i="20" s="1"/>
  <c r="E10" i="8"/>
  <c r="F19" i="20" s="1"/>
  <c r="E11" i="8"/>
  <c r="F20" i="20" s="1"/>
  <c r="E12" i="8"/>
  <c r="F21" i="20" s="1"/>
  <c r="E13" i="8"/>
  <c r="F22" i="20" s="1"/>
  <c r="E14" i="8"/>
  <c r="F23" i="20" s="1"/>
  <c r="E15" i="8"/>
  <c r="F24" i="20" s="1"/>
  <c r="E16" i="8"/>
  <c r="F25" i="20" s="1"/>
  <c r="E17" i="8"/>
  <c r="F26" i="20" s="1"/>
  <c r="E18" i="8"/>
  <c r="F27" i="20" s="1"/>
  <c r="E19" i="8"/>
  <c r="F28" i="20" s="1"/>
  <c r="E20" i="8"/>
  <c r="F29" i="20" s="1"/>
  <c r="E21" i="8"/>
  <c r="F30" i="20" s="1"/>
  <c r="E22" i="8"/>
  <c r="F31" i="20" s="1"/>
  <c r="E23" i="8"/>
  <c r="F32" i="20" s="1"/>
  <c r="E24" i="8"/>
  <c r="F33" i="20" s="1"/>
  <c r="E25" i="8"/>
  <c r="F34" i="20" s="1"/>
  <c r="E26" i="8"/>
  <c r="F35" i="20" s="1"/>
  <c r="E27" i="8"/>
  <c r="F36" i="20" s="1"/>
  <c r="E28" i="8"/>
  <c r="F37" i="20" s="1"/>
  <c r="E29" i="8"/>
  <c r="F38" i="20" s="1"/>
  <c r="E30" i="8"/>
  <c r="F39" i="20" s="1"/>
  <c r="E31" i="8"/>
  <c r="F40" i="20" s="1"/>
  <c r="E32" i="8"/>
  <c r="F41" i="20" s="1"/>
  <c r="E33" i="8"/>
  <c r="F42" i="20" s="1"/>
  <c r="E34" i="8"/>
  <c r="F43" i="20" s="1"/>
  <c r="E35" i="8"/>
  <c r="F44" i="20" s="1"/>
  <c r="E36" i="8"/>
  <c r="F45" i="20" s="1"/>
  <c r="E37" i="8"/>
  <c r="F46" i="20" s="1"/>
  <c r="E38" i="8"/>
  <c r="F47" i="20" s="1"/>
  <c r="E39" i="8"/>
  <c r="F48" i="20" s="1"/>
  <c r="E40" i="8"/>
  <c r="F49" i="20" s="1"/>
  <c r="E41" i="8"/>
  <c r="F50" i="20" s="1"/>
  <c r="F3" i="8"/>
  <c r="G12" i="20" s="1"/>
  <c r="F4" i="8"/>
  <c r="G13" i="20" s="1"/>
  <c r="F5" i="8"/>
  <c r="G14" i="20" s="1"/>
  <c r="F6" i="8"/>
  <c r="G15" i="20" s="1"/>
  <c r="F7" i="8"/>
  <c r="G16" i="20" s="1"/>
  <c r="F8" i="8"/>
  <c r="G17" i="20" s="1"/>
  <c r="F9" i="8"/>
  <c r="G18" i="20" s="1"/>
  <c r="F10" i="8"/>
  <c r="G19" i="20" s="1"/>
  <c r="F11" i="8"/>
  <c r="G20" i="20" s="1"/>
  <c r="F12" i="8"/>
  <c r="G21" i="20" s="1"/>
  <c r="F13" i="8"/>
  <c r="G22" i="20" s="1"/>
  <c r="F14" i="8"/>
  <c r="G23" i="20" s="1"/>
  <c r="F15" i="8"/>
  <c r="G24" i="20" s="1"/>
  <c r="F16" i="8"/>
  <c r="G25" i="20" s="1"/>
  <c r="F17" i="8"/>
  <c r="G26" i="20" s="1"/>
  <c r="F18" i="8"/>
  <c r="G27" i="20" s="1"/>
  <c r="F19" i="8"/>
  <c r="G28" i="20" s="1"/>
  <c r="F20" i="8"/>
  <c r="G29" i="20" s="1"/>
  <c r="F21" i="8"/>
  <c r="G30" i="20" s="1"/>
  <c r="F22" i="8"/>
  <c r="G31" i="20" s="1"/>
  <c r="F23" i="8"/>
  <c r="G32" i="20" s="1"/>
  <c r="F24" i="8"/>
  <c r="G33" i="20" s="1"/>
  <c r="F25" i="8"/>
  <c r="G34" i="20" s="1"/>
  <c r="F26" i="8"/>
  <c r="G35" i="20" s="1"/>
  <c r="F27" i="8"/>
  <c r="G36" i="20" s="1"/>
  <c r="F28" i="8"/>
  <c r="G37" i="20" s="1"/>
  <c r="F29" i="8"/>
  <c r="G38" i="20" s="1"/>
  <c r="F30" i="8"/>
  <c r="G39" i="20" s="1"/>
  <c r="F31" i="8"/>
  <c r="G40" i="20" s="1"/>
  <c r="F32" i="8"/>
  <c r="G41" i="20" s="1"/>
  <c r="F33" i="8"/>
  <c r="G42" i="20" s="1"/>
  <c r="F34" i="8"/>
  <c r="G43" i="20" s="1"/>
  <c r="F35" i="8"/>
  <c r="G44" i="20" s="1"/>
  <c r="F36" i="8"/>
  <c r="G45" i="20" s="1"/>
  <c r="F37" i="8"/>
  <c r="G46" i="20" s="1"/>
  <c r="F38" i="8"/>
  <c r="G47" i="20" s="1"/>
  <c r="F39" i="8"/>
  <c r="G48" i="20" s="1"/>
  <c r="F40" i="8"/>
  <c r="G49" i="20" s="1"/>
  <c r="F41" i="8"/>
  <c r="G50" i="20" s="1"/>
  <c r="G3" i="8"/>
  <c r="H12" i="20" s="1"/>
  <c r="G4" i="8"/>
  <c r="H13" i="20" s="1"/>
  <c r="G5" i="8"/>
  <c r="H14" i="20" s="1"/>
  <c r="G6" i="8"/>
  <c r="H15" i="20" s="1"/>
  <c r="G7" i="8"/>
  <c r="H16" i="20" s="1"/>
  <c r="G8" i="8"/>
  <c r="H17" i="20" s="1"/>
  <c r="G9" i="8"/>
  <c r="H18" i="20" s="1"/>
  <c r="G10" i="8"/>
  <c r="H19" i="20" s="1"/>
  <c r="G11" i="8"/>
  <c r="H20" i="20" s="1"/>
  <c r="G12" i="8"/>
  <c r="H21" i="20" s="1"/>
  <c r="G13" i="8"/>
  <c r="H22" i="20" s="1"/>
  <c r="G14" i="8"/>
  <c r="H23" i="20" s="1"/>
  <c r="G15" i="8"/>
  <c r="H24" i="20" s="1"/>
  <c r="G16" i="8"/>
  <c r="H25" i="20" s="1"/>
  <c r="G17" i="8"/>
  <c r="H26" i="20" s="1"/>
  <c r="G18" i="8"/>
  <c r="H27" i="20" s="1"/>
  <c r="G19" i="8"/>
  <c r="H28" i="20" s="1"/>
  <c r="G20" i="8"/>
  <c r="H29" i="20" s="1"/>
  <c r="G21" i="8"/>
  <c r="H30" i="20" s="1"/>
  <c r="G22" i="8"/>
  <c r="H31" i="20" s="1"/>
  <c r="G23" i="8"/>
  <c r="H32" i="20" s="1"/>
  <c r="G24" i="8"/>
  <c r="H33" i="20" s="1"/>
  <c r="G25" i="8"/>
  <c r="H34" i="20" s="1"/>
  <c r="G26" i="8"/>
  <c r="H35" i="20" s="1"/>
  <c r="G27" i="8"/>
  <c r="H36" i="20" s="1"/>
  <c r="G28" i="8"/>
  <c r="H37" i="20" s="1"/>
  <c r="G29" i="8"/>
  <c r="H38" i="20" s="1"/>
  <c r="G30" i="8"/>
  <c r="H39" i="20" s="1"/>
  <c r="G31" i="8"/>
  <c r="H40" i="20" s="1"/>
  <c r="G32" i="8"/>
  <c r="H41" i="20" s="1"/>
  <c r="G33" i="8"/>
  <c r="H42" i="20" s="1"/>
  <c r="G34" i="8"/>
  <c r="H43" i="20" s="1"/>
  <c r="G35" i="8"/>
  <c r="H44" i="20" s="1"/>
  <c r="G36" i="8"/>
  <c r="H45" i="20" s="1"/>
  <c r="G37" i="8"/>
  <c r="H46" i="20" s="1"/>
  <c r="G38" i="8"/>
  <c r="H47" i="20" s="1"/>
  <c r="G39" i="8"/>
  <c r="H48" i="20" s="1"/>
  <c r="G40" i="8"/>
  <c r="H49" i="20" s="1"/>
  <c r="G41" i="8"/>
  <c r="H50" i="20" s="1"/>
  <c r="H3" i="8"/>
  <c r="I12" i="20" s="1"/>
  <c r="H4" i="8"/>
  <c r="I13" i="20" s="1"/>
  <c r="H5" i="8"/>
  <c r="I14" i="20" s="1"/>
  <c r="H6" i="8"/>
  <c r="I15" i="20" s="1"/>
  <c r="H7" i="8"/>
  <c r="I16" i="20" s="1"/>
  <c r="H8" i="8"/>
  <c r="I17" i="20" s="1"/>
  <c r="H9" i="8"/>
  <c r="I18" i="20" s="1"/>
  <c r="H10" i="8"/>
  <c r="I19" i="20" s="1"/>
  <c r="H11" i="8"/>
  <c r="I20" i="20" s="1"/>
  <c r="H12" i="8"/>
  <c r="I21" i="20" s="1"/>
  <c r="H13" i="8"/>
  <c r="I22" i="20" s="1"/>
  <c r="H14" i="8"/>
  <c r="I23" i="20" s="1"/>
  <c r="H15" i="8"/>
  <c r="I24" i="20" s="1"/>
  <c r="H16" i="8"/>
  <c r="I25" i="20" s="1"/>
  <c r="H17" i="8"/>
  <c r="I26" i="20" s="1"/>
  <c r="H18" i="8"/>
  <c r="I27" i="20" s="1"/>
  <c r="H19" i="8"/>
  <c r="I28" i="20" s="1"/>
  <c r="H20" i="8"/>
  <c r="I29" i="20" s="1"/>
  <c r="H21" i="8"/>
  <c r="I30" i="20" s="1"/>
  <c r="H22" i="8"/>
  <c r="I31" i="20" s="1"/>
  <c r="H23" i="8"/>
  <c r="I32" i="20" s="1"/>
  <c r="H24" i="8"/>
  <c r="I33" i="20" s="1"/>
  <c r="H25" i="8"/>
  <c r="I34" i="20" s="1"/>
  <c r="H26" i="8"/>
  <c r="I35" i="20" s="1"/>
  <c r="H27" i="8"/>
  <c r="I36" i="20" s="1"/>
  <c r="H28" i="8"/>
  <c r="I37" i="20" s="1"/>
  <c r="H29" i="8"/>
  <c r="I38" i="20" s="1"/>
  <c r="H30" i="8"/>
  <c r="I39" i="20" s="1"/>
  <c r="H31" i="8"/>
  <c r="I40" i="20" s="1"/>
  <c r="H32" i="8"/>
  <c r="I41" i="20" s="1"/>
  <c r="H33" i="8"/>
  <c r="I42" i="20" s="1"/>
  <c r="H34" i="8"/>
  <c r="I43" i="20" s="1"/>
  <c r="H35" i="8"/>
  <c r="I44" i="20" s="1"/>
  <c r="H36" i="8"/>
  <c r="I45" i="20" s="1"/>
  <c r="H37" i="8"/>
  <c r="I46" i="20" s="1"/>
  <c r="H38" i="8"/>
  <c r="I47" i="20" s="1"/>
  <c r="H39" i="8"/>
  <c r="I48" i="20" s="1"/>
  <c r="H40" i="8"/>
  <c r="I49" i="20" s="1"/>
  <c r="H41" i="8"/>
  <c r="I50" i="20" s="1"/>
  <c r="I3" i="8"/>
  <c r="J12" i="20" s="1"/>
  <c r="I4" i="8"/>
  <c r="J13" i="20" s="1"/>
  <c r="I5" i="8"/>
  <c r="J14" i="20" s="1"/>
  <c r="I6" i="8"/>
  <c r="J15" i="20" s="1"/>
  <c r="I7" i="8"/>
  <c r="J16" i="20" s="1"/>
  <c r="I8" i="8"/>
  <c r="J17" i="20" s="1"/>
  <c r="I9" i="8"/>
  <c r="J18" i="20" s="1"/>
  <c r="I10" i="8"/>
  <c r="J19" i="20" s="1"/>
  <c r="I11" i="8"/>
  <c r="J20" i="20" s="1"/>
  <c r="I12" i="8"/>
  <c r="J21" i="20" s="1"/>
  <c r="I13" i="8"/>
  <c r="J22" i="20" s="1"/>
  <c r="I14" i="8"/>
  <c r="J23" i="20" s="1"/>
  <c r="I15" i="8"/>
  <c r="J24" i="20" s="1"/>
  <c r="I16" i="8"/>
  <c r="J25" i="20" s="1"/>
  <c r="I17" i="8"/>
  <c r="J26" i="20" s="1"/>
  <c r="I18" i="8"/>
  <c r="J27" i="20" s="1"/>
  <c r="I19" i="8"/>
  <c r="J28" i="20" s="1"/>
  <c r="I20" i="8"/>
  <c r="J29" i="20" s="1"/>
  <c r="I21" i="8"/>
  <c r="J30" i="20" s="1"/>
  <c r="I22" i="8"/>
  <c r="J31" i="20" s="1"/>
  <c r="I23" i="8"/>
  <c r="J32" i="20" s="1"/>
  <c r="I24" i="8"/>
  <c r="J33" i="20" s="1"/>
  <c r="I25" i="8"/>
  <c r="J34" i="20" s="1"/>
  <c r="I26" i="8"/>
  <c r="J35" i="20" s="1"/>
  <c r="I27" i="8"/>
  <c r="J36" i="20" s="1"/>
  <c r="I28" i="8"/>
  <c r="J37" i="20" s="1"/>
  <c r="I29" i="8"/>
  <c r="J38" i="20" s="1"/>
  <c r="I30" i="8"/>
  <c r="J39" i="20" s="1"/>
  <c r="I31" i="8"/>
  <c r="J40" i="20" s="1"/>
  <c r="I32" i="8"/>
  <c r="J41" i="20" s="1"/>
  <c r="I33" i="8"/>
  <c r="J42" i="20" s="1"/>
  <c r="I34" i="8"/>
  <c r="J43" i="20" s="1"/>
  <c r="I35" i="8"/>
  <c r="J44" i="20" s="1"/>
  <c r="I36" i="8"/>
  <c r="J45" i="20" s="1"/>
  <c r="I37" i="8"/>
  <c r="J46" i="20" s="1"/>
  <c r="I38" i="8"/>
  <c r="J47" i="20" s="1"/>
  <c r="I39" i="8"/>
  <c r="J48" i="20" s="1"/>
  <c r="I40" i="8"/>
  <c r="J49" i="20" s="1"/>
  <c r="I41" i="8"/>
  <c r="J50" i="20" s="1"/>
  <c r="C3" i="8"/>
  <c r="C4" i="8"/>
  <c r="D13" i="20" s="1"/>
  <c r="C5" i="8"/>
  <c r="C6" i="8"/>
  <c r="D15" i="20" s="1"/>
  <c r="C7" i="8"/>
  <c r="D16" i="20" s="1"/>
  <c r="C8" i="8"/>
  <c r="D17" i="20" s="1"/>
  <c r="C9" i="8"/>
  <c r="C10" i="8"/>
  <c r="D19" i="20" s="1"/>
  <c r="C11" i="8"/>
  <c r="C12" i="8"/>
  <c r="D21" i="20" s="1"/>
  <c r="C13" i="8"/>
  <c r="C14" i="8"/>
  <c r="D23" i="20" s="1"/>
  <c r="C15" i="8"/>
  <c r="D24" i="20" s="1"/>
  <c r="C16" i="8"/>
  <c r="D25" i="20" s="1"/>
  <c r="C17" i="8"/>
  <c r="C18" i="8"/>
  <c r="D27" i="20" s="1"/>
  <c r="C19" i="8"/>
  <c r="C20" i="8"/>
  <c r="D29" i="20" s="1"/>
  <c r="C21" i="8"/>
  <c r="C22" i="8"/>
  <c r="D31" i="20" s="1"/>
  <c r="C23" i="8"/>
  <c r="D32" i="20" s="1"/>
  <c r="C24" i="8"/>
  <c r="D33" i="20" s="1"/>
  <c r="C25" i="8"/>
  <c r="C26" i="8"/>
  <c r="D35" i="20" s="1"/>
  <c r="C27" i="8"/>
  <c r="C28" i="8"/>
  <c r="D37" i="20" s="1"/>
  <c r="C29" i="8"/>
  <c r="C30" i="8"/>
  <c r="D39" i="20" s="1"/>
  <c r="C31" i="8"/>
  <c r="D40" i="20" s="1"/>
  <c r="C32" i="8"/>
  <c r="D41" i="20" s="1"/>
  <c r="C33" i="8"/>
  <c r="C34" i="8"/>
  <c r="D43" i="20" s="1"/>
  <c r="C35" i="8"/>
  <c r="C36" i="8"/>
  <c r="D45" i="20" s="1"/>
  <c r="C37" i="8"/>
  <c r="D46" i="20" s="1"/>
  <c r="C38" i="8"/>
  <c r="D47" i="20" s="1"/>
  <c r="C39" i="8"/>
  <c r="D48" i="20" s="1"/>
  <c r="C40" i="8"/>
  <c r="D49" i="20" s="1"/>
  <c r="C41" i="8"/>
  <c r="D50" i="20" s="1"/>
  <c r="S6" i="17"/>
  <c r="S6" i="16"/>
  <c r="S6" i="15"/>
  <c r="S6" i="18"/>
  <c r="S6" i="14"/>
  <c r="S6" i="13"/>
  <c r="S6" i="12"/>
  <c r="S6" i="11"/>
  <c r="J3" i="8"/>
  <c r="K12" i="20" s="1"/>
  <c r="J4" i="8"/>
  <c r="J5" i="8"/>
  <c r="K14" i="20" s="1"/>
  <c r="J6" i="8"/>
  <c r="J7" i="8"/>
  <c r="K16" i="20" s="1"/>
  <c r="J8" i="8"/>
  <c r="J9" i="8"/>
  <c r="K18" i="20" s="1"/>
  <c r="J10" i="8"/>
  <c r="J11" i="8"/>
  <c r="K20" i="20" s="1"/>
  <c r="J12" i="8"/>
  <c r="J13" i="8"/>
  <c r="K22" i="20" s="1"/>
  <c r="J14" i="8"/>
  <c r="J15" i="8"/>
  <c r="K24" i="20" s="1"/>
  <c r="J16" i="8"/>
  <c r="J17" i="8"/>
  <c r="K26" i="20" s="1"/>
  <c r="J18" i="8"/>
  <c r="J19" i="8"/>
  <c r="K28" i="20" s="1"/>
  <c r="J20" i="8"/>
  <c r="J21" i="8"/>
  <c r="K30" i="20" s="1"/>
  <c r="J22" i="8"/>
  <c r="J23" i="8"/>
  <c r="K32" i="20" s="1"/>
  <c r="J24" i="8"/>
  <c r="J25" i="8"/>
  <c r="K34" i="20" s="1"/>
  <c r="J26" i="8"/>
  <c r="J27" i="8"/>
  <c r="K36" i="20" s="1"/>
  <c r="J28" i="8"/>
  <c r="J29" i="8"/>
  <c r="K38" i="20" s="1"/>
  <c r="J30" i="8"/>
  <c r="J31" i="8"/>
  <c r="K40" i="20" s="1"/>
  <c r="J32" i="8"/>
  <c r="J33" i="8"/>
  <c r="K42" i="20" s="1"/>
  <c r="J34" i="8"/>
  <c r="J35" i="8"/>
  <c r="K44" i="20" s="1"/>
  <c r="J36" i="8"/>
  <c r="J37" i="8"/>
  <c r="K46" i="20" s="1"/>
  <c r="J38" i="8"/>
  <c r="J39" i="8"/>
  <c r="K48" i="20" s="1"/>
  <c r="J40" i="8"/>
  <c r="J41" i="8"/>
  <c r="K50" i="20" s="1"/>
  <c r="K3" i="8"/>
  <c r="L12" i="20" s="1"/>
  <c r="K4" i="8"/>
  <c r="L13" i="20" s="1"/>
  <c r="K5" i="8"/>
  <c r="L14" i="20" s="1"/>
  <c r="K6" i="8"/>
  <c r="L15" i="20" s="1"/>
  <c r="K7" i="8"/>
  <c r="L16" i="20" s="1"/>
  <c r="K8" i="8"/>
  <c r="L17" i="20" s="1"/>
  <c r="K9" i="8"/>
  <c r="L18" i="20" s="1"/>
  <c r="K10" i="8"/>
  <c r="L19" i="20" s="1"/>
  <c r="K11" i="8"/>
  <c r="L20" i="20" s="1"/>
  <c r="K12" i="8"/>
  <c r="L21" i="20" s="1"/>
  <c r="K13" i="8"/>
  <c r="L22" i="20" s="1"/>
  <c r="K14" i="8"/>
  <c r="L23" i="20" s="1"/>
  <c r="K15" i="8"/>
  <c r="L24" i="20" s="1"/>
  <c r="K16" i="8"/>
  <c r="L25" i="20" s="1"/>
  <c r="K17" i="8"/>
  <c r="L26" i="20" s="1"/>
  <c r="K18" i="8"/>
  <c r="L27" i="20" s="1"/>
  <c r="K19" i="8"/>
  <c r="L28" i="20" s="1"/>
  <c r="K20" i="8"/>
  <c r="L29" i="20" s="1"/>
  <c r="K21" i="8"/>
  <c r="L30" i="20" s="1"/>
  <c r="K22" i="8"/>
  <c r="L31" i="20" s="1"/>
  <c r="K23" i="8"/>
  <c r="L32" i="20" s="1"/>
  <c r="K24" i="8"/>
  <c r="L33" i="20" s="1"/>
  <c r="K25" i="8"/>
  <c r="L34" i="20" s="1"/>
  <c r="K26" i="8"/>
  <c r="L35" i="20" s="1"/>
  <c r="K27" i="8"/>
  <c r="L36" i="20" s="1"/>
  <c r="K28" i="8"/>
  <c r="L37" i="20" s="1"/>
  <c r="K29" i="8"/>
  <c r="L38" i="20" s="1"/>
  <c r="K30" i="8"/>
  <c r="L39" i="20" s="1"/>
  <c r="K31" i="8"/>
  <c r="L40" i="20" s="1"/>
  <c r="K32" i="8"/>
  <c r="L41" i="20" s="1"/>
  <c r="K33" i="8"/>
  <c r="L42" i="20" s="1"/>
  <c r="K34" i="8"/>
  <c r="L43" i="20" s="1"/>
  <c r="K35" i="8"/>
  <c r="L44" i="20" s="1"/>
  <c r="K36" i="8"/>
  <c r="L45" i="20" s="1"/>
  <c r="K37" i="8"/>
  <c r="L46" i="20" s="1"/>
  <c r="K38" i="8"/>
  <c r="L47" i="20" s="1"/>
  <c r="K39" i="8"/>
  <c r="L48" i="20" s="1"/>
  <c r="K40" i="8"/>
  <c r="L49" i="20" s="1"/>
  <c r="K41" i="8"/>
  <c r="L50" i="20" s="1"/>
  <c r="L3" i="8"/>
  <c r="M12" i="20" s="1"/>
  <c r="L4" i="8"/>
  <c r="M13" i="20" s="1"/>
  <c r="L5" i="8"/>
  <c r="M14" i="20" s="1"/>
  <c r="L6" i="8"/>
  <c r="M15" i="20" s="1"/>
  <c r="L7" i="8"/>
  <c r="M16" i="20" s="1"/>
  <c r="L8" i="8"/>
  <c r="M17" i="20" s="1"/>
  <c r="L9" i="8"/>
  <c r="M18" i="20" s="1"/>
  <c r="L10" i="8"/>
  <c r="M19" i="20" s="1"/>
  <c r="L11" i="8"/>
  <c r="M20" i="20" s="1"/>
  <c r="L12" i="8"/>
  <c r="M21" i="20" s="1"/>
  <c r="L13" i="8"/>
  <c r="M22" i="20" s="1"/>
  <c r="L14" i="8"/>
  <c r="M23" i="20" s="1"/>
  <c r="L15" i="8"/>
  <c r="M24" i="20" s="1"/>
  <c r="L16" i="8"/>
  <c r="M25" i="20" s="1"/>
  <c r="L17" i="8"/>
  <c r="M26" i="20" s="1"/>
  <c r="L18" i="8"/>
  <c r="M27" i="20" s="1"/>
  <c r="L19" i="8"/>
  <c r="M28" i="20" s="1"/>
  <c r="L20" i="8"/>
  <c r="M29" i="20" s="1"/>
  <c r="L21" i="8"/>
  <c r="M30" i="20" s="1"/>
  <c r="L22" i="8"/>
  <c r="M31" i="20" s="1"/>
  <c r="L23" i="8"/>
  <c r="M32" i="20" s="1"/>
  <c r="L24" i="8"/>
  <c r="M33" i="20" s="1"/>
  <c r="L25" i="8"/>
  <c r="M34" i="20" s="1"/>
  <c r="L26" i="8"/>
  <c r="M35" i="20" s="1"/>
  <c r="L27" i="8"/>
  <c r="M36" i="20" s="1"/>
  <c r="L28" i="8"/>
  <c r="M37" i="20" s="1"/>
  <c r="L29" i="8"/>
  <c r="M38" i="20" s="1"/>
  <c r="L30" i="8"/>
  <c r="M39" i="20" s="1"/>
  <c r="L31" i="8"/>
  <c r="M40" i="20" s="1"/>
  <c r="L32" i="8"/>
  <c r="M41" i="20" s="1"/>
  <c r="L33" i="8"/>
  <c r="M42" i="20" s="1"/>
  <c r="L34" i="8"/>
  <c r="M43" i="20" s="1"/>
  <c r="L35" i="8"/>
  <c r="M44" i="20" s="1"/>
  <c r="L36" i="8"/>
  <c r="M45" i="20" s="1"/>
  <c r="L37" i="8"/>
  <c r="M46" i="20" s="1"/>
  <c r="L38" i="8"/>
  <c r="M47" i="20" s="1"/>
  <c r="L39" i="8"/>
  <c r="M48" i="20" s="1"/>
  <c r="L40" i="8"/>
  <c r="M49" i="20" s="1"/>
  <c r="L41" i="8"/>
  <c r="M50" i="20" s="1"/>
  <c r="E77" i="20"/>
  <c r="E78" i="20"/>
  <c r="E79" i="20"/>
  <c r="E80" i="20"/>
  <c r="E81" i="20"/>
  <c r="E82" i="20"/>
  <c r="E83" i="20"/>
  <c r="E84" i="20"/>
  <c r="E85" i="20"/>
  <c r="E86" i="20"/>
  <c r="F77" i="20"/>
  <c r="F78" i="20"/>
  <c r="F79" i="20"/>
  <c r="F80" i="20"/>
  <c r="F81" i="20"/>
  <c r="F82" i="20"/>
  <c r="F83" i="20"/>
  <c r="F84" i="20"/>
  <c r="F85" i="20"/>
  <c r="F86" i="20"/>
  <c r="G77" i="20"/>
  <c r="G78" i="20"/>
  <c r="G79" i="20"/>
  <c r="G80" i="20"/>
  <c r="G81" i="20"/>
  <c r="G82" i="20"/>
  <c r="G83" i="20"/>
  <c r="G84" i="20"/>
  <c r="G85" i="20"/>
  <c r="G86" i="20"/>
  <c r="H77" i="20"/>
  <c r="H78" i="20"/>
  <c r="H79" i="20"/>
  <c r="H80" i="20"/>
  <c r="H81" i="20"/>
  <c r="H82" i="20"/>
  <c r="H83" i="20"/>
  <c r="H84" i="20"/>
  <c r="H85" i="20"/>
  <c r="H86" i="20"/>
  <c r="I77" i="20"/>
  <c r="I78" i="20"/>
  <c r="I79" i="20"/>
  <c r="I80" i="20"/>
  <c r="I81" i="20"/>
  <c r="I82" i="20"/>
  <c r="I83" i="20"/>
  <c r="I84" i="20"/>
  <c r="I85" i="20"/>
  <c r="I86" i="20"/>
  <c r="J77" i="20"/>
  <c r="J78" i="20"/>
  <c r="J79" i="20"/>
  <c r="J80" i="20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K87" i="20"/>
  <c r="L77" i="20"/>
  <c r="L78" i="20"/>
  <c r="L79" i="20"/>
  <c r="L80" i="20"/>
  <c r="L81" i="20"/>
  <c r="L82" i="20"/>
  <c r="L83" i="20"/>
  <c r="L84" i="20"/>
  <c r="L85" i="20"/>
  <c r="L86" i="20"/>
  <c r="L87" i="20"/>
  <c r="M77" i="20"/>
  <c r="M78" i="20"/>
  <c r="M79" i="20"/>
  <c r="M80" i="20"/>
  <c r="M81" i="20"/>
  <c r="M82" i="20"/>
  <c r="M83" i="20"/>
  <c r="M84" i="20"/>
  <c r="M85" i="20"/>
  <c r="M86" i="20"/>
  <c r="M87" i="20"/>
  <c r="D77" i="20"/>
  <c r="D78" i="20"/>
  <c r="D79" i="20"/>
  <c r="D80" i="20"/>
  <c r="D81" i="20"/>
  <c r="D82" i="20"/>
  <c r="D83" i="20"/>
  <c r="D84" i="20"/>
  <c r="D85" i="20"/>
  <c r="D86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76" i="20"/>
  <c r="L11" i="20"/>
  <c r="L76" i="20"/>
  <c r="M11" i="20"/>
  <c r="M76" i="20"/>
  <c r="D11" i="20"/>
  <c r="D76" i="20"/>
  <c r="C68" i="20"/>
  <c r="C69" i="20"/>
  <c r="E66" i="20"/>
  <c r="F66" i="20"/>
  <c r="G66" i="20"/>
  <c r="H66" i="20"/>
  <c r="I66" i="20"/>
  <c r="J66" i="20"/>
  <c r="K66" i="20"/>
  <c r="L66" i="20"/>
  <c r="M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X97" i="1"/>
  <c r="W97" i="1"/>
  <c r="V97" i="1"/>
  <c r="U97" i="1"/>
  <c r="T97" i="1"/>
  <c r="S97" i="1"/>
  <c r="R97" i="1"/>
  <c r="Q97" i="1"/>
  <c r="P97" i="1"/>
  <c r="O97" i="1"/>
  <c r="L58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50" i="1" s="1"/>
  <c r="Y14" i="1"/>
  <c r="Y15" i="1"/>
  <c r="Y16" i="1"/>
  <c r="Y17" i="1"/>
  <c r="Y18" i="1"/>
  <c r="Y19" i="1"/>
  <c r="Y21" i="1"/>
  <c r="Y22" i="1"/>
  <c r="Y27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97" i="1" s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97" i="1" s="1"/>
  <c r="L61" i="1"/>
  <c r="L60" i="1"/>
  <c r="L59" i="1"/>
  <c r="P57" i="1"/>
  <c r="Q57" i="1"/>
  <c r="R57" i="1"/>
  <c r="S57" i="1"/>
  <c r="T57" i="1"/>
  <c r="U57" i="1"/>
  <c r="V57" i="1"/>
  <c r="W57" i="1"/>
  <c r="O57" i="1"/>
  <c r="C57" i="1"/>
  <c r="D57" i="1"/>
  <c r="E57" i="1"/>
  <c r="F57" i="1"/>
  <c r="G57" i="1"/>
  <c r="H57" i="1"/>
  <c r="I57" i="1"/>
  <c r="J57" i="1"/>
  <c r="K57" i="1"/>
  <c r="B57" i="1"/>
  <c r="P10" i="1"/>
  <c r="Q10" i="1"/>
  <c r="R10" i="1"/>
  <c r="S10" i="1"/>
  <c r="T10" i="1"/>
  <c r="U10" i="1"/>
  <c r="V10" i="1"/>
  <c r="O10" i="1"/>
  <c r="C77" i="20" l="1"/>
  <c r="I87" i="20"/>
  <c r="G87" i="20"/>
  <c r="C85" i="20"/>
  <c r="C81" i="20"/>
  <c r="E87" i="20"/>
  <c r="L50" i="14"/>
  <c r="L50" i="12"/>
  <c r="L50" i="16"/>
  <c r="L50" i="13"/>
  <c r="M67" i="20"/>
  <c r="M70" i="20" s="1"/>
  <c r="C82" i="20"/>
  <c r="J87" i="20"/>
  <c r="H87" i="20"/>
  <c r="C86" i="20"/>
  <c r="C78" i="20"/>
  <c r="C84" i="20"/>
  <c r="D87" i="20"/>
  <c r="F87" i="20"/>
  <c r="C83" i="20"/>
  <c r="C79" i="20"/>
  <c r="M31" i="8"/>
  <c r="N31" i="8" s="1"/>
  <c r="L67" i="20"/>
  <c r="L70" i="20" s="1"/>
  <c r="G67" i="20"/>
  <c r="G70" i="20" s="1"/>
  <c r="M15" i="8"/>
  <c r="N15" i="8" s="1"/>
  <c r="M41" i="8"/>
  <c r="N41" i="8" s="1"/>
  <c r="M23" i="8"/>
  <c r="N23" i="8" s="1"/>
  <c r="M7" i="8"/>
  <c r="N7" i="8" s="1"/>
  <c r="D36" i="20"/>
  <c r="M27" i="8"/>
  <c r="N27" i="8" s="1"/>
  <c r="D20" i="20"/>
  <c r="M11" i="8"/>
  <c r="N11" i="8" s="1"/>
  <c r="D30" i="20"/>
  <c r="M21" i="8"/>
  <c r="N21" i="8" s="1"/>
  <c r="D44" i="20"/>
  <c r="M35" i="8"/>
  <c r="N35" i="8" s="1"/>
  <c r="D22" i="20"/>
  <c r="M13" i="8"/>
  <c r="N13" i="8" s="1"/>
  <c r="D28" i="20"/>
  <c r="M19" i="8"/>
  <c r="N19" i="8" s="1"/>
  <c r="D12" i="20"/>
  <c r="M3" i="8"/>
  <c r="N3" i="8" s="1"/>
  <c r="D38" i="20"/>
  <c r="M29" i="8"/>
  <c r="N29" i="8" s="1"/>
  <c r="D14" i="20"/>
  <c r="M5" i="8"/>
  <c r="N5" i="8" s="1"/>
  <c r="D42" i="20"/>
  <c r="M33" i="8"/>
  <c r="N33" i="8" s="1"/>
  <c r="D34" i="20"/>
  <c r="M25" i="8"/>
  <c r="N25" i="8" s="1"/>
  <c r="D26" i="20"/>
  <c r="M17" i="8"/>
  <c r="N17" i="8" s="1"/>
  <c r="D18" i="20"/>
  <c r="M9" i="8"/>
  <c r="N9" i="8" s="1"/>
  <c r="H67" i="20"/>
  <c r="H70" i="20" s="1"/>
  <c r="F67" i="20"/>
  <c r="F70" i="20" s="1"/>
  <c r="J67" i="20"/>
  <c r="J70" i="20" s="1"/>
  <c r="L50" i="11"/>
  <c r="K49" i="20"/>
  <c r="M40" i="8"/>
  <c r="N40" i="8" s="1"/>
  <c r="K41" i="20"/>
  <c r="M32" i="8"/>
  <c r="N32" i="8" s="1"/>
  <c r="K33" i="20"/>
  <c r="M24" i="8"/>
  <c r="N24" i="8" s="1"/>
  <c r="K17" i="20"/>
  <c r="M8" i="8"/>
  <c r="N8" i="8" s="1"/>
  <c r="K47" i="20"/>
  <c r="M38" i="8"/>
  <c r="N38" i="8" s="1"/>
  <c r="K43" i="20"/>
  <c r="M34" i="8"/>
  <c r="N34" i="8" s="1"/>
  <c r="K39" i="20"/>
  <c r="M30" i="8"/>
  <c r="N30" i="8" s="1"/>
  <c r="K35" i="20"/>
  <c r="M26" i="8"/>
  <c r="N26" i="8" s="1"/>
  <c r="K31" i="20"/>
  <c r="M22" i="8"/>
  <c r="N22" i="8" s="1"/>
  <c r="K27" i="20"/>
  <c r="M18" i="8"/>
  <c r="N18" i="8" s="1"/>
  <c r="K23" i="20"/>
  <c r="M14" i="8"/>
  <c r="N14" i="8" s="1"/>
  <c r="K19" i="20"/>
  <c r="M10" i="8"/>
  <c r="N10" i="8" s="1"/>
  <c r="K15" i="20"/>
  <c r="M6" i="8"/>
  <c r="N6" i="8" s="1"/>
  <c r="K45" i="20"/>
  <c r="M36" i="8"/>
  <c r="N36" i="8" s="1"/>
  <c r="K37" i="20"/>
  <c r="M28" i="8"/>
  <c r="N28" i="8" s="1"/>
  <c r="K29" i="20"/>
  <c r="M20" i="8"/>
  <c r="N20" i="8" s="1"/>
  <c r="K25" i="20"/>
  <c r="M16" i="8"/>
  <c r="N16" i="8" s="1"/>
  <c r="K21" i="20"/>
  <c r="M12" i="8"/>
  <c r="N12" i="8" s="1"/>
  <c r="K13" i="20"/>
  <c r="M4" i="8"/>
  <c r="N4" i="8" s="1"/>
  <c r="E67" i="20"/>
  <c r="E70" i="20" s="1"/>
  <c r="L50" i="1"/>
  <c r="M39" i="8"/>
  <c r="N39" i="8" s="1"/>
  <c r="M37" i="8"/>
  <c r="N37" i="8" s="1"/>
  <c r="C80" i="20"/>
  <c r="I67" i="20"/>
  <c r="C87" i="20" l="1"/>
  <c r="K67" i="20"/>
  <c r="K70" i="20" s="1"/>
  <c r="N42" i="8"/>
  <c r="D67" i="20"/>
  <c r="D70" i="20" s="1"/>
  <c r="I70" i="20"/>
  <c r="C70" i="20" l="1"/>
  <c r="C67" i="20"/>
</calcChain>
</file>

<file path=xl/sharedStrings.xml><?xml version="1.0" encoding="utf-8"?>
<sst xmlns="http://schemas.openxmlformats.org/spreadsheetml/2006/main" count="1903" uniqueCount="113">
  <si>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</si>
  <si>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</si>
  <si>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</si>
  <si>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</si>
  <si>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</si>
  <si>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</si>
  <si>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</si>
  <si>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</si>
  <si>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</si>
  <si>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</si>
  <si>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</si>
  <si>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</si>
  <si>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</si>
  <si>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</si>
  <si>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</si>
  <si>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</si>
  <si>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</si>
  <si>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</si>
  <si>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</si>
  <si>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</si>
  <si>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</si>
  <si>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</si>
  <si>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</si>
  <si>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</si>
  <si>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</si>
  <si>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</si>
  <si>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</si>
  <si>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</si>
  <si>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</si>
  <si>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</si>
  <si>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</si>
  <si>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</si>
  <si>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</si>
  <si>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</si>
  <si>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</si>
  <si>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</si>
  <si>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</si>
  <si>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</si>
  <si>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</si>
  <si>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</si>
  <si>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</si>
  <si>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</si>
  <si>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</si>
  <si>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</si>
  <si>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</si>
  <si>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</si>
  <si>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</si>
  <si>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</si>
  <si>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</si>
  <si>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</si>
  <si>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</si>
  <si>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</si>
  <si>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</si>
  <si>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</si>
  <si>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</si>
  <si>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</si>
  <si>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</si>
  <si>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</si>
  <si>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</si>
  <si>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</si>
  <si>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</si>
  <si>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</si>
  <si>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</si>
  <si>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</si>
  <si>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</si>
  <si>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</si>
  <si>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</si>
  <si>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</si>
  <si>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</si>
  <si>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</si>
  <si>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</si>
  <si>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</si>
  <si>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</si>
  <si>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</si>
  <si>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</si>
  <si>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</si>
  <si>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</si>
  <si>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</si>
  <si>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</si>
  <si>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</si>
  <si>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</si>
  <si>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</si>
  <si>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</si>
  <si>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</si>
  <si>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</si>
  <si>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</si>
  <si>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</si>
  <si>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</si>
  <si>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</si>
  <si>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</si>
  <si>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</si>
  <si>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</si>
  <si>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</si>
  <si>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</si>
  <si>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</si>
  <si>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</si>
  <si>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</si>
  <si>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</si>
  <si>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</si>
  <si>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</si>
  <si>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</si>
  <si>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</si>
  <si>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</si>
  <si>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</si>
  <si>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</si>
  <si>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</si>
  <si>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</si>
  <si>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Junio</t>
  </si>
  <si>
    <t>Lunes 02</t>
  </si>
  <si>
    <t>Lunes 09</t>
  </si>
  <si>
    <t>Lunes 16</t>
  </si>
  <si>
    <t>Lunes 23</t>
  </si>
  <si>
    <t>Lunes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</si>
</sst>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840.416746064817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Ocetra"/>
        <s v="Candelaria"/>
        <s v="Del Carmen"/>
        <s v="Rosario"/>
        <s v="Pilar"/>
        <s v="Victoria"/>
        <s v="Dolores"/>
        <s v="Caridad"/>
        <s v="Loudes"/>
        <s v="Rosa"/>
        <m u="1"/>
      </sharedItems>
    </cacheField>
    <cacheField name="Thalassa 0.9 -1.6" numFmtId="0">
      <sharedItems containsSemiMixedTypes="0" containsString="0" containsNumber="1" containsInteger="1" minValue="0" maxValue="20"/>
    </cacheField>
    <cacheField name="Thalassa 1.3 - 2.0" numFmtId="0">
      <sharedItems containsSemiMixedTypes="0" containsString="0" containsNumber="1" containsInteger="1" minValue="0" maxValue="160"/>
    </cacheField>
    <cacheField name="3 mm progress ex" numFmtId="0">
      <sharedItems containsSemiMixedTypes="0" containsString="0" containsNumber="1" containsInteger="1" minValue="0" maxValue="500"/>
    </cacheField>
    <cacheField name="4.5 mm Progress" numFmtId="0">
      <sharedItems containsSemiMixedTypes="0" containsString="0" containsNumber="1" containsInteger="1" minValue="0" maxValue="150"/>
    </cacheField>
    <cacheField name="6 mm Progress" numFmtId="0">
      <sharedItems containsSemiMixedTypes="0" containsString="0" containsNumber="1" containsInteger="1" minValue="0" maxValue="325"/>
    </cacheField>
    <cacheField name="8 mm Progress" numFmtId="0">
      <sharedItems containsSemiMixedTypes="0" containsString="0" containsNumber="1" containsInteger="1" minValue="0" maxValue="300"/>
    </cacheField>
    <cacheField name="8 mm Reproductor" numFmtId="0">
      <sharedItems containsSemiMixedTypes="0" containsString="0" containsNumber="1" containsInteger="1" minValue="0" maxValue="475"/>
    </cacheField>
    <cacheField name="0" numFmtId="0">
      <sharedItems containsSemiMixedTypes="0" containsString="0" containsNumber="1" containsInteger="1" minValue="0" maxValue="0"/>
    </cacheField>
    <cacheField name="02" numFmtId="0">
      <sharedItems containsSemiMixedTypes="0" containsString="0" containsNumber="1" containsInteger="1" minValue="0" maxValue="0"/>
    </cacheField>
    <cacheField name="03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1"/>
    <n v="0"/>
    <n v="0"/>
    <n v="225"/>
    <n v="10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  <r>
    <x v="3"/>
    <n v="0"/>
    <n v="0"/>
    <n v="0"/>
    <n v="100"/>
    <n v="50"/>
    <n v="100"/>
    <n v="475"/>
    <n v="0"/>
    <n v="0"/>
    <n v="0"/>
  </r>
  <r>
    <x v="4"/>
    <n v="0"/>
    <n v="0"/>
    <n v="75"/>
    <n v="150"/>
    <n v="50"/>
    <n v="0"/>
    <n v="300"/>
    <n v="0"/>
    <n v="0"/>
    <n v="0"/>
  </r>
  <r>
    <x v="4"/>
    <n v="0"/>
    <n v="0"/>
    <n v="100"/>
    <n v="150"/>
    <n v="50"/>
    <n v="0"/>
    <n v="300"/>
    <n v="0"/>
    <n v="0"/>
    <n v="0"/>
  </r>
  <r>
    <x v="2"/>
    <n v="0"/>
    <n v="0"/>
    <n v="0"/>
    <n v="25"/>
    <n v="150"/>
    <n v="300"/>
    <n v="325"/>
    <n v="0"/>
    <n v="0"/>
    <n v="0"/>
  </r>
  <r>
    <x v="5"/>
    <n v="0"/>
    <n v="0"/>
    <n v="200"/>
    <n v="75"/>
    <n v="0"/>
    <n v="0"/>
    <n v="0"/>
    <n v="0"/>
    <n v="0"/>
    <n v="0"/>
  </r>
  <r>
    <x v="3"/>
    <n v="0"/>
    <n v="0"/>
    <n v="0"/>
    <n v="50"/>
    <n v="50"/>
    <n v="100"/>
    <n v="425"/>
    <n v="0"/>
    <n v="0"/>
    <n v="0"/>
  </r>
  <r>
    <x v="0"/>
    <n v="0"/>
    <n v="0"/>
    <n v="0"/>
    <n v="75"/>
    <n v="275"/>
    <n v="175"/>
    <n v="275"/>
    <n v="0"/>
    <n v="0"/>
    <n v="0"/>
  </r>
  <r>
    <x v="0"/>
    <n v="0"/>
    <n v="0"/>
    <n v="0"/>
    <n v="75"/>
    <n v="275"/>
    <n v="225"/>
    <n v="150"/>
    <n v="0"/>
    <n v="0"/>
    <n v="0"/>
  </r>
  <r>
    <x v="0"/>
    <n v="0"/>
    <n v="0"/>
    <n v="0"/>
    <n v="75"/>
    <n v="275"/>
    <n v="225"/>
    <n v="150"/>
    <n v="0"/>
    <n v="0"/>
    <n v="0"/>
  </r>
  <r>
    <x v="0"/>
    <n v="0"/>
    <n v="0"/>
    <n v="0"/>
    <n v="75"/>
    <n v="150"/>
    <n v="275"/>
    <n v="150"/>
    <n v="0"/>
    <n v="0"/>
    <n v="0"/>
  </r>
  <r>
    <x v="0"/>
    <n v="0"/>
    <n v="0"/>
    <n v="0"/>
    <n v="0"/>
    <n v="325"/>
    <n v="150"/>
    <n v="225"/>
    <n v="0"/>
    <n v="0"/>
    <n v="0"/>
  </r>
  <r>
    <x v="0"/>
    <n v="0"/>
    <n v="0"/>
    <n v="0"/>
    <n v="0"/>
    <n v="325"/>
    <n v="150"/>
    <n v="150"/>
    <n v="0"/>
    <n v="0"/>
    <n v="0"/>
  </r>
  <r>
    <x v="0"/>
    <n v="0"/>
    <n v="0"/>
    <n v="0"/>
    <n v="0"/>
    <n v="200"/>
    <n v="150"/>
    <n v="150"/>
    <n v="0"/>
    <n v="0"/>
    <n v="0"/>
  </r>
  <r>
    <x v="0"/>
    <n v="0"/>
    <n v="0"/>
    <n v="0"/>
    <n v="0"/>
    <n v="50"/>
    <n v="150"/>
    <n v="225"/>
    <n v="0"/>
    <n v="0"/>
    <n v="0"/>
  </r>
  <r>
    <x v="0"/>
    <n v="0"/>
    <n v="0"/>
    <n v="0"/>
    <n v="75"/>
    <n v="125"/>
    <n v="225"/>
    <n v="150"/>
    <n v="0"/>
    <n v="0"/>
    <n v="0"/>
  </r>
  <r>
    <x v="0"/>
    <n v="0"/>
    <n v="0"/>
    <n v="0"/>
    <n v="50"/>
    <n v="200"/>
    <n v="250"/>
    <n v="225"/>
    <n v="0"/>
    <n v="0"/>
    <n v="0"/>
  </r>
  <r>
    <x v="0"/>
    <n v="0"/>
    <n v="0"/>
    <n v="0"/>
    <n v="0"/>
    <n v="100"/>
    <n v="150"/>
    <n v="150"/>
    <n v="0"/>
    <n v="0"/>
    <n v="0"/>
  </r>
  <r>
    <x v="0"/>
    <n v="0"/>
    <n v="0"/>
    <n v="0"/>
    <n v="0"/>
    <n v="100"/>
    <n v="150"/>
    <n v="150"/>
    <n v="0"/>
    <n v="0"/>
    <n v="0"/>
  </r>
  <r>
    <x v="6"/>
    <n v="0"/>
    <n v="0"/>
    <n v="0"/>
    <n v="0"/>
    <n v="100"/>
    <n v="150"/>
    <n v="0"/>
    <n v="0"/>
    <n v="0"/>
    <n v="0"/>
  </r>
  <r>
    <x v="7"/>
    <n v="20"/>
    <n v="160"/>
    <n v="400"/>
    <n v="0"/>
    <n v="0"/>
    <n v="0"/>
    <n v="0"/>
    <n v="0"/>
    <n v="0"/>
    <n v="0"/>
  </r>
  <r>
    <x v="6"/>
    <n v="0"/>
    <n v="0"/>
    <n v="0"/>
    <n v="0"/>
    <n v="100"/>
    <n v="150"/>
    <n v="0"/>
    <n v="0"/>
    <n v="0"/>
    <n v="0"/>
  </r>
  <r>
    <x v="0"/>
    <n v="0"/>
    <n v="0"/>
    <n v="0"/>
    <n v="0"/>
    <n v="75"/>
    <n v="0"/>
    <n v="150"/>
    <n v="0"/>
    <n v="0"/>
    <n v="0"/>
  </r>
  <r>
    <x v="2"/>
    <n v="0"/>
    <n v="40"/>
    <n v="50"/>
    <n v="0"/>
    <n v="75"/>
    <n v="0"/>
    <n v="0"/>
    <n v="0"/>
    <n v="0"/>
    <n v="0"/>
  </r>
  <r>
    <x v="8"/>
    <n v="0"/>
    <n v="0"/>
    <n v="275"/>
    <n v="0"/>
    <n v="100"/>
    <n v="0"/>
    <n v="0"/>
    <n v="0"/>
    <n v="0"/>
    <n v="0"/>
  </r>
  <r>
    <x v="9"/>
    <n v="0"/>
    <n v="0"/>
    <n v="50"/>
    <n v="0"/>
    <n v="200"/>
    <n v="0"/>
    <n v="0"/>
    <n v="0"/>
    <n v="0"/>
    <n v="0"/>
  </r>
  <r>
    <x v="7"/>
    <n v="0"/>
    <n v="80"/>
    <n v="50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2">
        <item x="1"/>
        <item x="7"/>
        <item x="2"/>
        <item x="6"/>
        <item x="8"/>
        <item x="0"/>
        <item x="4"/>
        <item x="9"/>
        <item x="3"/>
        <item x="5"/>
        <item m="1"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43" zoomScaleNormal="100" workbookViewId="0">
      <selection activeCell="F47" sqref="F4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">
        <v>107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108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ref="W10" si="1">J10</f>
        <v>0</v>
      </c>
      <c r="X10" s="13">
        <f t="shared" ref="X10" si="2">K10</f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3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3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3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3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3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6</v>
      </c>
      <c r="G26" s="10"/>
      <c r="H26" s="10"/>
      <c r="I26" s="10"/>
      <c r="J26" s="10"/>
      <c r="K26" s="10"/>
      <c r="L26" s="3">
        <f t="shared" si="3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3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7</v>
      </c>
      <c r="G29" s="10"/>
      <c r="H29" s="10"/>
      <c r="I29" s="10"/>
      <c r="J29" s="10"/>
      <c r="K29" s="10"/>
      <c r="L29" s="3">
        <f t="shared" si="3"/>
        <v>7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5</v>
      </c>
      <c r="G30" s="10"/>
      <c r="H30" s="10"/>
      <c r="I30" s="10"/>
      <c r="J30" s="10"/>
      <c r="K30" s="10"/>
      <c r="L30" s="3">
        <f t="shared" si="3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5</v>
      </c>
      <c r="G31" s="10"/>
      <c r="H31" s="10"/>
      <c r="I31" s="10"/>
      <c r="J31" s="10"/>
      <c r="K31" s="10"/>
      <c r="L31" s="3">
        <f t="shared" si="3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5</v>
      </c>
      <c r="G33" s="10"/>
      <c r="H33" s="10"/>
      <c r="I33" s="10"/>
      <c r="J33" s="10"/>
      <c r="K33" s="10"/>
      <c r="L33" s="3">
        <f t="shared" si="3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6</v>
      </c>
      <c r="G34" s="10"/>
      <c r="H34" s="10"/>
      <c r="I34" s="10"/>
      <c r="J34" s="10"/>
      <c r="K34" s="10"/>
      <c r="L34" s="3">
        <f t="shared" si="3"/>
        <v>6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3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3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3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2</v>
      </c>
      <c r="G41" s="10"/>
      <c r="H41" s="10"/>
      <c r="I41" s="10"/>
      <c r="J41" s="10"/>
      <c r="K41" s="10"/>
      <c r="L41" s="3">
        <f t="shared" si="3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>
        <v>1</v>
      </c>
      <c r="C42" s="10"/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3"/>
        <v>3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2</v>
      </c>
      <c r="G43" s="10"/>
      <c r="H43" s="10"/>
      <c r="I43" s="10"/>
      <c r="J43" s="10"/>
      <c r="K43" s="10"/>
      <c r="L43" s="3">
        <f t="shared" si="3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>
        <v>3</v>
      </c>
      <c r="G44" s="10"/>
      <c r="H44" s="10"/>
      <c r="I44" s="10"/>
      <c r="J44" s="10"/>
      <c r="K44" s="10"/>
      <c r="L44" s="3">
        <f t="shared" si="3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3</v>
      </c>
      <c r="G45" s="10"/>
      <c r="H45" s="10"/>
      <c r="I45" s="10"/>
      <c r="J45" s="10"/>
      <c r="K45" s="10"/>
      <c r="L45" s="3">
        <f t="shared" si="3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3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5</v>
      </c>
      <c r="G47" s="10"/>
      <c r="H47" s="10"/>
      <c r="I47" s="10"/>
      <c r="J47" s="10"/>
      <c r="K47" s="10"/>
      <c r="L47" s="3">
        <f t="shared" si="3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/>
      <c r="D48" s="10">
        <v>4</v>
      </c>
      <c r="E48" s="10"/>
      <c r="F48" s="10"/>
      <c r="G48" s="10"/>
      <c r="H48" s="10"/>
      <c r="I48" s="10"/>
      <c r="J48" s="10"/>
      <c r="K48" s="10"/>
      <c r="L48" s="3">
        <f t="shared" si="3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1</v>
      </c>
      <c r="C50" s="3">
        <f t="shared" ref="C50:K50" si="5">SUM(C11:C49)</f>
        <v>0</v>
      </c>
      <c r="D50" s="3">
        <f t="shared" si="5"/>
        <v>14</v>
      </c>
      <c r="E50" s="3">
        <f t="shared" si="5"/>
        <v>0</v>
      </c>
      <c r="F50" s="3">
        <f t="shared" si="5"/>
        <v>67</v>
      </c>
      <c r="G50" s="3">
        <f t="shared" si="5"/>
        <v>0</v>
      </c>
      <c r="H50" s="3">
        <f t="shared" si="5"/>
        <v>0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82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>
        <f t="shared" si="15"/>
        <v>0</v>
      </c>
      <c r="J57" s="13">
        <f t="shared" si="15"/>
        <v>0</v>
      </c>
      <c r="K57" s="13">
        <f t="shared" si="1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>
        <f t="shared" si="16"/>
        <v>0</v>
      </c>
      <c r="W57" s="13">
        <f t="shared" si="16"/>
        <v>0</v>
      </c>
      <c r="X57" s="13">
        <f t="shared" si="1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  <mergeCell ref="F1:Q4"/>
    <mergeCell ref="C6:E6"/>
    <mergeCell ref="C7:E7"/>
    <mergeCell ref="A1:B1"/>
    <mergeCell ref="A2:B2"/>
    <mergeCell ref="A3:B3"/>
    <mergeCell ref="A4:B4"/>
    <mergeCell ref="A5:B5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16" zoomScaleNormal="100" workbookViewId="0">
      <selection activeCell="H27" sqref="H2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109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/>
      <c r="F20" s="10"/>
      <c r="G20" s="10"/>
      <c r="H20" s="10"/>
      <c r="I20" s="10"/>
      <c r="J20" s="10"/>
      <c r="K20" s="10"/>
      <c r="L20" s="3">
        <f t="shared" si="1"/>
        <v>2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>
        <v>6</v>
      </c>
      <c r="I23" s="10"/>
      <c r="J23" s="10"/>
      <c r="K23" s="10"/>
      <c r="L23" s="3">
        <f t="shared" si="1"/>
        <v>6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>
        <v>1</v>
      </c>
      <c r="E24" s="10"/>
      <c r="F24" s="10"/>
      <c r="G24" s="10"/>
      <c r="H24" s="10">
        <v>2</v>
      </c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>
        <v>2</v>
      </c>
      <c r="E25" s="10"/>
      <c r="F25" s="10"/>
      <c r="G25" s="10"/>
      <c r="H25" s="10">
        <v>2</v>
      </c>
      <c r="I25" s="10"/>
      <c r="J25" s="10"/>
      <c r="K25" s="10"/>
      <c r="L25" s="3">
        <f t="shared" si="1"/>
        <v>4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>
        <v>6</v>
      </c>
      <c r="I26" s="10"/>
      <c r="J26" s="10"/>
      <c r="K26" s="10"/>
      <c r="L26" s="3">
        <f t="shared" si="1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2</v>
      </c>
      <c r="E27" s="10"/>
      <c r="F27" s="10"/>
      <c r="G27" s="10"/>
      <c r="H27" s="10"/>
      <c r="I27" s="10"/>
      <c r="J27" s="10"/>
      <c r="K27" s="10"/>
      <c r="L27" s="3">
        <f t="shared" si="1"/>
        <v>2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>
        <v>6</v>
      </c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4</v>
      </c>
      <c r="G29" s="10"/>
      <c r="H29" s="10">
        <v>2</v>
      </c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6</v>
      </c>
      <c r="G30" s="10"/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6</v>
      </c>
      <c r="G31" s="10"/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4</v>
      </c>
      <c r="G32" s="10">
        <v>2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8</v>
      </c>
      <c r="G33" s="10"/>
      <c r="H33" s="10"/>
      <c r="I33" s="10"/>
      <c r="J33" s="10"/>
      <c r="K33" s="10"/>
      <c r="L33" s="3">
        <f t="shared" si="1"/>
        <v>8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7</v>
      </c>
      <c r="G34" s="10"/>
      <c r="H34" s="10"/>
      <c r="I34" s="10"/>
      <c r="J34" s="10"/>
      <c r="K34" s="10"/>
      <c r="L34" s="3">
        <f t="shared" si="1"/>
        <v>7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8</v>
      </c>
      <c r="G35" s="10"/>
      <c r="H35" s="10"/>
      <c r="I35" s="10"/>
      <c r="J35" s="10"/>
      <c r="K35" s="10"/>
      <c r="L35" s="3">
        <f t="shared" si="1"/>
        <v>8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3</v>
      </c>
      <c r="G37" s="10"/>
      <c r="H37" s="10"/>
      <c r="I37" s="10"/>
      <c r="J37" s="10"/>
      <c r="K37" s="10"/>
      <c r="L37" s="3">
        <f t="shared" si="1"/>
        <v>3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6</v>
      </c>
      <c r="G38" s="10"/>
      <c r="H38" s="10"/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2</v>
      </c>
      <c r="G41" s="10"/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1"/>
        <v>4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2</v>
      </c>
      <c r="G43" s="10"/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3</v>
      </c>
      <c r="E46" s="10"/>
      <c r="F46" s="10">
        <v>3</v>
      </c>
      <c r="G46" s="10"/>
      <c r="H46" s="10"/>
      <c r="I46" s="10"/>
      <c r="J46" s="10"/>
      <c r="K46" s="10"/>
      <c r="L46" s="3">
        <f t="shared" si="1"/>
        <v>6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>
        <v>2</v>
      </c>
      <c r="E47" s="10"/>
      <c r="F47" s="10">
        <v>3</v>
      </c>
      <c r="G47" s="10"/>
      <c r="H47" s="10"/>
      <c r="I47" s="10"/>
      <c r="J47" s="10"/>
      <c r="K47" s="10"/>
      <c r="L47" s="3">
        <f t="shared" si="1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>
        <v>4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2</v>
      </c>
      <c r="D50" s="3">
        <f t="shared" si="3"/>
        <v>18</v>
      </c>
      <c r="E50" s="3">
        <f t="shared" si="3"/>
        <v>0</v>
      </c>
      <c r="F50" s="3">
        <f t="shared" si="3"/>
        <v>68</v>
      </c>
      <c r="G50" s="3">
        <f t="shared" si="3"/>
        <v>2</v>
      </c>
      <c r="H50" s="3">
        <f t="shared" si="3"/>
        <v>24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114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28" zoomScaleNormal="100" workbookViewId="0">
      <selection activeCell="H27" sqref="H2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110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105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>
        <v>2</v>
      </c>
      <c r="H23" s="10">
        <v>6</v>
      </c>
      <c r="I23" s="10"/>
      <c r="J23" s="10"/>
      <c r="K23" s="10"/>
      <c r="L23" s="3">
        <f t="shared" si="1"/>
        <v>8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>
        <v>6</v>
      </c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>
        <v>6</v>
      </c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6</v>
      </c>
      <c r="H26" s="10"/>
      <c r="I26" s="10"/>
      <c r="J26" s="10"/>
      <c r="K26" s="10"/>
      <c r="L26" s="3">
        <f t="shared" si="1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>
        <v>2</v>
      </c>
      <c r="H28" s="10">
        <v>4</v>
      </c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>
        <v>3</v>
      </c>
      <c r="H29" s="10">
        <v>3</v>
      </c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>
        <v>3</v>
      </c>
      <c r="H30" s="10">
        <v>3</v>
      </c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3</v>
      </c>
      <c r="H31" s="10">
        <v>3</v>
      </c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>
        <v>3</v>
      </c>
      <c r="H32" s="10">
        <v>3</v>
      </c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/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/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>
        <v>3</v>
      </c>
      <c r="I36" s="10"/>
      <c r="J36" s="10"/>
      <c r="K36" s="10"/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>
        <v>3</v>
      </c>
      <c r="H37" s="10">
        <v>3</v>
      </c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>
        <v>3</v>
      </c>
      <c r="H38" s="10">
        <v>3</v>
      </c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4</v>
      </c>
      <c r="E42" s="10"/>
      <c r="F42" s="10"/>
      <c r="G42" s="10"/>
      <c r="H42" s="10"/>
      <c r="I42" s="10"/>
      <c r="J42" s="10"/>
      <c r="K42" s="10"/>
      <c r="L42" s="3">
        <f t="shared" si="1"/>
        <v>6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>
        <v>2</v>
      </c>
      <c r="D45" s="10">
        <v>2</v>
      </c>
      <c r="E45" s="10"/>
      <c r="F45" s="10"/>
      <c r="G45" s="10"/>
      <c r="H45" s="10"/>
      <c r="I45" s="10"/>
      <c r="J45" s="10"/>
      <c r="K45" s="10"/>
      <c r="L45" s="3">
        <f t="shared" si="1"/>
        <v>4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>
        <v>1</v>
      </c>
      <c r="G46" s="10"/>
      <c r="H46" s="10"/>
      <c r="I46" s="10"/>
      <c r="J46" s="10"/>
      <c r="K46" s="10"/>
      <c r="L46" s="3">
        <f t="shared" si="1"/>
        <v>3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>
        <v>4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12</v>
      </c>
      <c r="E50" s="3">
        <f t="shared" si="3"/>
        <v>0</v>
      </c>
      <c r="F50" s="3">
        <f t="shared" si="3"/>
        <v>1</v>
      </c>
      <c r="G50" s="3">
        <f t="shared" si="3"/>
        <v>44</v>
      </c>
      <c r="H50" s="3">
        <f t="shared" si="3"/>
        <v>46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107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26" zoomScaleNormal="100" workbookViewId="0">
      <selection activeCell="I36" sqref="I3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106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>
        <v>4</v>
      </c>
      <c r="F20" s="10"/>
      <c r="G20" s="10"/>
      <c r="H20" s="10"/>
      <c r="I20" s="10"/>
      <c r="J20" s="10"/>
      <c r="K20" s="10"/>
      <c r="L20" s="3">
        <f t="shared" si="1"/>
        <v>4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>
        <v>2</v>
      </c>
      <c r="H23" s="10">
        <v>4</v>
      </c>
      <c r="I23" s="10"/>
      <c r="J23" s="10"/>
      <c r="K23" s="10"/>
      <c r="L23" s="3">
        <f t="shared" si="1"/>
        <v>6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2</v>
      </c>
      <c r="F24" s="10"/>
      <c r="G24" s="10"/>
      <c r="H24" s="10">
        <v>4</v>
      </c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2</v>
      </c>
      <c r="F25" s="10"/>
      <c r="G25" s="10"/>
      <c r="H25" s="10">
        <v>4</v>
      </c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6</v>
      </c>
      <c r="H26" s="10">
        <v>1</v>
      </c>
      <c r="I26" s="10"/>
      <c r="J26" s="10"/>
      <c r="K26" s="10"/>
      <c r="L26" s="3">
        <f t="shared" si="1"/>
        <v>7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>
        <v>2</v>
      </c>
      <c r="H28" s="10">
        <v>4</v>
      </c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>
        <v>3</v>
      </c>
      <c r="H29" s="10">
        <v>3</v>
      </c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>
        <v>3</v>
      </c>
      <c r="H30" s="10">
        <v>3</v>
      </c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3</v>
      </c>
      <c r="H31" s="10">
        <v>3</v>
      </c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>
        <v>3</v>
      </c>
      <c r="H32" s="10">
        <v>3</v>
      </c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3</v>
      </c>
      <c r="I33" s="10"/>
      <c r="J33" s="10"/>
      <c r="K33" s="10"/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/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>
        <v>3</v>
      </c>
      <c r="H37" s="10">
        <v>3</v>
      </c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>
        <v>3</v>
      </c>
      <c r="H38" s="10">
        <v>3</v>
      </c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4</v>
      </c>
      <c r="E42" s="10"/>
      <c r="F42" s="10"/>
      <c r="G42" s="10"/>
      <c r="H42" s="10"/>
      <c r="I42" s="10"/>
      <c r="J42" s="10"/>
      <c r="K42" s="10"/>
      <c r="L42" s="3">
        <f t="shared" si="1"/>
        <v>6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4</v>
      </c>
      <c r="E48" s="10"/>
      <c r="F48" s="10"/>
      <c r="G48" s="10"/>
      <c r="H48" s="10"/>
      <c r="I48" s="10"/>
      <c r="J48" s="10"/>
      <c r="K48" s="10"/>
      <c r="L48" s="3">
        <f t="shared" si="1"/>
        <v>6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10</v>
      </c>
      <c r="E50" s="3">
        <f t="shared" si="3"/>
        <v>11</v>
      </c>
      <c r="F50" s="3">
        <f t="shared" si="3"/>
        <v>0</v>
      </c>
      <c r="G50" s="3">
        <f t="shared" si="3"/>
        <v>44</v>
      </c>
      <c r="H50" s="3">
        <f t="shared" si="3"/>
        <v>38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107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37" zoomScaleNormal="100" workbookViewId="0">
      <selection activeCell="H47" sqref="H4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112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4</v>
      </c>
      <c r="E20" s="10"/>
      <c r="F20" s="10"/>
      <c r="G20" s="10"/>
      <c r="H20" s="10"/>
      <c r="I20" s="10"/>
      <c r="J20" s="10"/>
      <c r="K20" s="10"/>
      <c r="L20" s="3">
        <f t="shared" si="1"/>
        <v>4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>
        <v>4</v>
      </c>
      <c r="F23" s="10"/>
      <c r="G23" s="10"/>
      <c r="H23" s="10">
        <v>3</v>
      </c>
      <c r="I23" s="10"/>
      <c r="J23" s="10"/>
      <c r="K23" s="10"/>
      <c r="L23" s="3">
        <f t="shared" si="1"/>
        <v>7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>
        <v>2</v>
      </c>
      <c r="E24" s="10">
        <v>4</v>
      </c>
      <c r="F24" s="10"/>
      <c r="G24" s="10"/>
      <c r="H24" s="10"/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>
        <v>2</v>
      </c>
      <c r="E25" s="10">
        <v>4</v>
      </c>
      <c r="F25" s="10"/>
      <c r="G25" s="10"/>
      <c r="H25" s="10"/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>
        <v>1</v>
      </c>
      <c r="F26" s="10"/>
      <c r="G26" s="10"/>
      <c r="H26" s="10">
        <v>6</v>
      </c>
      <c r="I26" s="10"/>
      <c r="J26" s="10"/>
      <c r="K26" s="10"/>
      <c r="L26" s="3">
        <f t="shared" si="1"/>
        <v>7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>
        <v>2</v>
      </c>
      <c r="F28" s="10"/>
      <c r="G28" s="10"/>
      <c r="H28" s="10">
        <v>3</v>
      </c>
      <c r="I28" s="10"/>
      <c r="J28" s="10"/>
      <c r="K28" s="10"/>
      <c r="L28" s="3">
        <f t="shared" si="1"/>
        <v>5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>
        <v>3</v>
      </c>
      <c r="F29" s="10"/>
      <c r="G29" s="10">
        <v>1</v>
      </c>
      <c r="H29" s="10">
        <v>3</v>
      </c>
      <c r="I29" s="10"/>
      <c r="J29" s="10"/>
      <c r="K29" s="10"/>
      <c r="L29" s="3">
        <f t="shared" si="1"/>
        <v>7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>
        <v>3</v>
      </c>
      <c r="F30" s="10"/>
      <c r="G30" s="10">
        <v>3</v>
      </c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>
        <v>3</v>
      </c>
      <c r="F31" s="10"/>
      <c r="G31" s="10">
        <v>3</v>
      </c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>
        <v>3</v>
      </c>
      <c r="F32" s="10"/>
      <c r="G32" s="10">
        <v>3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6</v>
      </c>
      <c r="I33" s="10"/>
      <c r="J33" s="10"/>
      <c r="K33" s="10"/>
      <c r="L33" s="3">
        <f t="shared" si="1"/>
        <v>8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6</v>
      </c>
      <c r="I34" s="10"/>
      <c r="J34" s="10"/>
      <c r="K34" s="10"/>
      <c r="L34" s="3">
        <f t="shared" si="1"/>
        <v>8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>
        <v>6</v>
      </c>
      <c r="I35" s="10"/>
      <c r="J35" s="10"/>
      <c r="K35" s="10"/>
      <c r="L35" s="3">
        <f t="shared" si="1"/>
        <v>8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>
        <v>6</v>
      </c>
      <c r="I36" s="10"/>
      <c r="J36" s="10"/>
      <c r="K36" s="10"/>
      <c r="L36" s="3">
        <f t="shared" si="1"/>
        <v>8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>
        <v>3</v>
      </c>
      <c r="F37" s="10"/>
      <c r="G37" s="10">
        <v>3</v>
      </c>
      <c r="H37" s="10"/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>
        <v>2</v>
      </c>
      <c r="F38" s="10"/>
      <c r="G38" s="10">
        <v>4</v>
      </c>
      <c r="H38" s="10">
        <v>3</v>
      </c>
      <c r="I38" s="10"/>
      <c r="J38" s="10"/>
      <c r="K38" s="10"/>
      <c r="L38" s="3">
        <f t="shared" si="1"/>
        <v>9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>
        <v>6</v>
      </c>
      <c r="I39" s="10"/>
      <c r="J39" s="10"/>
      <c r="K39" s="10"/>
      <c r="L39" s="3">
        <f t="shared" si="1"/>
        <v>8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>
        <v>6</v>
      </c>
      <c r="I40" s="10"/>
      <c r="J40" s="10"/>
      <c r="K40" s="10"/>
      <c r="L40" s="3">
        <f t="shared" si="1"/>
        <v>8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4</v>
      </c>
      <c r="E42" s="10"/>
      <c r="F42" s="10"/>
      <c r="G42" s="10"/>
      <c r="H42" s="10"/>
      <c r="I42" s="10"/>
      <c r="J42" s="10"/>
      <c r="K42" s="10"/>
      <c r="L42" s="3">
        <f t="shared" si="1"/>
        <v>6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4</v>
      </c>
      <c r="E48" s="10"/>
      <c r="F48" s="10"/>
      <c r="G48" s="10"/>
      <c r="H48" s="10"/>
      <c r="I48" s="10"/>
      <c r="J48" s="10"/>
      <c r="K48" s="10"/>
      <c r="L48" s="3">
        <f t="shared" si="1"/>
        <v>6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21</v>
      </c>
      <c r="E50" s="3">
        <f t="shared" si="3"/>
        <v>32</v>
      </c>
      <c r="F50" s="3">
        <f t="shared" si="3"/>
        <v>0</v>
      </c>
      <c r="G50" s="3">
        <f t="shared" si="3"/>
        <v>33</v>
      </c>
      <c r="H50" s="3">
        <f t="shared" si="3"/>
        <v>57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147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31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46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Junio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workbookViewId="0">
      <selection activeCell="H6" sqref="H6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/>
      <c r="K2" s="36"/>
      <c r="L2" s="36"/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0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0</v>
      </c>
      <c r="N3" s="40">
        <f>M3*25</f>
        <v>0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0</v>
      </c>
      <c r="N5" s="42">
        <f t="shared" si="1"/>
        <v>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0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0</v>
      </c>
      <c r="N6" s="42">
        <f t="shared" si="1"/>
        <v>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>
        <f t="shared" si="0"/>
        <v>0</v>
      </c>
      <c r="N7" s="42">
        <f t="shared" si="1"/>
        <v>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0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0</v>
      </c>
      <c r="N8" s="46">
        <f t="shared" si="1"/>
        <v>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9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4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13</v>
      </c>
      <c r="N12" s="42">
        <f t="shared" si="1"/>
        <v>325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4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2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4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19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29</v>
      </c>
      <c r="N15" s="40">
        <f t="shared" si="1"/>
        <v>725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3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6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2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12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23</v>
      </c>
      <c r="N16" s="42">
        <f t="shared" si="1"/>
        <v>575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4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6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2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12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24</v>
      </c>
      <c r="N17" s="42">
        <f t="shared" si="1"/>
        <v>600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1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6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12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13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>
        <f t="shared" si="0"/>
        <v>32</v>
      </c>
      <c r="N18" s="42">
        <f t="shared" si="1"/>
        <v>800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8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3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11</v>
      </c>
      <c r="N19" s="42">
        <f t="shared" si="1"/>
        <v>275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2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2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4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17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25</v>
      </c>
      <c r="N20" s="46">
        <f t="shared" si="1"/>
        <v>625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3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11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7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11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9">
        <f t="shared" si="0"/>
        <v>32</v>
      </c>
      <c r="N21" s="40">
        <f t="shared" si="1"/>
        <v>800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3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11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9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6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>
        <f t="shared" si="0"/>
        <v>29</v>
      </c>
      <c r="N22" s="42">
        <f t="shared" si="1"/>
        <v>725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3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11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9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6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>
        <f t="shared" si="0"/>
        <v>29</v>
      </c>
      <c r="N23" s="42">
        <f t="shared" si="1"/>
        <v>725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3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6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11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6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26</v>
      </c>
      <c r="N24" s="42">
        <f t="shared" si="1"/>
        <v>650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13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9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>
        <f t="shared" si="0"/>
        <v>28</v>
      </c>
      <c r="N25" s="42">
        <f t="shared" si="1"/>
        <v>700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13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6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6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45">
        <f t="shared" si="0"/>
        <v>25</v>
      </c>
      <c r="N26" s="46">
        <f t="shared" si="1"/>
        <v>625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8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6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6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9">
        <f t="shared" si="0"/>
        <v>20</v>
      </c>
      <c r="N27" s="40">
        <f t="shared" si="1"/>
        <v>500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2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6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9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>
        <f t="shared" si="0"/>
        <v>17</v>
      </c>
      <c r="N28" s="42">
        <f t="shared" si="1"/>
        <v>425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3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5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9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6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>
        <f t="shared" si="0"/>
        <v>23</v>
      </c>
      <c r="N29" s="42">
        <f t="shared" si="1"/>
        <v>575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2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8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10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9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>
        <f t="shared" si="0"/>
        <v>29</v>
      </c>
      <c r="N30" s="42">
        <f t="shared" si="1"/>
        <v>725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4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6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6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>
        <f t="shared" si="0"/>
        <v>16</v>
      </c>
      <c r="N31" s="42">
        <f t="shared" si="1"/>
        <v>400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4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6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6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45">
        <f t="shared" si="0"/>
        <v>16</v>
      </c>
      <c r="N32" s="46">
        <f t="shared" si="1"/>
        <v>400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4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6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9">
        <f t="shared" si="0"/>
        <v>10</v>
      </c>
      <c r="N33" s="40">
        <f t="shared" si="1"/>
        <v>250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1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8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16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25</v>
      </c>
      <c r="N34" s="42">
        <f t="shared" si="1"/>
        <v>625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4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6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>
        <f t="shared" si="0"/>
        <v>10</v>
      </c>
      <c r="N35" s="42">
        <f t="shared" si="1"/>
        <v>250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3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6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9</v>
      </c>
      <c r="N36" s="42">
        <f t="shared" si="1"/>
        <v>225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2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2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3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0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7</v>
      </c>
      <c r="N37" s="42">
        <f t="shared" si="1"/>
        <v>175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11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4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15</v>
      </c>
      <c r="N38" s="42">
        <f t="shared" si="1"/>
        <v>375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2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8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10</v>
      </c>
      <c r="N39" s="46">
        <f t="shared" si="1"/>
        <v>250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4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20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24</v>
      </c>
      <c r="N40" s="40">
        <f t="shared" si="1"/>
        <v>600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13925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H14"/>
  <sheetViews>
    <sheetView workbookViewId="0">
      <selection activeCell="D7" sqref="D7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</cols>
  <sheetData>
    <row r="3" spans="1:8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 x14ac:dyDescent="0.25">
      <c r="A4" s="34" t="s">
        <v>21</v>
      </c>
      <c r="B4" s="138">
        <v>0</v>
      </c>
      <c r="C4" s="138">
        <v>0</v>
      </c>
      <c r="D4" s="138">
        <v>225</v>
      </c>
      <c r="E4" s="138">
        <v>100</v>
      </c>
      <c r="F4" s="138">
        <v>0</v>
      </c>
      <c r="G4" s="138">
        <v>0</v>
      </c>
      <c r="H4" s="138">
        <v>0</v>
      </c>
    </row>
    <row r="5" spans="1:8" x14ac:dyDescent="0.25">
      <c r="A5" s="34" t="s">
        <v>56</v>
      </c>
      <c r="B5" s="138">
        <v>20</v>
      </c>
      <c r="C5" s="138">
        <v>240</v>
      </c>
      <c r="D5" s="138">
        <v>900</v>
      </c>
      <c r="E5" s="138">
        <v>0</v>
      </c>
      <c r="F5" s="138">
        <v>0</v>
      </c>
      <c r="G5" s="138">
        <v>0</v>
      </c>
      <c r="H5" s="138">
        <v>0</v>
      </c>
    </row>
    <row r="6" spans="1:8" x14ac:dyDescent="0.25">
      <c r="A6" s="34" t="s">
        <v>26</v>
      </c>
      <c r="B6" s="138">
        <v>0</v>
      </c>
      <c r="C6" s="138">
        <v>40</v>
      </c>
      <c r="D6" s="138">
        <v>50</v>
      </c>
      <c r="E6" s="138">
        <v>25</v>
      </c>
      <c r="F6" s="138">
        <v>225</v>
      </c>
      <c r="G6" s="138">
        <v>300</v>
      </c>
      <c r="H6" s="138">
        <v>325</v>
      </c>
    </row>
    <row r="7" spans="1:8" x14ac:dyDescent="0.25">
      <c r="A7" s="34" t="s">
        <v>51</v>
      </c>
      <c r="B7" s="138">
        <v>0</v>
      </c>
      <c r="C7" s="138">
        <v>0</v>
      </c>
      <c r="D7" s="138">
        <v>0</v>
      </c>
      <c r="E7" s="138">
        <v>0</v>
      </c>
      <c r="F7" s="138">
        <v>200</v>
      </c>
      <c r="G7" s="138">
        <v>300</v>
      </c>
      <c r="H7" s="138">
        <v>0</v>
      </c>
    </row>
    <row r="8" spans="1:8" x14ac:dyDescent="0.25">
      <c r="A8" s="34" t="s">
        <v>86</v>
      </c>
      <c r="B8" s="138">
        <v>0</v>
      </c>
      <c r="C8" s="138">
        <v>0</v>
      </c>
      <c r="D8" s="138">
        <v>275</v>
      </c>
      <c r="E8" s="138">
        <v>0</v>
      </c>
      <c r="F8" s="138">
        <v>100</v>
      </c>
      <c r="G8" s="138">
        <v>0</v>
      </c>
      <c r="H8" s="138">
        <v>0</v>
      </c>
    </row>
    <row r="9" spans="1:8" x14ac:dyDescent="0.25">
      <c r="A9" s="34" t="s">
        <v>10</v>
      </c>
      <c r="B9" s="138">
        <v>0</v>
      </c>
      <c r="C9" s="138">
        <v>0</v>
      </c>
      <c r="D9" s="138">
        <v>0</v>
      </c>
      <c r="E9" s="138">
        <v>425</v>
      </c>
      <c r="F9" s="138">
        <v>2475</v>
      </c>
      <c r="G9" s="138">
        <v>2275</v>
      </c>
      <c r="H9" s="138">
        <v>2300</v>
      </c>
    </row>
    <row r="10" spans="1:8" x14ac:dyDescent="0.25">
      <c r="A10" s="34" t="s">
        <v>97</v>
      </c>
      <c r="B10" s="138">
        <v>0</v>
      </c>
      <c r="C10" s="138">
        <v>0</v>
      </c>
      <c r="D10" s="138">
        <v>175</v>
      </c>
      <c r="E10" s="138">
        <v>300</v>
      </c>
      <c r="F10" s="138">
        <v>100</v>
      </c>
      <c r="G10" s="138">
        <v>0</v>
      </c>
      <c r="H10" s="138">
        <v>600</v>
      </c>
    </row>
    <row r="11" spans="1:8" x14ac:dyDescent="0.25">
      <c r="A11" s="34" t="s">
        <v>87</v>
      </c>
      <c r="B11" s="138">
        <v>0</v>
      </c>
      <c r="C11" s="138">
        <v>0</v>
      </c>
      <c r="D11" s="138">
        <v>50</v>
      </c>
      <c r="E11" s="138">
        <v>0</v>
      </c>
      <c r="F11" s="138">
        <v>200</v>
      </c>
      <c r="G11" s="138">
        <v>0</v>
      </c>
      <c r="H11" s="138">
        <v>0</v>
      </c>
    </row>
    <row r="12" spans="1:8" x14ac:dyDescent="0.25">
      <c r="A12" s="34" t="s">
        <v>18</v>
      </c>
      <c r="B12" s="138">
        <v>0</v>
      </c>
      <c r="C12" s="138">
        <v>0</v>
      </c>
      <c r="D12" s="138">
        <v>0</v>
      </c>
      <c r="E12" s="138">
        <v>150</v>
      </c>
      <c r="F12" s="138">
        <v>100</v>
      </c>
      <c r="G12" s="138">
        <v>200</v>
      </c>
      <c r="H12" s="138">
        <v>900</v>
      </c>
    </row>
    <row r="13" spans="1:8" x14ac:dyDescent="0.25">
      <c r="A13" s="34" t="s">
        <v>23</v>
      </c>
      <c r="B13" s="138">
        <v>0</v>
      </c>
      <c r="C13" s="138">
        <v>0</v>
      </c>
      <c r="D13" s="138">
        <v>200</v>
      </c>
      <c r="E13" s="138">
        <v>75</v>
      </c>
      <c r="F13" s="138">
        <v>0</v>
      </c>
      <c r="G13" s="138">
        <v>0</v>
      </c>
      <c r="H13" s="138">
        <v>0</v>
      </c>
    </row>
    <row r="14" spans="1:8" x14ac:dyDescent="0.25">
      <c r="A14" s="34" t="s">
        <v>89</v>
      </c>
      <c r="B14" s="138">
        <v>20</v>
      </c>
      <c r="C14" s="138">
        <v>280</v>
      </c>
      <c r="D14" s="138">
        <v>1875</v>
      </c>
      <c r="E14" s="138">
        <v>1075</v>
      </c>
      <c r="F14" s="138">
        <v>3400</v>
      </c>
      <c r="G14" s="138">
        <v>3075</v>
      </c>
      <c r="H14" s="138">
        <v>4125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53" zoomScaleNormal="100" workbookViewId="0">
      <selection activeCell="F81" sqref="F81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13" t="s">
        <v>59</v>
      </c>
      <c r="C1" s="114"/>
      <c r="D1" s="115" t="s">
        <v>60</v>
      </c>
      <c r="E1" s="115"/>
      <c r="F1" s="115"/>
      <c r="G1" s="115"/>
      <c r="H1" s="115"/>
      <c r="I1" s="115"/>
      <c r="J1" s="116"/>
      <c r="K1" s="116"/>
      <c r="L1" s="116"/>
      <c r="M1" s="116"/>
      <c r="N1" s="16"/>
    </row>
    <row r="2" spans="1:14" ht="11.25" customHeight="1" x14ac:dyDescent="0.25">
      <c r="A2" s="66" t="s">
        <v>61</v>
      </c>
      <c r="B2" s="117" t="s">
        <v>62</v>
      </c>
      <c r="C2" s="114"/>
      <c r="D2" s="115"/>
      <c r="E2" s="115"/>
      <c r="F2" s="115"/>
      <c r="G2" s="115"/>
      <c r="H2" s="115"/>
      <c r="I2" s="115"/>
      <c r="J2" s="116"/>
      <c r="K2" s="116"/>
      <c r="L2" s="116"/>
      <c r="M2" s="116"/>
      <c r="N2" s="16"/>
    </row>
    <row r="3" spans="1:14" ht="11.25" customHeight="1" x14ac:dyDescent="0.25">
      <c r="A3" s="66" t="s">
        <v>63</v>
      </c>
      <c r="B3" s="118">
        <v>44701</v>
      </c>
      <c r="C3" s="114"/>
      <c r="D3" s="119" t="s">
        <v>64</v>
      </c>
      <c r="E3" s="119"/>
      <c r="F3" s="119"/>
      <c r="G3" s="119"/>
      <c r="H3" s="119"/>
      <c r="I3" s="119"/>
      <c r="J3" s="116"/>
      <c r="K3" s="116"/>
      <c r="L3" s="116"/>
      <c r="M3" s="116"/>
      <c r="N3" s="16"/>
    </row>
    <row r="4" spans="1:14" ht="11.25" customHeight="1" x14ac:dyDescent="0.25">
      <c r="A4" s="66" t="s">
        <v>65</v>
      </c>
      <c r="B4" s="113" t="s">
        <v>66</v>
      </c>
      <c r="C4" s="114"/>
      <c r="D4" s="119"/>
      <c r="E4" s="119"/>
      <c r="F4" s="119"/>
      <c r="G4" s="119"/>
      <c r="H4" s="119"/>
      <c r="I4" s="119"/>
      <c r="J4" s="116"/>
      <c r="K4" s="116"/>
      <c r="L4" s="116"/>
      <c r="M4" s="116"/>
      <c r="N4" s="16"/>
    </row>
    <row r="5" spans="1:14" ht="11.25" customHeight="1" x14ac:dyDescent="0.25">
      <c r="A5" s="69" t="s">
        <v>67</v>
      </c>
      <c r="B5" s="113" t="s">
        <v>68</v>
      </c>
      <c r="C5" s="114"/>
      <c r="D5" s="119"/>
      <c r="E5" s="119"/>
      <c r="F5" s="119"/>
      <c r="G5" s="119"/>
      <c r="H5" s="119"/>
      <c r="I5" s="119"/>
      <c r="J5" s="120" t="s">
        <v>107</v>
      </c>
      <c r="K5" s="120"/>
      <c r="L5" s="120"/>
      <c r="M5" s="120"/>
      <c r="N5" s="16"/>
    </row>
    <row r="6" spans="1:14" ht="11.25" customHeight="1" x14ac:dyDescent="0.25">
      <c r="A6" s="66" t="s">
        <v>69</v>
      </c>
      <c r="B6" s="113" t="s">
        <v>66</v>
      </c>
      <c r="C6" s="114"/>
      <c r="D6" s="121" t="s">
        <v>70</v>
      </c>
      <c r="E6" s="121"/>
      <c r="F6" s="121"/>
      <c r="G6" s="121"/>
      <c r="H6" s="121"/>
      <c r="I6" s="121"/>
      <c r="J6" s="120"/>
      <c r="K6" s="120"/>
      <c r="L6" s="120"/>
      <c r="M6" s="120"/>
      <c r="N6" s="16"/>
    </row>
    <row r="7" spans="1:14" ht="11.25" customHeight="1" x14ac:dyDescent="0.25">
      <c r="A7" s="66" t="s">
        <v>71</v>
      </c>
      <c r="B7" s="113" t="s">
        <v>84</v>
      </c>
      <c r="C7" s="114"/>
      <c r="D7" s="121"/>
      <c r="E7" s="121"/>
      <c r="F7" s="121"/>
      <c r="G7" s="121"/>
      <c r="H7" s="121"/>
      <c r="I7" s="121"/>
      <c r="J7" s="120"/>
      <c r="K7" s="120"/>
      <c r="L7" s="120"/>
      <c r="M7" s="120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22" t="s">
        <v>100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>
        <f>Total!J2</f>
        <v>0</v>
      </c>
      <c r="L11" s="9">
        <f>Total!K2</f>
        <v>0</v>
      </c>
      <c r="M11" s="9">
        <f>Total!L2</f>
        <v>0</v>
      </c>
    </row>
    <row r="12" spans="1:14" ht="19.5" customHeight="1" x14ac:dyDescent="0.25">
      <c r="A12" s="123" t="s">
        <v>8</v>
      </c>
      <c r="B12" s="62" t="str">
        <f>Total!B3</f>
        <v>SO1</v>
      </c>
      <c r="C12" s="60" t="s">
        <v>10</v>
      </c>
      <c r="D12" s="52">
        <f>Total!C3*20</f>
        <v>0</v>
      </c>
      <c r="E12" s="52">
        <f>Total!D3*20</f>
        <v>0</v>
      </c>
      <c r="F12" s="52">
        <f>Total!E3*25</f>
        <v>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Total!J3*25</f>
        <v>0</v>
      </c>
      <c r="L12" s="52">
        <f>Total!K3*25</f>
        <v>0</v>
      </c>
      <c r="M12" s="52">
        <f>Total!L3*25</f>
        <v>0</v>
      </c>
      <c r="N12" s="1" t="str">
        <f t="shared" ref="N12:N17" si="0">+B12</f>
        <v>SO1</v>
      </c>
    </row>
    <row r="13" spans="1:14" ht="19.5" customHeight="1" x14ac:dyDescent="0.25">
      <c r="A13" s="112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Total!J4*25</f>
        <v>0</v>
      </c>
      <c r="L13" s="52">
        <f>Total!K4*25</f>
        <v>0</v>
      </c>
      <c r="M13" s="52">
        <f>Total!L4*25</f>
        <v>0</v>
      </c>
      <c r="N13" s="1" t="str">
        <f t="shared" si="0"/>
        <v>SO2</v>
      </c>
    </row>
    <row r="14" spans="1:14" ht="19.5" customHeight="1" x14ac:dyDescent="0.25">
      <c r="A14" s="112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Total!J5*25</f>
        <v>0</v>
      </c>
      <c r="L14" s="52">
        <f>Total!K5*25</f>
        <v>0</v>
      </c>
      <c r="M14" s="52">
        <f>Total!L5*25</f>
        <v>0</v>
      </c>
      <c r="N14" s="1" t="str">
        <f t="shared" si="0"/>
        <v>SO3</v>
      </c>
    </row>
    <row r="15" spans="1:14" ht="19.5" customHeight="1" x14ac:dyDescent="0.25">
      <c r="A15" s="112"/>
      <c r="B15" s="62" t="str">
        <f>Total!B6</f>
        <v>SO4</v>
      </c>
      <c r="C15" s="60" t="s">
        <v>10</v>
      </c>
      <c r="D15" s="52">
        <f>Total!C6*20</f>
        <v>0</v>
      </c>
      <c r="E15" s="52">
        <f>Total!D6*20</f>
        <v>0</v>
      </c>
      <c r="F15" s="52">
        <f>Total!E6*25</f>
        <v>0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Total!J6*25</f>
        <v>0</v>
      </c>
      <c r="L15" s="52">
        <f>Total!K6*25</f>
        <v>0</v>
      </c>
      <c r="M15" s="52">
        <f>Total!L6*25</f>
        <v>0</v>
      </c>
      <c r="N15" s="1" t="str">
        <f t="shared" si="0"/>
        <v>SO4</v>
      </c>
    </row>
    <row r="16" spans="1:14" ht="19.5" customHeight="1" x14ac:dyDescent="0.25">
      <c r="A16" s="112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Total!J7*25</f>
        <v>0</v>
      </c>
      <c r="L16" s="52">
        <f>Total!K7*25</f>
        <v>0</v>
      </c>
      <c r="M16" s="52">
        <f>Total!L7*25</f>
        <v>0</v>
      </c>
      <c r="N16" s="1" t="str">
        <f t="shared" si="0"/>
        <v>SO5</v>
      </c>
    </row>
    <row r="17" spans="1:14" ht="19.5" customHeight="1" x14ac:dyDescent="0.25">
      <c r="A17" s="112"/>
      <c r="B17" s="62" t="str">
        <f>Total!B8</f>
        <v>SO6</v>
      </c>
      <c r="C17" s="60" t="s">
        <v>10</v>
      </c>
      <c r="D17" s="52">
        <f>Total!C8*20</f>
        <v>0</v>
      </c>
      <c r="E17" s="52">
        <f>Total!D8*20</f>
        <v>0</v>
      </c>
      <c r="F17" s="52">
        <f>Total!E8*25</f>
        <v>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Total!J8*25</f>
        <v>0</v>
      </c>
      <c r="L17" s="52">
        <f>Total!K8*25</f>
        <v>0</v>
      </c>
      <c r="M17" s="52">
        <f>Total!L8*25</f>
        <v>0</v>
      </c>
      <c r="N17" s="1" t="str">
        <f t="shared" si="0"/>
        <v>SO6</v>
      </c>
    </row>
    <row r="18" spans="1:14" ht="19.5" customHeight="1" x14ac:dyDescent="0.25">
      <c r="A18" s="112" t="s">
        <v>16</v>
      </c>
      <c r="B18" s="62" t="str">
        <f>Total!B9</f>
        <v>SP1</v>
      </c>
      <c r="C18" s="60" t="s">
        <v>10</v>
      </c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Total!J9*25</f>
        <v>0</v>
      </c>
      <c r="L18" s="52">
        <f>Total!K9*25</f>
        <v>0</v>
      </c>
      <c r="M18" s="52">
        <f>Total!L9*25</f>
        <v>0</v>
      </c>
      <c r="N18" s="1"/>
    </row>
    <row r="19" spans="1:14" ht="19.5" customHeight="1" x14ac:dyDescent="0.25">
      <c r="A19" s="112"/>
      <c r="B19" s="62" t="str">
        <f>Total!B10</f>
        <v>SP2</v>
      </c>
      <c r="C19" s="65" t="s">
        <v>10</v>
      </c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Total!J10*25</f>
        <v>0</v>
      </c>
      <c r="L19" s="52">
        <f>Total!K10*25</f>
        <v>0</v>
      </c>
      <c r="M19" s="52">
        <f>Total!L10*25</f>
        <v>0</v>
      </c>
      <c r="N19" s="1"/>
    </row>
    <row r="20" spans="1:14" ht="19.5" customHeight="1" x14ac:dyDescent="0.25">
      <c r="A20" s="112"/>
      <c r="B20" s="62" t="str">
        <f>Total!B11</f>
        <v>SP3</v>
      </c>
      <c r="C20" s="60" t="s">
        <v>10</v>
      </c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Total!J11*25</f>
        <v>0</v>
      </c>
      <c r="L20" s="52">
        <f>Total!K11*25</f>
        <v>0</v>
      </c>
      <c r="M20" s="52">
        <f>Total!L11*25</f>
        <v>0</v>
      </c>
      <c r="N20" s="1"/>
    </row>
    <row r="21" spans="1:14" ht="19.5" customHeight="1" x14ac:dyDescent="0.25">
      <c r="A21" s="112"/>
      <c r="B21" s="62" t="str">
        <f>Total!B12</f>
        <v>SP4</v>
      </c>
      <c r="C21" s="60" t="s">
        <v>21</v>
      </c>
      <c r="D21" s="52">
        <f>Total!C12*20</f>
        <v>0</v>
      </c>
      <c r="E21" s="52">
        <f>Total!D12*20</f>
        <v>0</v>
      </c>
      <c r="F21" s="52">
        <f>Total!E12*25</f>
        <v>225</v>
      </c>
      <c r="G21" s="52">
        <f>Total!F12*25</f>
        <v>100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Total!J12*25</f>
        <v>0</v>
      </c>
      <c r="L21" s="52">
        <f>Total!K12*25</f>
        <v>0</v>
      </c>
      <c r="M21" s="52">
        <f>Total!L12*25</f>
        <v>0</v>
      </c>
      <c r="N21" s="1"/>
    </row>
    <row r="22" spans="1:14" ht="19.5" customHeight="1" x14ac:dyDescent="0.25">
      <c r="A22" s="112"/>
      <c r="B22" s="62" t="str">
        <f>Total!B13</f>
        <v>SP5</v>
      </c>
      <c r="C22" s="64" t="s">
        <v>10</v>
      </c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Total!J13*25</f>
        <v>0</v>
      </c>
      <c r="L22" s="52">
        <f>Total!K13*25</f>
        <v>0</v>
      </c>
      <c r="M22" s="52">
        <f>Total!L13*25</f>
        <v>0</v>
      </c>
      <c r="N22" s="1"/>
    </row>
    <row r="23" spans="1:14" ht="19.5" customHeight="1" x14ac:dyDescent="0.25">
      <c r="A23" s="112"/>
      <c r="B23" s="62" t="str">
        <f>Total!B14</f>
        <v>SP6</v>
      </c>
      <c r="C23" s="60" t="s">
        <v>26</v>
      </c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Total!J14*25</f>
        <v>0</v>
      </c>
      <c r="L23" s="52">
        <f>Total!K14*25</f>
        <v>0</v>
      </c>
      <c r="M23" s="52">
        <f>Total!L14*25</f>
        <v>0</v>
      </c>
      <c r="N23" s="1"/>
    </row>
    <row r="24" spans="1:14" ht="19.5" customHeight="1" x14ac:dyDescent="0.25">
      <c r="A24" s="112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100</v>
      </c>
      <c r="H24" s="52">
        <f>Total!G15*25</f>
        <v>50</v>
      </c>
      <c r="I24" s="52">
        <f>Total!H15*25</f>
        <v>100</v>
      </c>
      <c r="J24" s="52">
        <f>Total!I15*25</f>
        <v>475</v>
      </c>
      <c r="K24" s="52">
        <f>Total!J15*25</f>
        <v>0</v>
      </c>
      <c r="L24" s="52">
        <f>Total!K15*25</f>
        <v>0</v>
      </c>
      <c r="M24" s="52">
        <f>Total!L15*25</f>
        <v>0</v>
      </c>
      <c r="N24" s="1"/>
    </row>
    <row r="25" spans="1:14" ht="19.5" customHeight="1" x14ac:dyDescent="0.25">
      <c r="A25" s="112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75</v>
      </c>
      <c r="G25" s="52">
        <f>Total!F16*25</f>
        <v>150</v>
      </c>
      <c r="H25" s="52">
        <f>Total!G16*25</f>
        <v>50</v>
      </c>
      <c r="I25" s="52">
        <f>Total!H16*25</f>
        <v>0</v>
      </c>
      <c r="J25" s="52">
        <f>Total!I16*25</f>
        <v>300</v>
      </c>
      <c r="K25" s="52">
        <f>Total!J16*25</f>
        <v>0</v>
      </c>
      <c r="L25" s="52">
        <f>Total!K16*25</f>
        <v>0</v>
      </c>
      <c r="M25" s="52">
        <f>Total!L16*25</f>
        <v>0</v>
      </c>
      <c r="N25" s="1"/>
    </row>
    <row r="26" spans="1:14" ht="19.5" customHeight="1" x14ac:dyDescent="0.25">
      <c r="A26" s="112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100</v>
      </c>
      <c r="G26" s="52">
        <f>Total!F17*25</f>
        <v>150</v>
      </c>
      <c r="H26" s="52">
        <f>Total!G17*25</f>
        <v>50</v>
      </c>
      <c r="I26" s="52">
        <f>Total!H17*25</f>
        <v>0</v>
      </c>
      <c r="J26" s="52">
        <f>Total!I17*25</f>
        <v>300</v>
      </c>
      <c r="K26" s="52">
        <f>Total!J17*25</f>
        <v>0</v>
      </c>
      <c r="L26" s="52">
        <f>Total!K17*25</f>
        <v>0</v>
      </c>
      <c r="M26" s="52">
        <f>Total!L17*25</f>
        <v>0</v>
      </c>
      <c r="N26" s="1"/>
    </row>
    <row r="27" spans="1:14" ht="19.5" customHeight="1" x14ac:dyDescent="0.25">
      <c r="A27" s="112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25</v>
      </c>
      <c r="H27" s="52">
        <f>Total!G18*25</f>
        <v>150</v>
      </c>
      <c r="I27" s="52">
        <f>Total!H18*25</f>
        <v>300</v>
      </c>
      <c r="J27" s="52">
        <f>Total!I18*25</f>
        <v>325</v>
      </c>
      <c r="K27" s="52">
        <f>Total!J18*25</f>
        <v>0</v>
      </c>
      <c r="L27" s="52">
        <f>Total!K18*25</f>
        <v>0</v>
      </c>
      <c r="M27" s="52">
        <f>Total!L18*25</f>
        <v>0</v>
      </c>
      <c r="N27" s="1"/>
    </row>
    <row r="28" spans="1:14" ht="19.5" customHeight="1" x14ac:dyDescent="0.25">
      <c r="A28" s="112"/>
      <c r="B28" s="62" t="str">
        <f>Total!B19</f>
        <v>NO5</v>
      </c>
      <c r="C28" s="60" t="s">
        <v>23</v>
      </c>
      <c r="D28" s="52">
        <f>Total!C19*20</f>
        <v>0</v>
      </c>
      <c r="E28" s="52">
        <f>Total!D19*20</f>
        <v>0</v>
      </c>
      <c r="F28" s="52">
        <f>Total!E19*25</f>
        <v>200</v>
      </c>
      <c r="G28" s="52">
        <f>Total!F19*25</f>
        <v>75</v>
      </c>
      <c r="H28" s="52">
        <f>Total!G19*25</f>
        <v>0</v>
      </c>
      <c r="I28" s="52">
        <f>Total!H19*25</f>
        <v>0</v>
      </c>
      <c r="J28" s="52">
        <f>Total!I19*25</f>
        <v>0</v>
      </c>
      <c r="K28" s="52">
        <f>Total!J19*25</f>
        <v>0</v>
      </c>
      <c r="L28" s="52">
        <f>Total!K19*25</f>
        <v>0</v>
      </c>
      <c r="M28" s="52">
        <f>Total!L19*25</f>
        <v>0</v>
      </c>
      <c r="N28" s="1"/>
    </row>
    <row r="29" spans="1:14" ht="19.5" customHeight="1" x14ac:dyDescent="0.25">
      <c r="A29" s="112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50</v>
      </c>
      <c r="H29" s="52">
        <f>Total!G20*25</f>
        <v>50</v>
      </c>
      <c r="I29" s="52">
        <f>Total!H20*25</f>
        <v>100</v>
      </c>
      <c r="J29" s="52">
        <f>Total!I20*25</f>
        <v>425</v>
      </c>
      <c r="K29" s="52">
        <f>Total!J20*25</f>
        <v>0</v>
      </c>
      <c r="L29" s="52">
        <f>Total!K20*25</f>
        <v>0</v>
      </c>
      <c r="M29" s="52">
        <f>Total!L20*25</f>
        <v>0</v>
      </c>
      <c r="N29" s="1"/>
    </row>
    <row r="30" spans="1:14" ht="19.5" customHeight="1" x14ac:dyDescent="0.25">
      <c r="A30" s="112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75</v>
      </c>
      <c r="H30" s="52">
        <f>Total!G21*25</f>
        <v>275</v>
      </c>
      <c r="I30" s="52">
        <f>Total!H21*25</f>
        <v>175</v>
      </c>
      <c r="J30" s="52">
        <f>Total!I21*25</f>
        <v>275</v>
      </c>
      <c r="K30" s="52">
        <f>Total!J21*25</f>
        <v>0</v>
      </c>
      <c r="L30" s="52">
        <f>Total!K21*25</f>
        <v>0</v>
      </c>
      <c r="M30" s="52">
        <f>Total!L21*25</f>
        <v>0</v>
      </c>
      <c r="N30" s="1"/>
    </row>
    <row r="31" spans="1:14" ht="19.5" customHeight="1" x14ac:dyDescent="0.25">
      <c r="A31" s="112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75</v>
      </c>
      <c r="H31" s="52">
        <f>Total!G22*25</f>
        <v>275</v>
      </c>
      <c r="I31" s="52">
        <f>Total!H22*25</f>
        <v>225</v>
      </c>
      <c r="J31" s="52">
        <f>Total!I22*25</f>
        <v>150</v>
      </c>
      <c r="K31" s="52">
        <f>Total!J22*25</f>
        <v>0</v>
      </c>
      <c r="L31" s="52">
        <f>Total!K22*25</f>
        <v>0</v>
      </c>
      <c r="M31" s="52">
        <f>Total!L22*25</f>
        <v>0</v>
      </c>
      <c r="N31" s="1"/>
    </row>
    <row r="32" spans="1:14" ht="19.5" customHeight="1" x14ac:dyDescent="0.25">
      <c r="A32" s="112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75</v>
      </c>
      <c r="H32" s="52">
        <f>Total!G23*25</f>
        <v>275</v>
      </c>
      <c r="I32" s="52">
        <f>Total!H23*25</f>
        <v>225</v>
      </c>
      <c r="J32" s="52">
        <f>Total!I23*25</f>
        <v>150</v>
      </c>
      <c r="K32" s="52">
        <f>Total!J23*25</f>
        <v>0</v>
      </c>
      <c r="L32" s="52">
        <f>Total!K23*25</f>
        <v>0</v>
      </c>
      <c r="M32" s="52">
        <f>Total!L23*25</f>
        <v>0</v>
      </c>
      <c r="N32" s="1"/>
    </row>
    <row r="33" spans="1:14" ht="19.5" customHeight="1" x14ac:dyDescent="0.25">
      <c r="A33" s="112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75</v>
      </c>
      <c r="H33" s="52">
        <f>Total!G24*25</f>
        <v>150</v>
      </c>
      <c r="I33" s="52">
        <f>Total!H24*25</f>
        <v>275</v>
      </c>
      <c r="J33" s="52">
        <f>Total!I24*25</f>
        <v>150</v>
      </c>
      <c r="K33" s="52">
        <f>Total!J24*25</f>
        <v>0</v>
      </c>
      <c r="L33" s="52">
        <f>Total!K24*25</f>
        <v>0</v>
      </c>
      <c r="M33" s="52">
        <f>Total!L24*25</f>
        <v>0</v>
      </c>
      <c r="N33" s="1"/>
    </row>
    <row r="34" spans="1:14" ht="19.5" customHeight="1" x14ac:dyDescent="0.25">
      <c r="A34" s="112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325</v>
      </c>
      <c r="I34" s="52">
        <f>Total!H25*25</f>
        <v>150</v>
      </c>
      <c r="J34" s="52">
        <f>Total!I25*25</f>
        <v>225</v>
      </c>
      <c r="K34" s="52">
        <f>Total!J25*25</f>
        <v>0</v>
      </c>
      <c r="L34" s="52">
        <f>Total!K25*25</f>
        <v>0</v>
      </c>
      <c r="M34" s="52">
        <f>Total!L25*25</f>
        <v>0</v>
      </c>
      <c r="N34" s="1"/>
    </row>
    <row r="35" spans="1:14" ht="19.5" customHeight="1" x14ac:dyDescent="0.25">
      <c r="A35" s="112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325</v>
      </c>
      <c r="I35" s="52">
        <f>Total!H26*25</f>
        <v>150</v>
      </c>
      <c r="J35" s="52">
        <f>Total!I26*25</f>
        <v>150</v>
      </c>
      <c r="K35" s="52">
        <f>Total!J26*25</f>
        <v>0</v>
      </c>
      <c r="L35" s="52">
        <f>Total!K26*25</f>
        <v>0</v>
      </c>
      <c r="M35" s="52">
        <f>Total!L26*25</f>
        <v>0</v>
      </c>
      <c r="N35" s="1"/>
    </row>
    <row r="36" spans="1:14" ht="19.5" customHeight="1" x14ac:dyDescent="0.25">
      <c r="A36" s="112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200</v>
      </c>
      <c r="I36" s="52">
        <f>Total!H27*25</f>
        <v>150</v>
      </c>
      <c r="J36" s="52">
        <f>Total!I27*25</f>
        <v>150</v>
      </c>
      <c r="K36" s="52">
        <f>Total!J27*25</f>
        <v>0</v>
      </c>
      <c r="L36" s="52">
        <f>Total!K27*25</f>
        <v>0</v>
      </c>
      <c r="M36" s="52">
        <f>Total!L27*25</f>
        <v>0</v>
      </c>
      <c r="N36" s="1"/>
    </row>
    <row r="37" spans="1:14" ht="19.5" customHeight="1" x14ac:dyDescent="0.25">
      <c r="A37" s="112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50</v>
      </c>
      <c r="I37" s="52">
        <f>Total!H28*25</f>
        <v>150</v>
      </c>
      <c r="J37" s="52">
        <f>Total!I28*25</f>
        <v>225</v>
      </c>
      <c r="K37" s="52">
        <f>Total!J28*25</f>
        <v>0</v>
      </c>
      <c r="L37" s="52">
        <f>Total!K28*25</f>
        <v>0</v>
      </c>
      <c r="M37" s="52">
        <f>Total!L28*25</f>
        <v>0</v>
      </c>
      <c r="N37" s="1"/>
    </row>
    <row r="38" spans="1:14" ht="19.5" customHeight="1" x14ac:dyDescent="0.25">
      <c r="A38" s="112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75</v>
      </c>
      <c r="H38" s="52">
        <f>Total!G29*25</f>
        <v>125</v>
      </c>
      <c r="I38" s="52">
        <f>Total!H29*25</f>
        <v>225</v>
      </c>
      <c r="J38" s="52">
        <f>Total!I29*25</f>
        <v>150</v>
      </c>
      <c r="K38" s="52">
        <f>Total!J29*25</f>
        <v>0</v>
      </c>
      <c r="L38" s="52">
        <f>Total!K29*25</f>
        <v>0</v>
      </c>
      <c r="M38" s="52">
        <f>Total!L29*25</f>
        <v>0</v>
      </c>
      <c r="N38" s="1"/>
    </row>
    <row r="39" spans="1:14" ht="19.5" customHeight="1" x14ac:dyDescent="0.25">
      <c r="A39" s="112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50</v>
      </c>
      <c r="H39" s="52">
        <f>Total!G30*25</f>
        <v>200</v>
      </c>
      <c r="I39" s="52">
        <f>Total!H30*25</f>
        <v>250</v>
      </c>
      <c r="J39" s="52">
        <f>Total!I30*25</f>
        <v>225</v>
      </c>
      <c r="K39" s="52">
        <f>Total!J30*25</f>
        <v>0</v>
      </c>
      <c r="L39" s="52">
        <f>Total!K30*25</f>
        <v>0</v>
      </c>
      <c r="M39" s="52">
        <f>Total!L30*25</f>
        <v>0</v>
      </c>
      <c r="N39" s="1"/>
    </row>
    <row r="40" spans="1:14" ht="19.5" customHeight="1" x14ac:dyDescent="0.25">
      <c r="A40" s="112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100</v>
      </c>
      <c r="I40" s="52">
        <f>Total!H31*25</f>
        <v>150</v>
      </c>
      <c r="J40" s="52">
        <f>Total!I31*25</f>
        <v>150</v>
      </c>
      <c r="K40" s="52">
        <f>Total!J31*25</f>
        <v>0</v>
      </c>
      <c r="L40" s="52">
        <f>Total!K31*25</f>
        <v>0</v>
      </c>
      <c r="M40" s="52">
        <f>Total!L31*25</f>
        <v>0</v>
      </c>
      <c r="N40" s="1"/>
    </row>
    <row r="41" spans="1:14" ht="19.5" customHeight="1" x14ac:dyDescent="0.25">
      <c r="A41" s="112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100</v>
      </c>
      <c r="I41" s="52">
        <f>Total!H32*25</f>
        <v>150</v>
      </c>
      <c r="J41" s="52">
        <f>Total!I32*25</f>
        <v>150</v>
      </c>
      <c r="K41" s="52">
        <f>Total!J32*25</f>
        <v>0</v>
      </c>
      <c r="L41" s="52">
        <f>Total!K32*25</f>
        <v>0</v>
      </c>
      <c r="M41" s="52">
        <f>Total!L32*25</f>
        <v>0</v>
      </c>
      <c r="N41" s="1"/>
    </row>
    <row r="42" spans="1:14" ht="19.5" customHeight="1" x14ac:dyDescent="0.25">
      <c r="A42" s="132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100</v>
      </c>
      <c r="I42" s="52">
        <f>Total!H33*25</f>
        <v>150</v>
      </c>
      <c r="J42" s="52">
        <f>Total!I33*25</f>
        <v>0</v>
      </c>
      <c r="K42" s="52">
        <f>Total!J33*25</f>
        <v>0</v>
      </c>
      <c r="L42" s="52">
        <f>Total!K33*25</f>
        <v>0</v>
      </c>
      <c r="M42" s="52">
        <f>Total!L33*25</f>
        <v>0</v>
      </c>
      <c r="N42" s="1" t="str">
        <f>+B42</f>
        <v>C1</v>
      </c>
    </row>
    <row r="43" spans="1:14" ht="19.5" customHeight="1" x14ac:dyDescent="0.25">
      <c r="A43" s="133"/>
      <c r="B43" s="62" t="str">
        <f>Total!B34</f>
        <v>C2N</v>
      </c>
      <c r="C43" s="60" t="s">
        <v>56</v>
      </c>
      <c r="D43" s="52">
        <f>Total!C34*20</f>
        <v>20</v>
      </c>
      <c r="E43" s="52">
        <f>Total!D34*20</f>
        <v>160</v>
      </c>
      <c r="F43" s="52">
        <f>Total!E34*25</f>
        <v>400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Total!J34*25</f>
        <v>0</v>
      </c>
      <c r="L43" s="52">
        <f>Total!K34*25</f>
        <v>0</v>
      </c>
      <c r="M43" s="52">
        <f>Total!L34*25</f>
        <v>0</v>
      </c>
      <c r="N43" s="1" t="str">
        <f>+B43</f>
        <v>C2N</v>
      </c>
    </row>
    <row r="44" spans="1:14" ht="19.5" customHeight="1" x14ac:dyDescent="0.25">
      <c r="A44" s="133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100</v>
      </c>
      <c r="I44" s="52">
        <f>Total!H35*25</f>
        <v>150</v>
      </c>
      <c r="J44" s="52">
        <f>Total!I35*25</f>
        <v>0</v>
      </c>
      <c r="K44" s="52">
        <f>Total!J35*25</f>
        <v>0</v>
      </c>
      <c r="L44" s="52">
        <f>Total!K35*25</f>
        <v>0</v>
      </c>
      <c r="M44" s="52">
        <f>Total!L35*25</f>
        <v>0</v>
      </c>
      <c r="N44" s="1"/>
    </row>
    <row r="45" spans="1:14" ht="19.5" customHeight="1" x14ac:dyDescent="0.25">
      <c r="A45" s="133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75</v>
      </c>
      <c r="I45" s="52">
        <f>Total!H36*25</f>
        <v>0</v>
      </c>
      <c r="J45" s="52">
        <f>Total!I36*25</f>
        <v>150</v>
      </c>
      <c r="K45" s="52">
        <f>Total!J36*25</f>
        <v>0</v>
      </c>
      <c r="L45" s="52">
        <f>Total!K36*25</f>
        <v>0</v>
      </c>
      <c r="M45" s="52">
        <f>Total!L36*25</f>
        <v>0</v>
      </c>
      <c r="N45" s="1" t="str">
        <f>+B45</f>
        <v>C3</v>
      </c>
    </row>
    <row r="46" spans="1:14" ht="19.5" customHeight="1" x14ac:dyDescent="0.25">
      <c r="A46" s="133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40</v>
      </c>
      <c r="F46" s="52">
        <f>Total!E37*25</f>
        <v>50</v>
      </c>
      <c r="G46" s="52">
        <f>Total!F37*25</f>
        <v>0</v>
      </c>
      <c r="H46" s="52">
        <f>Total!G37*25</f>
        <v>75</v>
      </c>
      <c r="I46" s="52">
        <f>Total!H37*25</f>
        <v>0</v>
      </c>
      <c r="J46" s="52">
        <f>Total!I37*25</f>
        <v>0</v>
      </c>
      <c r="K46" s="52">
        <f>Total!J37*25</f>
        <v>0</v>
      </c>
      <c r="L46" s="52">
        <f>Total!K37*25</f>
        <v>0</v>
      </c>
      <c r="M46" s="52">
        <f>Total!L37*25</f>
        <v>0</v>
      </c>
      <c r="N46" s="1" t="str">
        <f>+B46</f>
        <v>C4</v>
      </c>
    </row>
    <row r="47" spans="1:14" ht="19.5" customHeight="1" x14ac:dyDescent="0.25">
      <c r="A47" s="133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275</v>
      </c>
      <c r="G47" s="52">
        <f>Total!F38*25</f>
        <v>0</v>
      </c>
      <c r="H47" s="52">
        <f>Total!G38*25</f>
        <v>100</v>
      </c>
      <c r="I47" s="52">
        <f>Total!H38*25</f>
        <v>0</v>
      </c>
      <c r="J47" s="52">
        <f>Total!I38*25</f>
        <v>0</v>
      </c>
      <c r="K47" s="52">
        <f>Total!J38*25</f>
        <v>0</v>
      </c>
      <c r="L47" s="52">
        <f>Total!K38*25</f>
        <v>0</v>
      </c>
      <c r="M47" s="52">
        <f>Total!L38*25</f>
        <v>0</v>
      </c>
      <c r="N47" s="1"/>
    </row>
    <row r="48" spans="1:14" ht="19.5" customHeight="1" x14ac:dyDescent="0.25">
      <c r="A48" s="133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50</v>
      </c>
      <c r="G48" s="52">
        <f>Total!F39*25</f>
        <v>0</v>
      </c>
      <c r="H48" s="52">
        <f>Total!G39*25</f>
        <v>200</v>
      </c>
      <c r="I48" s="52">
        <f>Total!H39*25</f>
        <v>0</v>
      </c>
      <c r="J48" s="52">
        <f>Total!I39*25</f>
        <v>0</v>
      </c>
      <c r="K48" s="52">
        <f>Total!J39*25</f>
        <v>0</v>
      </c>
      <c r="L48" s="52">
        <f>Total!K39*25</f>
        <v>0</v>
      </c>
      <c r="M48" s="52">
        <f>Total!L39*25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 t="s">
        <v>56</v>
      </c>
      <c r="D49" s="52">
        <f>Total!C40*20</f>
        <v>0</v>
      </c>
      <c r="E49" s="52">
        <f>Total!D40*20</f>
        <v>80</v>
      </c>
      <c r="F49" s="52">
        <f>Total!E40*25</f>
        <v>500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Total!J40*25</f>
        <v>0</v>
      </c>
      <c r="L49" s="52">
        <f>Total!K40*25</f>
        <v>0</v>
      </c>
      <c r="M49" s="52">
        <f>Total!L40*25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Total!J41*25</f>
        <v>0</v>
      </c>
      <c r="L50" s="52">
        <f>Total!K41*25</f>
        <v>0</v>
      </c>
      <c r="M50" s="52">
        <f>Total!L41*25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24"/>
      <c r="I52" s="124"/>
      <c r="J52" s="125"/>
      <c r="K52" s="125"/>
      <c r="L52" s="125"/>
      <c r="M52" s="125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6"/>
      <c r="B53" s="126"/>
      <c r="C53" s="126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6"/>
      <c r="B55" s="126"/>
      <c r="C55" s="12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6"/>
      <c r="B56" s="126"/>
      <c r="C56" s="1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34" t="s">
        <v>58</v>
      </c>
      <c r="B57" s="135"/>
      <c r="C57" s="66" t="s">
        <v>59</v>
      </c>
      <c r="D57" s="115" t="s">
        <v>60</v>
      </c>
      <c r="E57" s="115"/>
      <c r="F57" s="115"/>
      <c r="G57" s="115"/>
      <c r="H57" s="115"/>
      <c r="I57" s="115"/>
      <c r="J57" s="116"/>
      <c r="K57" s="116"/>
      <c r="L57" s="116"/>
      <c r="M57" s="116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34" t="s">
        <v>61</v>
      </c>
      <c r="B58" s="135"/>
      <c r="C58" s="67" t="s">
        <v>62</v>
      </c>
      <c r="D58" s="115"/>
      <c r="E58" s="115"/>
      <c r="F58" s="115"/>
      <c r="G58" s="115"/>
      <c r="H58" s="115"/>
      <c r="I58" s="115"/>
      <c r="J58" s="116"/>
      <c r="K58" s="116"/>
      <c r="L58" s="116"/>
      <c r="M58" s="116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34" t="s">
        <v>63</v>
      </c>
      <c r="B59" s="135"/>
      <c r="C59" s="68">
        <v>44701</v>
      </c>
      <c r="D59" s="119" t="s">
        <v>64</v>
      </c>
      <c r="E59" s="119"/>
      <c r="F59" s="119"/>
      <c r="G59" s="119"/>
      <c r="H59" s="119"/>
      <c r="I59" s="119"/>
      <c r="J59" s="116"/>
      <c r="K59" s="116"/>
      <c r="L59" s="116"/>
      <c r="M59" s="116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34" t="s">
        <v>65</v>
      </c>
      <c r="B60" s="135"/>
      <c r="C60" s="66" t="s">
        <v>66</v>
      </c>
      <c r="D60" s="119"/>
      <c r="E60" s="119"/>
      <c r="F60" s="119"/>
      <c r="G60" s="119"/>
      <c r="H60" s="119"/>
      <c r="I60" s="119"/>
      <c r="J60" s="116"/>
      <c r="K60" s="116"/>
      <c r="L60" s="116"/>
      <c r="M60" s="116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36" t="s">
        <v>67</v>
      </c>
      <c r="B61" s="137"/>
      <c r="C61" s="66" t="s">
        <v>68</v>
      </c>
      <c r="D61" s="119"/>
      <c r="E61" s="119"/>
      <c r="F61" s="119"/>
      <c r="G61" s="119"/>
      <c r="H61" s="119"/>
      <c r="I61" s="119"/>
      <c r="J61" s="120" t="s">
        <v>107</v>
      </c>
      <c r="K61" s="120"/>
      <c r="L61" s="120"/>
      <c r="M61" s="120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34" t="s">
        <v>69</v>
      </c>
      <c r="B62" s="135"/>
      <c r="C62" s="66" t="s">
        <v>66</v>
      </c>
      <c r="D62" s="121" t="s">
        <v>70</v>
      </c>
      <c r="E62" s="121"/>
      <c r="F62" s="121"/>
      <c r="G62" s="121"/>
      <c r="H62" s="121"/>
      <c r="I62" s="121"/>
      <c r="J62" s="120"/>
      <c r="K62" s="120"/>
      <c r="L62" s="120"/>
      <c r="M62" s="120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34" t="s">
        <v>71</v>
      </c>
      <c r="B63" s="135"/>
      <c r="C63" s="66" t="s">
        <v>85</v>
      </c>
      <c r="D63" s="121"/>
      <c r="E63" s="121"/>
      <c r="F63" s="121"/>
      <c r="G63" s="121"/>
      <c r="H63" s="121"/>
      <c r="I63" s="121"/>
      <c r="J63" s="120"/>
      <c r="K63" s="120"/>
      <c r="L63" s="120"/>
      <c r="M63" s="120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>
        <f t="shared" si="1"/>
        <v>0</v>
      </c>
      <c r="L66" s="30">
        <f t="shared" si="1"/>
        <v>0</v>
      </c>
      <c r="M66" s="30">
        <f t="shared" si="1"/>
        <v>0</v>
      </c>
    </row>
    <row r="67" spans="1:13" ht="21.75" customHeight="1" thickBot="1" x14ac:dyDescent="0.3">
      <c r="A67" s="128" t="s">
        <v>103</v>
      </c>
      <c r="B67" s="129"/>
      <c r="C67" s="74">
        <f>SUM(D67:M67)</f>
        <v>13850</v>
      </c>
      <c r="D67" s="75">
        <f>SUM(D12:D50)</f>
        <v>20</v>
      </c>
      <c r="E67" s="76">
        <f t="shared" ref="E67:M67" si="2">SUM(E12:E50)</f>
        <v>280</v>
      </c>
      <c r="F67" s="76">
        <f t="shared" si="2"/>
        <v>1875</v>
      </c>
      <c r="G67" s="76">
        <f t="shared" si="2"/>
        <v>1075</v>
      </c>
      <c r="H67" s="76">
        <f t="shared" si="2"/>
        <v>3400</v>
      </c>
      <c r="I67" s="76">
        <f t="shared" si="2"/>
        <v>3075</v>
      </c>
      <c r="J67" s="76">
        <f t="shared" si="2"/>
        <v>4125</v>
      </c>
      <c r="K67" s="76">
        <f t="shared" si="2"/>
        <v>0</v>
      </c>
      <c r="L67" s="76">
        <f t="shared" si="2"/>
        <v>0</v>
      </c>
      <c r="M67" s="77">
        <f t="shared" si="2"/>
        <v>0</v>
      </c>
    </row>
    <row r="68" spans="1:13" ht="21.75" customHeight="1" x14ac:dyDescent="0.25">
      <c r="A68" s="127" t="s">
        <v>82</v>
      </c>
      <c r="B68" s="127"/>
      <c r="C68" s="71">
        <f t="shared" ref="C68:C69" si="3">SUM(D68:M68)</f>
        <v>24480</v>
      </c>
      <c r="D68" s="72">
        <v>600</v>
      </c>
      <c r="E68" s="73">
        <v>280</v>
      </c>
      <c r="F68" s="73">
        <v>2725</v>
      </c>
      <c r="G68" s="73">
        <v>4725</v>
      </c>
      <c r="H68" s="73">
        <v>6975</v>
      </c>
      <c r="I68" s="73">
        <v>3950</v>
      </c>
      <c r="J68" s="73">
        <v>5225</v>
      </c>
      <c r="K68" s="73">
        <v>0</v>
      </c>
      <c r="L68" s="73">
        <v>0</v>
      </c>
      <c r="M68" s="73">
        <v>0</v>
      </c>
    </row>
    <row r="69" spans="1:13" ht="21.75" customHeight="1" x14ac:dyDescent="0.25">
      <c r="A69" s="127" t="s">
        <v>83</v>
      </c>
      <c r="B69" s="127"/>
      <c r="C69" s="70">
        <f t="shared" si="3"/>
        <v>0</v>
      </c>
      <c r="D69" s="54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130" t="s">
        <v>102</v>
      </c>
      <c r="B70" s="130"/>
      <c r="C70" s="31">
        <f>SUM(D70:M70)</f>
        <v>10630</v>
      </c>
      <c r="D70" s="31">
        <f>(D68+D69)-D67</f>
        <v>580</v>
      </c>
      <c r="E70" s="31">
        <f t="shared" ref="E70:M70" si="4">(E68+E69)-E67</f>
        <v>0</v>
      </c>
      <c r="F70" s="31">
        <f t="shared" si="4"/>
        <v>850</v>
      </c>
      <c r="G70" s="31">
        <f t="shared" si="4"/>
        <v>3650</v>
      </c>
      <c r="H70" s="31">
        <f t="shared" si="4"/>
        <v>3575</v>
      </c>
      <c r="I70" s="31">
        <f t="shared" si="4"/>
        <v>875</v>
      </c>
      <c r="J70" s="31">
        <f t="shared" si="4"/>
        <v>1100</v>
      </c>
      <c r="K70" s="31">
        <f t="shared" si="4"/>
        <v>0</v>
      </c>
      <c r="L70" s="31">
        <f t="shared" si="4"/>
        <v>0</v>
      </c>
      <c r="M70" s="31">
        <f t="shared" si="4"/>
        <v>0</v>
      </c>
    </row>
    <row r="76" spans="1:13" ht="83.25" customHeight="1" x14ac:dyDescent="0.25">
      <c r="A76" s="130" t="s">
        <v>98</v>
      </c>
      <c r="B76" s="130"/>
      <c r="C76" s="55" t="s">
        <v>104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>
        <f t="shared" si="5"/>
        <v>0</v>
      </c>
      <c r="L76" s="30">
        <f t="shared" si="5"/>
        <v>0</v>
      </c>
      <c r="M76" s="30">
        <f t="shared" si="5"/>
        <v>0</v>
      </c>
    </row>
    <row r="77" spans="1:13" x14ac:dyDescent="0.25">
      <c r="A77" s="130" t="s">
        <v>21</v>
      </c>
      <c r="B77" s="130"/>
      <c r="C77" s="49">
        <f>SUM(D77:M77)</f>
        <v>325</v>
      </c>
      <c r="D77" s="54">
        <f>Hoja21!B4</f>
        <v>0</v>
      </c>
      <c r="E77" s="52">
        <f>Hoja21!C4</f>
        <v>0</v>
      </c>
      <c r="F77" s="52">
        <f>Hoja21!D4</f>
        <v>225</v>
      </c>
      <c r="G77" s="52">
        <f>Hoja21!E4</f>
        <v>100</v>
      </c>
      <c r="H77" s="52">
        <f>Hoja21!F4</f>
        <v>0</v>
      </c>
      <c r="I77" s="52">
        <f>Hoja21!G4</f>
        <v>0</v>
      </c>
      <c r="J77" s="52">
        <f>Hoja21!H4</f>
        <v>0</v>
      </c>
      <c r="K77" s="52">
        <f>Hoja21!I4</f>
        <v>0</v>
      </c>
      <c r="L77" s="52">
        <f>Hoja21!J4</f>
        <v>0</v>
      </c>
      <c r="M77" s="52">
        <f>Hoja21!K4</f>
        <v>0</v>
      </c>
    </row>
    <row r="78" spans="1:13" x14ac:dyDescent="0.25">
      <c r="A78" s="130" t="s">
        <v>56</v>
      </c>
      <c r="B78" s="130"/>
      <c r="C78" s="48">
        <f t="shared" ref="C78:C86" si="6">SUM(D78:M78)</f>
        <v>1160</v>
      </c>
      <c r="D78" s="54">
        <f>Hoja21!B5</f>
        <v>20</v>
      </c>
      <c r="E78" s="52">
        <f>Hoja21!C5</f>
        <v>240</v>
      </c>
      <c r="F78" s="52">
        <f>Hoja21!D5</f>
        <v>900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0</v>
      </c>
      <c r="L78" s="52">
        <f>Hoja21!J5</f>
        <v>0</v>
      </c>
      <c r="M78" s="52">
        <f>Hoja21!K5</f>
        <v>0</v>
      </c>
    </row>
    <row r="79" spans="1:13" x14ac:dyDescent="0.25">
      <c r="A79" s="130" t="s">
        <v>26</v>
      </c>
      <c r="B79" s="130"/>
      <c r="C79" s="48">
        <f t="shared" si="6"/>
        <v>965</v>
      </c>
      <c r="D79" s="54">
        <f>Hoja21!B6</f>
        <v>0</v>
      </c>
      <c r="E79" s="52">
        <f>Hoja21!C6</f>
        <v>40</v>
      </c>
      <c r="F79" s="52">
        <f>Hoja21!D6</f>
        <v>50</v>
      </c>
      <c r="G79" s="52">
        <f>Hoja21!E6</f>
        <v>25</v>
      </c>
      <c r="H79" s="52">
        <f>Hoja21!F6</f>
        <v>225</v>
      </c>
      <c r="I79" s="52">
        <f>Hoja21!G6</f>
        <v>300</v>
      </c>
      <c r="J79" s="52">
        <f>Hoja21!H6</f>
        <v>325</v>
      </c>
      <c r="K79" s="52">
        <f>Hoja21!I6</f>
        <v>0</v>
      </c>
      <c r="L79" s="52">
        <f>Hoja21!J6</f>
        <v>0</v>
      </c>
      <c r="M79" s="52">
        <f>Hoja21!K6</f>
        <v>0</v>
      </c>
    </row>
    <row r="80" spans="1:13" x14ac:dyDescent="0.25">
      <c r="A80" s="130" t="s">
        <v>51</v>
      </c>
      <c r="B80" s="130"/>
      <c r="C80" s="48">
        <f t="shared" si="6"/>
        <v>500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200</v>
      </c>
      <c r="I80" s="52">
        <f>Hoja21!G7</f>
        <v>300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0</v>
      </c>
    </row>
    <row r="81" spans="1:13" x14ac:dyDescent="0.25">
      <c r="A81" s="130" t="s">
        <v>99</v>
      </c>
      <c r="B81" s="130"/>
      <c r="C81" s="48">
        <f t="shared" si="6"/>
        <v>375</v>
      </c>
      <c r="D81" s="54">
        <f>Hoja21!B8</f>
        <v>0</v>
      </c>
      <c r="E81" s="52">
        <f>Hoja21!C8</f>
        <v>0</v>
      </c>
      <c r="F81" s="52">
        <f>Hoja21!D8</f>
        <v>275</v>
      </c>
      <c r="G81" s="52">
        <f>Hoja21!E8</f>
        <v>0</v>
      </c>
      <c r="H81" s="52">
        <f>Hoja21!F8</f>
        <v>100</v>
      </c>
      <c r="I81" s="52">
        <f>Hoja21!G8</f>
        <v>0</v>
      </c>
      <c r="J81" s="52">
        <f>Hoja21!H8</f>
        <v>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130" t="s">
        <v>10</v>
      </c>
      <c r="B82" s="130"/>
      <c r="C82" s="48">
        <f t="shared" si="6"/>
        <v>7475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425</v>
      </c>
      <c r="H82" s="52">
        <f>Hoja21!F9</f>
        <v>2475</v>
      </c>
      <c r="I82" s="52">
        <f>Hoja21!G9</f>
        <v>2275</v>
      </c>
      <c r="J82" s="52">
        <f>Hoja21!H9</f>
        <v>2300</v>
      </c>
      <c r="K82" s="52">
        <f>Hoja21!I9</f>
        <v>0</v>
      </c>
      <c r="L82" s="52">
        <f>Hoja21!J9</f>
        <v>0</v>
      </c>
      <c r="M82" s="52">
        <f>Hoja21!K9</f>
        <v>0</v>
      </c>
    </row>
    <row r="83" spans="1:13" x14ac:dyDescent="0.25">
      <c r="A83" s="130" t="s">
        <v>97</v>
      </c>
      <c r="B83" s="130"/>
      <c r="C83" s="48">
        <f t="shared" si="6"/>
        <v>1175</v>
      </c>
      <c r="D83" s="54">
        <f>Hoja21!B10</f>
        <v>0</v>
      </c>
      <c r="E83" s="52">
        <f>Hoja21!C10</f>
        <v>0</v>
      </c>
      <c r="F83" s="52">
        <f>Hoja21!D10</f>
        <v>175</v>
      </c>
      <c r="G83" s="52">
        <f>Hoja21!E10</f>
        <v>300</v>
      </c>
      <c r="H83" s="52">
        <f>Hoja21!F10</f>
        <v>100</v>
      </c>
      <c r="I83" s="52">
        <f>Hoja21!G10</f>
        <v>0</v>
      </c>
      <c r="J83" s="52">
        <f>Hoja21!H10</f>
        <v>600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130" t="s">
        <v>87</v>
      </c>
      <c r="B84" s="130"/>
      <c r="C84" s="48">
        <f t="shared" si="6"/>
        <v>250</v>
      </c>
      <c r="D84" s="54">
        <f>Hoja21!B11</f>
        <v>0</v>
      </c>
      <c r="E84" s="52">
        <f>Hoja21!C11</f>
        <v>0</v>
      </c>
      <c r="F84" s="52">
        <f>Hoja21!D11</f>
        <v>50</v>
      </c>
      <c r="G84" s="52">
        <f>Hoja21!E11</f>
        <v>0</v>
      </c>
      <c r="H84" s="52">
        <f>Hoja21!F11</f>
        <v>200</v>
      </c>
      <c r="I84" s="52">
        <f>Hoja21!G11</f>
        <v>0</v>
      </c>
      <c r="J84" s="52">
        <f>Hoja21!H11</f>
        <v>0</v>
      </c>
      <c r="K84" s="52">
        <f>Hoja21!I11</f>
        <v>0</v>
      </c>
      <c r="L84" s="52">
        <f>Hoja21!J11</f>
        <v>0</v>
      </c>
      <c r="M84" s="52">
        <f>Hoja21!K11</f>
        <v>0</v>
      </c>
    </row>
    <row r="85" spans="1:13" x14ac:dyDescent="0.25">
      <c r="A85" s="130" t="s">
        <v>18</v>
      </c>
      <c r="B85" s="130"/>
      <c r="C85" s="48">
        <f t="shared" si="6"/>
        <v>1350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150</v>
      </c>
      <c r="H85" s="52">
        <f>Hoja21!F12</f>
        <v>100</v>
      </c>
      <c r="I85" s="52">
        <f>Hoja21!G12</f>
        <v>200</v>
      </c>
      <c r="J85" s="52">
        <f>Hoja21!H12</f>
        <v>900</v>
      </c>
      <c r="K85" s="52">
        <f>Hoja21!I12</f>
        <v>0</v>
      </c>
      <c r="L85" s="52">
        <f>Hoja21!J12</f>
        <v>0</v>
      </c>
      <c r="M85" s="52">
        <f>Hoja21!K12</f>
        <v>0</v>
      </c>
    </row>
    <row r="86" spans="1:13" x14ac:dyDescent="0.25">
      <c r="A86" s="130" t="s">
        <v>23</v>
      </c>
      <c r="B86" s="130"/>
      <c r="C86" s="51">
        <f t="shared" si="6"/>
        <v>275</v>
      </c>
      <c r="D86" s="57">
        <f>Hoja21!B13</f>
        <v>0</v>
      </c>
      <c r="E86" s="53">
        <f>Hoja21!C13</f>
        <v>0</v>
      </c>
      <c r="F86" s="53">
        <f>Hoja21!D13</f>
        <v>200</v>
      </c>
      <c r="G86" s="53">
        <f>Hoja21!E13</f>
        <v>75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31" t="s">
        <v>79</v>
      </c>
      <c r="B87" s="131"/>
      <c r="C87" s="50">
        <f>SUM(C77:C86)</f>
        <v>13850</v>
      </c>
      <c r="D87" s="50">
        <f>SUM(D77:D86)</f>
        <v>20</v>
      </c>
      <c r="E87" s="50">
        <f t="shared" ref="E87:M87" si="7">SUM(E77:E86)</f>
        <v>280</v>
      </c>
      <c r="F87" s="50">
        <f t="shared" si="7"/>
        <v>1875</v>
      </c>
      <c r="G87" s="50">
        <f t="shared" si="7"/>
        <v>1075</v>
      </c>
      <c r="H87" s="50">
        <f t="shared" si="7"/>
        <v>3400</v>
      </c>
      <c r="I87" s="50">
        <f t="shared" si="7"/>
        <v>3075</v>
      </c>
      <c r="J87" s="50">
        <f t="shared" si="7"/>
        <v>4125</v>
      </c>
      <c r="K87" s="50">
        <f t="shared" si="7"/>
        <v>0</v>
      </c>
      <c r="L87" s="50">
        <f t="shared" si="7"/>
        <v>0</v>
      </c>
      <c r="M87" s="50">
        <f t="shared" si="7"/>
        <v>0</v>
      </c>
    </row>
  </sheetData>
  <mergeCells count="52"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2025-05-30T18:23:45Z</cp:lastPrinted>
  <dcterms:created xsi:type="dcterms:W3CDTF">2025-03-24T14:33:38Z</dcterms:created>
  <dcterms:modified xsi:type="dcterms:W3CDTF">2025-07-02T14:00:45Z</dcterms:modified>
</cp:coreProperties>
</file>
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35096F6E-2DCA-4E44-96F2-88A85E432818}" xr6:coauthVersionLast="47" xr6:coauthVersionMax="47" xr10:uidLastSave="{00000000-0000-0000-0000-000000000000}"/>
  <bookViews>
    <workbookView xWindow="-120" yWindow="-120" windowWidth="20730" windowHeight="11310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9" r:id="rId12"/>
    <sheet name="Total Consumo Mensual" sheetId="12" r:id="rId13"/>
    <sheet name="Hoja1" sheetId="13" r:id="rId14"/>
  </sheets>
  <definedNames>
    <definedName name="_xlnm.Print_Area" localSheetId="12">'Total Consumo Mensual'!$A$1:$M$56</definedName>
  </definedNames>
  <calcPr calcId="191029"/>
  <pivotCaches>
    <pivotCache cacheId="99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2" l="1"/>
  <c r="N46" i="12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AL74" i="18"/>
  <c r="AL81" i="18" s="1"/>
  <c r="AK74" i="18"/>
  <c r="AJ74" i="18"/>
  <c r="AI74" i="18"/>
  <c r="AI81" i="18" s="1"/>
  <c r="AH74" i="18"/>
  <c r="AH81" i="18" s="1"/>
  <c r="AG74" i="18"/>
  <c r="AG81" i="18" s="1"/>
  <c r="AF74" i="18"/>
  <c r="AE74" i="18"/>
  <c r="AE81" i="18" s="1"/>
  <c r="AD74" i="18"/>
  <c r="AD81" i="18" s="1"/>
  <c r="AC74" i="18"/>
  <c r="AB74" i="18"/>
  <c r="AA74" i="18"/>
  <c r="AA81" i="18" s="1"/>
  <c r="Z74" i="18"/>
  <c r="Z81" i="18" s="1"/>
  <c r="Y74" i="18"/>
  <c r="X74" i="18"/>
  <c r="W74" i="18"/>
  <c r="W81" i="18" s="1"/>
  <c r="V74" i="18"/>
  <c r="V81" i="18" s="1"/>
  <c r="U74" i="18"/>
  <c r="T74" i="18"/>
  <c r="S74" i="18"/>
  <c r="S81" i="18" s="1"/>
  <c r="R74" i="18"/>
  <c r="R81" i="18" s="1"/>
  <c r="Q74" i="18"/>
  <c r="P74" i="18"/>
  <c r="O74" i="18"/>
  <c r="O81" i="18" s="1"/>
  <c r="N74" i="18"/>
  <c r="N81" i="18" s="1"/>
  <c r="M74" i="18"/>
  <c r="L74" i="18"/>
  <c r="K74" i="18"/>
  <c r="J74" i="18"/>
  <c r="J81" i="18" s="1"/>
  <c r="I74" i="18"/>
  <c r="H74" i="18"/>
  <c r="G74" i="18"/>
  <c r="G81" i="18" s="1"/>
  <c r="F74" i="18"/>
  <c r="F81" i="18" s="1"/>
  <c r="E74" i="18"/>
  <c r="D74" i="18"/>
  <c r="C74" i="18"/>
  <c r="C81" i="18" s="1"/>
  <c r="AM58" i="18"/>
  <c r="AN58" i="18" s="1"/>
  <c r="AM57" i="18"/>
  <c r="AN57" i="18" s="1"/>
  <c r="AM56" i="18"/>
  <c r="AN56" i="18" s="1"/>
  <c r="AN55" i="18"/>
  <c r="AM55" i="18"/>
  <c r="AM54" i="18"/>
  <c r="AN54" i="18" s="1"/>
  <c r="AM53" i="18"/>
  <c r="AN53" i="18" s="1"/>
  <c r="AM52" i="18"/>
  <c r="AN52" i="18" s="1"/>
  <c r="AM51" i="18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M43" i="18"/>
  <c r="AN43" i="18" s="1"/>
  <c r="AM42" i="18"/>
  <c r="AN42" i="18" s="1"/>
  <c r="AM41" i="18"/>
  <c r="AN41" i="18" s="1"/>
  <c r="AM40" i="18"/>
  <c r="AN40" i="18" s="1"/>
  <c r="AM39" i="18"/>
  <c r="AN39" i="18" s="1"/>
  <c r="AM38" i="18"/>
  <c r="AN38" i="18" s="1"/>
  <c r="AM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M20" i="18"/>
  <c r="AN20" i="18" s="1"/>
  <c r="AM19" i="18"/>
  <c r="AN19" i="18" s="1"/>
  <c r="AM18" i="18"/>
  <c r="AN18" i="18" s="1"/>
  <c r="AM17" i="18"/>
  <c r="AN17" i="18" s="1"/>
  <c r="AM16" i="18"/>
  <c r="AN16" i="18" s="1"/>
  <c r="AM15" i="18"/>
  <c r="AN15" i="18" s="1"/>
  <c r="AM14" i="18"/>
  <c r="AN14" i="18" s="1"/>
  <c r="AM13" i="18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L81" i="17" s="1"/>
  <c r="AK74" i="17"/>
  <c r="AJ74" i="17"/>
  <c r="AI74" i="17"/>
  <c r="AI81" i="17" s="1"/>
  <c r="AH74" i="17"/>
  <c r="AH81" i="17" s="1"/>
  <c r="AG74" i="17"/>
  <c r="AF74" i="17"/>
  <c r="AE74" i="17"/>
  <c r="AE81" i="17" s="1"/>
  <c r="AD74" i="17"/>
  <c r="AD81" i="17" s="1"/>
  <c r="AC74" i="17"/>
  <c r="AB74" i="17"/>
  <c r="AA74" i="17"/>
  <c r="AA81" i="17" s="1"/>
  <c r="Z74" i="17"/>
  <c r="Z81" i="17" s="1"/>
  <c r="Y74" i="17"/>
  <c r="X74" i="17"/>
  <c r="W74" i="17"/>
  <c r="W81" i="17" s="1"/>
  <c r="V74" i="17"/>
  <c r="V81" i="17" s="1"/>
  <c r="U74" i="17"/>
  <c r="T74" i="17"/>
  <c r="S74" i="17"/>
  <c r="S81" i="17" s="1"/>
  <c r="R74" i="17"/>
  <c r="R81" i="17" s="1"/>
  <c r="Q74" i="17"/>
  <c r="P74" i="17"/>
  <c r="O74" i="17"/>
  <c r="O81" i="17" s="1"/>
  <c r="N74" i="17"/>
  <c r="N81" i="17" s="1"/>
  <c r="M74" i="17"/>
  <c r="L74" i="17"/>
  <c r="K74" i="17"/>
  <c r="K81" i="17" s="1"/>
  <c r="J74" i="17"/>
  <c r="J81" i="17" s="1"/>
  <c r="I74" i="17"/>
  <c r="H74" i="17"/>
  <c r="G74" i="17"/>
  <c r="G81" i="17" s="1"/>
  <c r="F74" i="17"/>
  <c r="F81" i="17" s="1"/>
  <c r="E74" i="17"/>
  <c r="D74" i="17"/>
  <c r="C74" i="17"/>
  <c r="C81" i="17" s="1"/>
  <c r="AM58" i="17"/>
  <c r="AN58" i="17" s="1"/>
  <c r="AM57" i="17"/>
  <c r="AN57" i="17" s="1"/>
  <c r="AM56" i="17"/>
  <c r="AN56" i="17" s="1"/>
  <c r="AM55" i="17"/>
  <c r="AN55" i="17" s="1"/>
  <c r="AM54" i="17"/>
  <c r="AN54" i="17" s="1"/>
  <c r="AM53" i="17"/>
  <c r="AN53" i="17" s="1"/>
  <c r="AM52" i="17"/>
  <c r="C68" i="17" s="1"/>
  <c r="AM51" i="17"/>
  <c r="AM50" i="17"/>
  <c r="AN50" i="17" s="1"/>
  <c r="AM49" i="17"/>
  <c r="AN49" i="17" s="1"/>
  <c r="AM48" i="17"/>
  <c r="AN48" i="17" s="1"/>
  <c r="AM47" i="17"/>
  <c r="AN47" i="17" s="1"/>
  <c r="AM46" i="17"/>
  <c r="AN46" i="17" s="1"/>
  <c r="AM45" i="17"/>
  <c r="AN45" i="17" s="1"/>
  <c r="AM44" i="17"/>
  <c r="AM43" i="17"/>
  <c r="AN43" i="17" s="1"/>
  <c r="AM42" i="17"/>
  <c r="AN42" i="17" s="1"/>
  <c r="AM41" i="17"/>
  <c r="AN41" i="17" s="1"/>
  <c r="AM40" i="17"/>
  <c r="AN40" i="17" s="1"/>
  <c r="AM39" i="17"/>
  <c r="AN39" i="17" s="1"/>
  <c r="AM38" i="17"/>
  <c r="AN38" i="17" s="1"/>
  <c r="AM37" i="17"/>
  <c r="AM36" i="17"/>
  <c r="AN36" i="17" s="1"/>
  <c r="AM35" i="17"/>
  <c r="AN35" i="17" s="1"/>
  <c r="AM34" i="17"/>
  <c r="AN34" i="17" s="1"/>
  <c r="AM33" i="17"/>
  <c r="AN33" i="17" s="1"/>
  <c r="AM32" i="17"/>
  <c r="AN32" i="17" s="1"/>
  <c r="AM31" i="17"/>
  <c r="AN31" i="17" s="1"/>
  <c r="AM30" i="17"/>
  <c r="AN30" i="17" s="1"/>
  <c r="AM29" i="17"/>
  <c r="AM28" i="17"/>
  <c r="AN28" i="17" s="1"/>
  <c r="AM27" i="17"/>
  <c r="AN27" i="17" s="1"/>
  <c r="AN26" i="17"/>
  <c r="AM26" i="17"/>
  <c r="AM25" i="17"/>
  <c r="AN25" i="17" s="1"/>
  <c r="AM24" i="17"/>
  <c r="AN24" i="17" s="1"/>
  <c r="AM23" i="17"/>
  <c r="AN23" i="17" s="1"/>
  <c r="AM22" i="17"/>
  <c r="AN22" i="17" s="1"/>
  <c r="AM21" i="17"/>
  <c r="AN21" i="17" s="1"/>
  <c r="AM20" i="17"/>
  <c r="AN20" i="17" s="1"/>
  <c r="AM19" i="17"/>
  <c r="AN19" i="17" s="1"/>
  <c r="AM18" i="17"/>
  <c r="AN18" i="17" s="1"/>
  <c r="AM17" i="17"/>
  <c r="AN17" i="17" s="1"/>
  <c r="AM16" i="17"/>
  <c r="AN16" i="17" s="1"/>
  <c r="AM15" i="17"/>
  <c r="AN15" i="17" s="1"/>
  <c r="AM14" i="17"/>
  <c r="AN14" i="17" s="1"/>
  <c r="AM13" i="17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L74" i="16"/>
  <c r="AL81" i="16" s="1"/>
  <c r="AK74" i="16"/>
  <c r="AJ74" i="16"/>
  <c r="AI74" i="16"/>
  <c r="AI81" i="16" s="1"/>
  <c r="AH74" i="16"/>
  <c r="AH81" i="16" s="1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V81" i="16" s="1"/>
  <c r="U74" i="16"/>
  <c r="T74" i="16"/>
  <c r="S74" i="16"/>
  <c r="S81" i="16" s="1"/>
  <c r="R74" i="16"/>
  <c r="R81" i="16" s="1"/>
  <c r="Q74" i="16"/>
  <c r="P74" i="16"/>
  <c r="O74" i="16"/>
  <c r="N74" i="16"/>
  <c r="N81" i="16" s="1"/>
  <c r="M74" i="16"/>
  <c r="L74" i="16"/>
  <c r="K74" i="16"/>
  <c r="K81" i="16" s="1"/>
  <c r="J74" i="16"/>
  <c r="J81" i="16" s="1"/>
  <c r="I74" i="16"/>
  <c r="H74" i="16"/>
  <c r="G74" i="16"/>
  <c r="G81" i="16" s="1"/>
  <c r="F74" i="16"/>
  <c r="F81" i="16" s="1"/>
  <c r="E74" i="16"/>
  <c r="D74" i="16"/>
  <c r="C74" i="16"/>
  <c r="C81" i="16" s="1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M51" i="16"/>
  <c r="AM50" i="16"/>
  <c r="AN50" i="16" s="1"/>
  <c r="AM49" i="16"/>
  <c r="AN49" i="16" s="1"/>
  <c r="AM48" i="16"/>
  <c r="AN48" i="16" s="1"/>
  <c r="AM47" i="16"/>
  <c r="AN47" i="16" s="1"/>
  <c r="AM46" i="16"/>
  <c r="AN46" i="16" s="1"/>
  <c r="AM45" i="16"/>
  <c r="AM44" i="16"/>
  <c r="AN44" i="16" s="1"/>
  <c r="AM43" i="16"/>
  <c r="AN43" i="16" s="1"/>
  <c r="AM42" i="16"/>
  <c r="AN42" i="16" s="1"/>
  <c r="AM41" i="16"/>
  <c r="AN41" i="16" s="1"/>
  <c r="AM40" i="16"/>
  <c r="AN40" i="16" s="1"/>
  <c r="AM39" i="16"/>
  <c r="AN39" i="16" s="1"/>
  <c r="AM38" i="16"/>
  <c r="AN38" i="16" s="1"/>
  <c r="AM37" i="16"/>
  <c r="AM36" i="16"/>
  <c r="AN36" i="16" s="1"/>
  <c r="AM35" i="16"/>
  <c r="AN35" i="16" s="1"/>
  <c r="AM34" i="16"/>
  <c r="AN34" i="16" s="1"/>
  <c r="AM33" i="16"/>
  <c r="AN33" i="16" s="1"/>
  <c r="AM32" i="16"/>
  <c r="AN32" i="16" s="1"/>
  <c r="AM31" i="16"/>
  <c r="AN31" i="16" s="1"/>
  <c r="AM30" i="16"/>
  <c r="AN30" i="16" s="1"/>
  <c r="AM29" i="16"/>
  <c r="AM28" i="16"/>
  <c r="AN28" i="16" s="1"/>
  <c r="AM27" i="16"/>
  <c r="AN27" i="16" s="1"/>
  <c r="AM26" i="16"/>
  <c r="AN26" i="16" s="1"/>
  <c r="AM25" i="16"/>
  <c r="AN25" i="16" s="1"/>
  <c r="AM24" i="16"/>
  <c r="AN24" i="16" s="1"/>
  <c r="AM23" i="16"/>
  <c r="AN23" i="16" s="1"/>
  <c r="AM22" i="16"/>
  <c r="AN22" i="16" s="1"/>
  <c r="AM21" i="16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14" i="16"/>
  <c r="AN14" i="16" s="1"/>
  <c r="AM13" i="16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L74" i="15"/>
  <c r="AL81" i="15" s="1"/>
  <c r="AK74" i="15"/>
  <c r="AJ74" i="15"/>
  <c r="AI74" i="15"/>
  <c r="AH74" i="15"/>
  <c r="AH81" i="15" s="1"/>
  <c r="AG74" i="15"/>
  <c r="AF74" i="15"/>
  <c r="AE74" i="15"/>
  <c r="AE81" i="15" s="1"/>
  <c r="AD74" i="15"/>
  <c r="AD81" i="15" s="1"/>
  <c r="AC74" i="15"/>
  <c r="AB74" i="15"/>
  <c r="AA74" i="15"/>
  <c r="Z74" i="15"/>
  <c r="Z81" i="15" s="1"/>
  <c r="Y74" i="15"/>
  <c r="X74" i="15"/>
  <c r="W74" i="15"/>
  <c r="V74" i="15"/>
  <c r="V81" i="15" s="1"/>
  <c r="U74" i="15"/>
  <c r="T74" i="15"/>
  <c r="S74" i="15"/>
  <c r="R74" i="15"/>
  <c r="Q74" i="15"/>
  <c r="P74" i="15"/>
  <c r="O74" i="15"/>
  <c r="O81" i="15" s="1"/>
  <c r="N74" i="15"/>
  <c r="N81" i="15" s="1"/>
  <c r="M74" i="15"/>
  <c r="L74" i="15"/>
  <c r="K74" i="15"/>
  <c r="K81" i="15" s="1"/>
  <c r="J74" i="15"/>
  <c r="J81" i="15" s="1"/>
  <c r="I74" i="15"/>
  <c r="H74" i="15"/>
  <c r="G74" i="15"/>
  <c r="G81" i="15" s="1"/>
  <c r="F74" i="15"/>
  <c r="F81" i="15" s="1"/>
  <c r="E74" i="15"/>
  <c r="D74" i="15"/>
  <c r="C74" i="15"/>
  <c r="C81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M50" i="15"/>
  <c r="AN50" i="15" s="1"/>
  <c r="AM49" i="15"/>
  <c r="AN49" i="15" s="1"/>
  <c r="AM48" i="15"/>
  <c r="AN48" i="15" s="1"/>
  <c r="AM47" i="15"/>
  <c r="AN47" i="15" s="1"/>
  <c r="AM46" i="15"/>
  <c r="AN46" i="15" s="1"/>
  <c r="AM45" i="15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L74" i="14"/>
  <c r="AL81" i="14" s="1"/>
  <c r="AK74" i="14"/>
  <c r="AJ74" i="14"/>
  <c r="AI74" i="14"/>
  <c r="AI81" i="14" s="1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S81" i="14" s="1"/>
  <c r="R74" i="14"/>
  <c r="Q74" i="14"/>
  <c r="P74" i="14"/>
  <c r="O74" i="14"/>
  <c r="N74" i="14"/>
  <c r="N81" i="14" s="1"/>
  <c r="M74" i="14"/>
  <c r="L74" i="14"/>
  <c r="K74" i="14"/>
  <c r="K81" i="14" s="1"/>
  <c r="J74" i="14"/>
  <c r="J81" i="14" s="1"/>
  <c r="I74" i="14"/>
  <c r="H74" i="14"/>
  <c r="G74" i="14"/>
  <c r="G81" i="14" s="1"/>
  <c r="F74" i="14"/>
  <c r="F81" i="14" s="1"/>
  <c r="E74" i="14"/>
  <c r="D74" i="14"/>
  <c r="C74" i="14"/>
  <c r="C81" i="14" s="1"/>
  <c r="AM58" i="14"/>
  <c r="AN58" i="14" s="1"/>
  <c r="AM57" i="14"/>
  <c r="AN57" i="14" s="1"/>
  <c r="AM56" i="14"/>
  <c r="AN56" i="14" s="1"/>
  <c r="AM55" i="14"/>
  <c r="AN55" i="14" s="1"/>
  <c r="AM54" i="14"/>
  <c r="AN54" i="14" s="1"/>
  <c r="AM53" i="14"/>
  <c r="AN53" i="14" s="1"/>
  <c r="AM52" i="14"/>
  <c r="AN52" i="14" s="1"/>
  <c r="AM51" i="14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M43" i="14"/>
  <c r="AN43" i="14" s="1"/>
  <c r="AM42" i="14"/>
  <c r="AN42" i="14" s="1"/>
  <c r="AM41" i="14"/>
  <c r="AN41" i="14" s="1"/>
  <c r="AM40" i="14"/>
  <c r="AN40" i="14" s="1"/>
  <c r="AM39" i="14"/>
  <c r="AN39" i="14" s="1"/>
  <c r="AM38" i="14"/>
  <c r="AN38" i="14" s="1"/>
  <c r="AM37" i="14"/>
  <c r="AM36" i="14"/>
  <c r="AN36" i="14" s="1"/>
  <c r="AM35" i="14"/>
  <c r="AN35" i="14" s="1"/>
  <c r="AM34" i="14"/>
  <c r="AN34" i="14" s="1"/>
  <c r="AM33" i="14"/>
  <c r="AN33" i="14" s="1"/>
  <c r="AM32" i="14"/>
  <c r="AN32" i="14" s="1"/>
  <c r="AM31" i="14"/>
  <c r="AN31" i="14" s="1"/>
  <c r="AM30" i="14"/>
  <c r="AN30" i="14" s="1"/>
  <c r="AM29" i="14"/>
  <c r="AM28" i="14"/>
  <c r="AN28" i="14" s="1"/>
  <c r="AM27" i="14"/>
  <c r="AN27" i="14" s="1"/>
  <c r="AM26" i="14"/>
  <c r="AN26" i="14" s="1"/>
  <c r="AM25" i="14"/>
  <c r="AN25" i="14" s="1"/>
  <c r="AM24" i="14"/>
  <c r="AN24" i="14" s="1"/>
  <c r="AM23" i="14"/>
  <c r="AN23" i="14" s="1"/>
  <c r="AM22" i="14"/>
  <c r="AN22" i="14" s="1"/>
  <c r="AM21" i="14"/>
  <c r="AM20" i="14"/>
  <c r="AN20" i="14" s="1"/>
  <c r="AM19" i="14"/>
  <c r="AN19" i="14" s="1"/>
  <c r="AM18" i="14"/>
  <c r="AN18" i="14" s="1"/>
  <c r="AM17" i="14"/>
  <c r="AN17" i="14" s="1"/>
  <c r="AM16" i="14"/>
  <c r="AN16" i="14" s="1"/>
  <c r="AM15" i="14"/>
  <c r="AN15" i="14" s="1"/>
  <c r="AM14" i="14"/>
  <c r="AN14" i="14" s="1"/>
  <c r="AM13" i="14"/>
  <c r="V81" i="14" l="1"/>
  <c r="AI81" i="15"/>
  <c r="W81" i="15"/>
  <c r="AA81" i="15"/>
  <c r="AD81" i="14"/>
  <c r="R81" i="15"/>
  <c r="S81" i="15"/>
  <c r="AM77" i="18"/>
  <c r="AN77" i="18" s="1"/>
  <c r="AM78" i="18"/>
  <c r="AN78" i="18" s="1"/>
  <c r="AA81" i="16"/>
  <c r="W81" i="16"/>
  <c r="AE81" i="16"/>
  <c r="O81" i="16"/>
  <c r="AD81" i="16"/>
  <c r="Z81" i="16"/>
  <c r="AE81" i="14"/>
  <c r="AA81" i="14"/>
  <c r="Z81" i="14"/>
  <c r="W81" i="14"/>
  <c r="R81" i="14"/>
  <c r="O81" i="14"/>
  <c r="C67" i="17"/>
  <c r="AM75" i="14"/>
  <c r="AN75" i="14" s="1"/>
  <c r="AM76" i="14"/>
  <c r="AN76" i="14" s="1"/>
  <c r="AM77" i="14"/>
  <c r="AN77" i="14" s="1"/>
  <c r="AM78" i="14"/>
  <c r="AN78" i="14" s="1"/>
  <c r="AM79" i="14"/>
  <c r="AN79" i="14" s="1"/>
  <c r="AM80" i="14"/>
  <c r="AN80" i="14" s="1"/>
  <c r="AH81" i="14"/>
  <c r="AM76" i="18"/>
  <c r="AN76" i="18" s="1"/>
  <c r="AM79" i="18"/>
  <c r="AN79" i="18" s="1"/>
  <c r="AM80" i="18"/>
  <c r="AN80" i="18" s="1"/>
  <c r="K81" i="18"/>
  <c r="AM75" i="18"/>
  <c r="AN75" i="18" s="1"/>
  <c r="D81" i="18"/>
  <c r="H81" i="18"/>
  <c r="L81" i="18"/>
  <c r="P81" i="18"/>
  <c r="T81" i="18"/>
  <c r="X81" i="18"/>
  <c r="AB81" i="18"/>
  <c r="AF81" i="18"/>
  <c r="AJ81" i="18"/>
  <c r="E81" i="18"/>
  <c r="I81" i="18"/>
  <c r="M81" i="18"/>
  <c r="Q81" i="18"/>
  <c r="U81" i="18"/>
  <c r="Y81" i="18"/>
  <c r="AC81" i="18"/>
  <c r="AK81" i="18"/>
  <c r="E81" i="17"/>
  <c r="Q81" i="17"/>
  <c r="AG81" i="17"/>
  <c r="AN44" i="17"/>
  <c r="M81" i="17"/>
  <c r="Y81" i="17"/>
  <c r="AC81" i="17"/>
  <c r="C63" i="17"/>
  <c r="D64" i="17"/>
  <c r="C65" i="17"/>
  <c r="C66" i="17"/>
  <c r="D67" i="17"/>
  <c r="AM75" i="17"/>
  <c r="AN75" i="17" s="1"/>
  <c r="AM76" i="17"/>
  <c r="AN76" i="17" s="1"/>
  <c r="AM77" i="17"/>
  <c r="AN77" i="17" s="1"/>
  <c r="AM78" i="17"/>
  <c r="AN78" i="17" s="1"/>
  <c r="AM79" i="17"/>
  <c r="AN79" i="17" s="1"/>
  <c r="AM80" i="17"/>
  <c r="AN80" i="17" s="1"/>
  <c r="I81" i="17"/>
  <c r="U81" i="17"/>
  <c r="AK81" i="17"/>
  <c r="D81" i="17"/>
  <c r="H81" i="17"/>
  <c r="L81" i="17"/>
  <c r="P81" i="17"/>
  <c r="T81" i="17"/>
  <c r="X81" i="17"/>
  <c r="AB81" i="17"/>
  <c r="AF81" i="17"/>
  <c r="AJ81" i="17"/>
  <c r="AK81" i="16"/>
  <c r="AG81" i="16"/>
  <c r="AF81" i="16"/>
  <c r="AJ81" i="16"/>
  <c r="Q81" i="16"/>
  <c r="AC81" i="16"/>
  <c r="I81" i="16"/>
  <c r="U81" i="16"/>
  <c r="C63" i="16"/>
  <c r="C64" i="16"/>
  <c r="C65" i="16"/>
  <c r="C66" i="16"/>
  <c r="C67" i="16"/>
  <c r="AM75" i="16"/>
  <c r="AN75" i="16" s="1"/>
  <c r="AM76" i="16"/>
  <c r="AN76" i="16" s="1"/>
  <c r="AM77" i="16"/>
  <c r="AN77" i="16" s="1"/>
  <c r="AM78" i="16"/>
  <c r="AN78" i="16" s="1"/>
  <c r="AM79" i="16"/>
  <c r="AN79" i="16" s="1"/>
  <c r="AM80" i="16"/>
  <c r="E81" i="16"/>
  <c r="M81" i="16"/>
  <c r="Y81" i="16"/>
  <c r="D81" i="16"/>
  <c r="H81" i="16"/>
  <c r="L81" i="16"/>
  <c r="P81" i="16"/>
  <c r="T81" i="16"/>
  <c r="X81" i="16"/>
  <c r="AB81" i="16"/>
  <c r="I81" i="15"/>
  <c r="U81" i="15"/>
  <c r="AC81" i="15"/>
  <c r="E81" i="15"/>
  <c r="Q81" i="15"/>
  <c r="AG81" i="15"/>
  <c r="C63" i="15"/>
  <c r="C64" i="15"/>
  <c r="C65" i="15"/>
  <c r="C66" i="15"/>
  <c r="C67" i="15"/>
  <c r="AM75" i="15"/>
  <c r="AN75" i="15" s="1"/>
  <c r="AM76" i="15"/>
  <c r="AN76" i="15" s="1"/>
  <c r="AM77" i="15"/>
  <c r="AN77" i="15" s="1"/>
  <c r="AM78" i="15"/>
  <c r="AN78" i="15" s="1"/>
  <c r="AM79" i="15"/>
  <c r="AN79" i="15" s="1"/>
  <c r="AM80" i="15"/>
  <c r="AN80" i="15" s="1"/>
  <c r="M81" i="15"/>
  <c r="Y81" i="15"/>
  <c r="AK81" i="15"/>
  <c r="D81" i="15"/>
  <c r="H81" i="15"/>
  <c r="L81" i="15"/>
  <c r="P81" i="15"/>
  <c r="T81" i="15"/>
  <c r="X81" i="15"/>
  <c r="AB81" i="15"/>
  <c r="AF81" i="15"/>
  <c r="AJ81" i="15"/>
  <c r="C67" i="18"/>
  <c r="D68" i="18"/>
  <c r="C63" i="18"/>
  <c r="AN13" i="18"/>
  <c r="D63" i="18" s="1"/>
  <c r="C64" i="18"/>
  <c r="AN21" i="18"/>
  <c r="D64" i="18" s="1"/>
  <c r="C65" i="18"/>
  <c r="AN29" i="18"/>
  <c r="D65" i="18" s="1"/>
  <c r="C66" i="18"/>
  <c r="AN37" i="18"/>
  <c r="D66" i="18" s="1"/>
  <c r="C68" i="18"/>
  <c r="AM74" i="18"/>
  <c r="AN74" i="18" s="1"/>
  <c r="AN81" i="18" s="1"/>
  <c r="AN44" i="18"/>
  <c r="D67" i="18" s="1"/>
  <c r="AN13" i="17"/>
  <c r="D63" i="17" s="1"/>
  <c r="AN37" i="17"/>
  <c r="D66" i="17" s="1"/>
  <c r="C64" i="17"/>
  <c r="AM74" i="17"/>
  <c r="AN74" i="17" s="1"/>
  <c r="AN52" i="17"/>
  <c r="D68" i="17" s="1"/>
  <c r="AN29" i="17"/>
  <c r="D65" i="17" s="1"/>
  <c r="D68" i="16"/>
  <c r="AN13" i="16"/>
  <c r="D63" i="16" s="1"/>
  <c r="AN21" i="16"/>
  <c r="D64" i="16" s="1"/>
  <c r="AN29" i="16"/>
  <c r="D65" i="16" s="1"/>
  <c r="AN37" i="16"/>
  <c r="D66" i="16" s="1"/>
  <c r="AN45" i="16"/>
  <c r="D67" i="16" s="1"/>
  <c r="C68" i="16"/>
  <c r="AM74" i="16"/>
  <c r="AN74" i="16" s="1"/>
  <c r="D68" i="15"/>
  <c r="AN13" i="15"/>
  <c r="D63" i="15" s="1"/>
  <c r="AN21" i="15"/>
  <c r="D64" i="15" s="1"/>
  <c r="AN29" i="15"/>
  <c r="D65" i="15" s="1"/>
  <c r="AN37" i="15"/>
  <c r="D66" i="15" s="1"/>
  <c r="AN45" i="15"/>
  <c r="D67" i="15" s="1"/>
  <c r="C68" i="15"/>
  <c r="AM74" i="15"/>
  <c r="AN74" i="15" s="1"/>
  <c r="D81" i="14"/>
  <c r="H81" i="14"/>
  <c r="L81" i="14"/>
  <c r="P81" i="14"/>
  <c r="T81" i="14"/>
  <c r="X81" i="14"/>
  <c r="AB81" i="14"/>
  <c r="AF81" i="14"/>
  <c r="AJ81" i="14"/>
  <c r="C63" i="14"/>
  <c r="C64" i="14"/>
  <c r="C65" i="14"/>
  <c r="C66" i="14"/>
  <c r="C67" i="14"/>
  <c r="E81" i="14"/>
  <c r="I81" i="14"/>
  <c r="M81" i="14"/>
  <c r="Q81" i="14"/>
  <c r="U81" i="14"/>
  <c r="Y81" i="14"/>
  <c r="AC81" i="14"/>
  <c r="AG81" i="14"/>
  <c r="AK81" i="14"/>
  <c r="AN44" i="14"/>
  <c r="D67" i="14" s="1"/>
  <c r="D68" i="14"/>
  <c r="AN37" i="14"/>
  <c r="D66" i="14" s="1"/>
  <c r="C68" i="14"/>
  <c r="AN13" i="14"/>
  <c r="D63" i="14" s="1"/>
  <c r="AN21" i="14"/>
  <c r="D64" i="14" s="1"/>
  <c r="AN29" i="14"/>
  <c r="D65" i="14" s="1"/>
  <c r="AM74" i="14"/>
  <c r="AN74" i="14" s="1"/>
  <c r="AN81" i="15" l="1"/>
  <c r="AN81" i="14"/>
  <c r="C69" i="14"/>
  <c r="C69" i="17"/>
  <c r="C69" i="16"/>
  <c r="D69" i="18"/>
  <c r="C69" i="18"/>
  <c r="AN81" i="17"/>
  <c r="AN81" i="16"/>
  <c r="C69" i="15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H51" i="12"/>
  <c r="H54" i="12" s="1"/>
  <c r="G51" i="12"/>
  <c r="G54" i="12" s="1"/>
  <c r="F51" i="12"/>
  <c r="F54" i="12" s="1"/>
  <c r="D51" i="12"/>
  <c r="D54" i="12" s="1"/>
  <c r="M48" i="12"/>
  <c r="L48" i="12"/>
  <c r="K48" i="12"/>
  <c r="J48" i="12"/>
  <c r="I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F54" i="7"/>
  <c r="AM49" i="7"/>
  <c r="AN49" i="7" s="1"/>
  <c r="AM48" i="7"/>
  <c r="AN48" i="7" s="1"/>
  <c r="AM47" i="7"/>
  <c r="AN47" i="7" s="1"/>
  <c r="AN46" i="7"/>
  <c r="AM46" i="7"/>
  <c r="AM45" i="7"/>
  <c r="AN45" i="7" s="1"/>
  <c r="AM44" i="7"/>
  <c r="AN44" i="7" s="1"/>
  <c r="AM43" i="7"/>
  <c r="AN42" i="7"/>
  <c r="AM42" i="7"/>
  <c r="AM41" i="7"/>
  <c r="AN41" i="7" s="1"/>
  <c r="AM40" i="7"/>
  <c r="AN40" i="7" s="1"/>
  <c r="AM39" i="7"/>
  <c r="AN39" i="7" s="1"/>
  <c r="AM38" i="7"/>
  <c r="AN38" i="7" s="1"/>
  <c r="AM37" i="7"/>
  <c r="AN37" i="7" s="1"/>
  <c r="AN36" i="7"/>
  <c r="AM36" i="7"/>
  <c r="AM35" i="7"/>
  <c r="AN35" i="7" s="1"/>
  <c r="AM34" i="7"/>
  <c r="AN34" i="7" s="1"/>
  <c r="AM33" i="7"/>
  <c r="AN33" i="7" s="1"/>
  <c r="AM32" i="7"/>
  <c r="AN32" i="7" s="1"/>
  <c r="AM31" i="7"/>
  <c r="AN31" i="7" s="1"/>
  <c r="AN30" i="7"/>
  <c r="AM30" i="7"/>
  <c r="AM29" i="7"/>
  <c r="AN29" i="7" s="1"/>
  <c r="AN28" i="7"/>
  <c r="AM28" i="7"/>
  <c r="AM27" i="7"/>
  <c r="AN27" i="7" s="1"/>
  <c r="AN26" i="7"/>
  <c r="AM26" i="7"/>
  <c r="AM25" i="7"/>
  <c r="AN25" i="7" s="1"/>
  <c r="AM24" i="7"/>
  <c r="AN24" i="7" s="1"/>
  <c r="AM23" i="7"/>
  <c r="AN23" i="7" s="1"/>
  <c r="AM22" i="7"/>
  <c r="AN22" i="7" s="1"/>
  <c r="AM21" i="7"/>
  <c r="AN21" i="7" s="1"/>
  <c r="AN20" i="7"/>
  <c r="AM20" i="7"/>
  <c r="AM19" i="7"/>
  <c r="AN19" i="7" s="1"/>
  <c r="AN18" i="7"/>
  <c r="AM18" i="7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M11" i="7"/>
  <c r="AN11" i="7" s="1"/>
  <c r="AM10" i="7"/>
  <c r="AN10" i="7" s="1"/>
  <c r="AM9" i="7"/>
  <c r="AN9" i="7" s="1"/>
  <c r="AN8" i="7"/>
  <c r="AM8" i="7"/>
  <c r="AM7" i="7"/>
  <c r="AN7" i="7" s="1"/>
  <c r="AM6" i="7"/>
  <c r="AN6" i="7" s="1"/>
  <c r="AM5" i="7"/>
  <c r="AN5" i="7" s="1"/>
  <c r="AM4" i="7"/>
  <c r="AL80" i="1"/>
  <c r="AK80" i="1"/>
  <c r="AJ8" i="11" s="1"/>
  <c r="AJ80" i="1"/>
  <c r="AI80" i="1"/>
  <c r="AH80" i="1"/>
  <c r="AG80" i="1"/>
  <c r="AF8" i="11" s="1"/>
  <c r="AF80" i="1"/>
  <c r="AE80" i="1"/>
  <c r="AD80" i="1"/>
  <c r="AC80" i="1"/>
  <c r="AB8" i="11" s="1"/>
  <c r="AB80" i="1"/>
  <c r="AA80" i="1"/>
  <c r="Z80" i="1"/>
  <c r="Y80" i="1"/>
  <c r="X8" i="11" s="1"/>
  <c r="X80" i="1"/>
  <c r="W80" i="1"/>
  <c r="V80" i="1"/>
  <c r="U80" i="1"/>
  <c r="T8" i="11" s="1"/>
  <c r="T80" i="1"/>
  <c r="S80" i="1"/>
  <c r="R80" i="1"/>
  <c r="Q80" i="1"/>
  <c r="P8" i="11" s="1"/>
  <c r="P80" i="1"/>
  <c r="O80" i="1"/>
  <c r="N80" i="1"/>
  <c r="M80" i="1"/>
  <c r="L8" i="11" s="1"/>
  <c r="L80" i="1"/>
  <c r="K80" i="1"/>
  <c r="J80" i="1"/>
  <c r="I80" i="1"/>
  <c r="H8" i="11" s="1"/>
  <c r="H80" i="1"/>
  <c r="G80" i="1"/>
  <c r="F80" i="1"/>
  <c r="E80" i="1"/>
  <c r="D8" i="11" s="1"/>
  <c r="D80" i="1"/>
  <c r="C80" i="1"/>
  <c r="AL79" i="1"/>
  <c r="AK79" i="1"/>
  <c r="AJ7" i="11" s="1"/>
  <c r="AJ79" i="1"/>
  <c r="AI79" i="1"/>
  <c r="AH79" i="1"/>
  <c r="AG79" i="1"/>
  <c r="AF7" i="11" s="1"/>
  <c r="AF79" i="1"/>
  <c r="AE79" i="1"/>
  <c r="AD79" i="1"/>
  <c r="AC79" i="1"/>
  <c r="AB7" i="11" s="1"/>
  <c r="AB79" i="1"/>
  <c r="AA79" i="1"/>
  <c r="Z79" i="1"/>
  <c r="Y79" i="1"/>
  <c r="X7" i="11" s="1"/>
  <c r="X79" i="1"/>
  <c r="W79" i="1"/>
  <c r="V79" i="1"/>
  <c r="U79" i="1"/>
  <c r="T7" i="11" s="1"/>
  <c r="T79" i="1"/>
  <c r="S79" i="1"/>
  <c r="R79" i="1"/>
  <c r="Q79" i="1"/>
  <c r="P7" i="11" s="1"/>
  <c r="P79" i="1"/>
  <c r="O79" i="1"/>
  <c r="N79" i="1"/>
  <c r="M79" i="1"/>
  <c r="L7" i="11" s="1"/>
  <c r="L79" i="1"/>
  <c r="K79" i="1"/>
  <c r="J79" i="1"/>
  <c r="I79" i="1"/>
  <c r="H7" i="11" s="1"/>
  <c r="H79" i="1"/>
  <c r="G79" i="1"/>
  <c r="F79" i="1"/>
  <c r="E79" i="1"/>
  <c r="D7" i="11" s="1"/>
  <c r="D79" i="1"/>
  <c r="C79" i="1"/>
  <c r="AL78" i="1"/>
  <c r="AK78" i="1"/>
  <c r="AJ6" i="11" s="1"/>
  <c r="AJ78" i="1"/>
  <c r="AI78" i="1"/>
  <c r="AH78" i="1"/>
  <c r="AG78" i="1"/>
  <c r="AF6" i="11" s="1"/>
  <c r="AF78" i="1"/>
  <c r="AE78" i="1"/>
  <c r="AD78" i="1"/>
  <c r="AC78" i="1"/>
  <c r="AB6" i="11" s="1"/>
  <c r="AB78" i="1"/>
  <c r="AA78" i="1"/>
  <c r="Z78" i="1"/>
  <c r="Y78" i="1"/>
  <c r="X6" i="11" s="1"/>
  <c r="X78" i="1"/>
  <c r="W78" i="1"/>
  <c r="V78" i="1"/>
  <c r="U78" i="1"/>
  <c r="T6" i="11" s="1"/>
  <c r="T78" i="1"/>
  <c r="S78" i="1"/>
  <c r="R78" i="1"/>
  <c r="Q78" i="1"/>
  <c r="P6" i="11" s="1"/>
  <c r="P78" i="1"/>
  <c r="O78" i="1"/>
  <c r="N78" i="1"/>
  <c r="M78" i="1"/>
  <c r="L6" i="11" s="1"/>
  <c r="L78" i="1"/>
  <c r="K78" i="1"/>
  <c r="J78" i="1"/>
  <c r="I78" i="1"/>
  <c r="H6" i="11" s="1"/>
  <c r="H78" i="1"/>
  <c r="G78" i="1"/>
  <c r="F78" i="1"/>
  <c r="E78" i="1"/>
  <c r="D6" i="11" s="1"/>
  <c r="D78" i="1"/>
  <c r="C78" i="1"/>
  <c r="AL77" i="1"/>
  <c r="AK77" i="1"/>
  <c r="AJ5" i="11" s="1"/>
  <c r="AJ77" i="1"/>
  <c r="AI77" i="1"/>
  <c r="AH77" i="1"/>
  <c r="AG77" i="1"/>
  <c r="AF5" i="11" s="1"/>
  <c r="AF77" i="1"/>
  <c r="AE77" i="1"/>
  <c r="AD77" i="1"/>
  <c r="AC77" i="1"/>
  <c r="AB5" i="11" s="1"/>
  <c r="AB77" i="1"/>
  <c r="AA77" i="1"/>
  <c r="Z77" i="1"/>
  <c r="Y77" i="1"/>
  <c r="X5" i="11" s="1"/>
  <c r="X77" i="1"/>
  <c r="W77" i="1"/>
  <c r="V77" i="1"/>
  <c r="U77" i="1"/>
  <c r="T5" i="11" s="1"/>
  <c r="T77" i="1"/>
  <c r="S77" i="1"/>
  <c r="R77" i="1"/>
  <c r="Q77" i="1"/>
  <c r="P5" i="11" s="1"/>
  <c r="P77" i="1"/>
  <c r="O77" i="1"/>
  <c r="N77" i="1"/>
  <c r="M77" i="1"/>
  <c r="L5" i="11" s="1"/>
  <c r="L77" i="1"/>
  <c r="K77" i="1"/>
  <c r="J77" i="1"/>
  <c r="I77" i="1"/>
  <c r="H5" i="11" s="1"/>
  <c r="H77" i="1"/>
  <c r="G77" i="1"/>
  <c r="F77" i="1"/>
  <c r="E77" i="1"/>
  <c r="D5" i="11" s="1"/>
  <c r="D77" i="1"/>
  <c r="C77" i="1"/>
  <c r="AL76" i="1"/>
  <c r="AK76" i="1"/>
  <c r="AJ4" i="11" s="1"/>
  <c r="AJ76" i="1"/>
  <c r="AI76" i="1"/>
  <c r="AH76" i="1"/>
  <c r="AG76" i="1"/>
  <c r="AF4" i="11" s="1"/>
  <c r="AF76" i="1"/>
  <c r="AE76" i="1"/>
  <c r="AD76" i="1"/>
  <c r="AC76" i="1"/>
  <c r="AB4" i="11" s="1"/>
  <c r="AB76" i="1"/>
  <c r="AA76" i="1"/>
  <c r="Z76" i="1"/>
  <c r="Y76" i="1"/>
  <c r="X4" i="11" s="1"/>
  <c r="X76" i="1"/>
  <c r="W76" i="1"/>
  <c r="V76" i="1"/>
  <c r="U76" i="1"/>
  <c r="T4" i="11" s="1"/>
  <c r="T76" i="1"/>
  <c r="S76" i="1"/>
  <c r="R76" i="1"/>
  <c r="Q76" i="1"/>
  <c r="P4" i="11" s="1"/>
  <c r="P76" i="1"/>
  <c r="O76" i="1"/>
  <c r="N76" i="1"/>
  <c r="M76" i="1"/>
  <c r="L4" i="11" s="1"/>
  <c r="L76" i="1"/>
  <c r="K76" i="1"/>
  <c r="J76" i="1"/>
  <c r="I76" i="1"/>
  <c r="H4" i="11" s="1"/>
  <c r="H76" i="1"/>
  <c r="G76" i="1"/>
  <c r="F76" i="1"/>
  <c r="E76" i="1"/>
  <c r="D4" i="11" s="1"/>
  <c r="D76" i="1"/>
  <c r="C76" i="1"/>
  <c r="AL75" i="1"/>
  <c r="AK75" i="1"/>
  <c r="AJ3" i="11" s="1"/>
  <c r="AJ75" i="1"/>
  <c r="AI75" i="1"/>
  <c r="AH75" i="1"/>
  <c r="AG75" i="1"/>
  <c r="AF3" i="11" s="1"/>
  <c r="AF75" i="1"/>
  <c r="AE75" i="1"/>
  <c r="AD75" i="1"/>
  <c r="AC75" i="1"/>
  <c r="AB3" i="11" s="1"/>
  <c r="AB75" i="1"/>
  <c r="AA75" i="1"/>
  <c r="Z75" i="1"/>
  <c r="Y75" i="1"/>
  <c r="X3" i="11" s="1"/>
  <c r="X75" i="1"/>
  <c r="W75" i="1"/>
  <c r="V75" i="1"/>
  <c r="U75" i="1"/>
  <c r="T3" i="11" s="1"/>
  <c r="T75" i="1"/>
  <c r="S75" i="1"/>
  <c r="R75" i="1"/>
  <c r="Q75" i="1"/>
  <c r="P3" i="11" s="1"/>
  <c r="P75" i="1"/>
  <c r="O75" i="1"/>
  <c r="N75" i="1"/>
  <c r="M75" i="1"/>
  <c r="L3" i="11" s="1"/>
  <c r="L75" i="1"/>
  <c r="K75" i="1"/>
  <c r="J75" i="1"/>
  <c r="I75" i="1"/>
  <c r="H3" i="11" s="1"/>
  <c r="H75" i="1"/>
  <c r="G75" i="1"/>
  <c r="F75" i="1"/>
  <c r="E75" i="1"/>
  <c r="D3" i="11" s="1"/>
  <c r="D75" i="1"/>
  <c r="C75" i="1"/>
  <c r="AL74" i="1"/>
  <c r="AK74" i="1"/>
  <c r="AJ2" i="11" s="1"/>
  <c r="AJ74" i="1"/>
  <c r="AI74" i="1"/>
  <c r="AH74" i="1"/>
  <c r="AG74" i="1"/>
  <c r="AF2" i="11" s="1"/>
  <c r="AF74" i="1"/>
  <c r="AE74" i="1"/>
  <c r="AD74" i="1"/>
  <c r="AC74" i="1"/>
  <c r="AB2" i="11" s="1"/>
  <c r="AB74" i="1"/>
  <c r="AA74" i="1"/>
  <c r="Z74" i="1"/>
  <c r="Y74" i="1"/>
  <c r="X2" i="11" s="1"/>
  <c r="X74" i="1"/>
  <c r="W74" i="1"/>
  <c r="V74" i="1"/>
  <c r="U74" i="1"/>
  <c r="T2" i="11" s="1"/>
  <c r="T74" i="1"/>
  <c r="S74" i="1"/>
  <c r="R74" i="1"/>
  <c r="Q74" i="1"/>
  <c r="P2" i="11" s="1"/>
  <c r="P74" i="1"/>
  <c r="O74" i="1"/>
  <c r="N74" i="1"/>
  <c r="M74" i="1"/>
  <c r="L2" i="11" s="1"/>
  <c r="L74" i="1"/>
  <c r="K74" i="1"/>
  <c r="J74" i="1"/>
  <c r="I74" i="1"/>
  <c r="H2" i="11" s="1"/>
  <c r="H74" i="1"/>
  <c r="G74" i="1"/>
  <c r="F74" i="1"/>
  <c r="E74" i="1"/>
  <c r="D74" i="1"/>
  <c r="C74" i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I2" i="11" l="1"/>
  <c r="Q2" i="11"/>
  <c r="Y2" i="11"/>
  <c r="H38" i="11" s="1"/>
  <c r="I35" i="12" s="1"/>
  <c r="E3" i="11"/>
  <c r="I18" i="11" s="1"/>
  <c r="J15" i="12" s="1"/>
  <c r="M3" i="11"/>
  <c r="U3" i="11"/>
  <c r="AC3" i="11"/>
  <c r="I42" i="11" s="1"/>
  <c r="J39" i="12" s="1"/>
  <c r="AK3" i="11"/>
  <c r="I50" i="11" s="1"/>
  <c r="J47" i="12" s="1"/>
  <c r="I4" i="11"/>
  <c r="Q4" i="11"/>
  <c r="J30" i="11" s="1"/>
  <c r="K27" i="12" s="1"/>
  <c r="Y4" i="11"/>
  <c r="J38" i="11" s="1"/>
  <c r="K35" i="12" s="1"/>
  <c r="AG4" i="11"/>
  <c r="J46" i="11" s="1"/>
  <c r="K43" i="12" s="1"/>
  <c r="E5" i="11"/>
  <c r="M5" i="11"/>
  <c r="U5" i="11"/>
  <c r="K34" i="11" s="1"/>
  <c r="AC5" i="11"/>
  <c r="K42" i="11" s="1"/>
  <c r="AK5" i="11"/>
  <c r="I6" i="11"/>
  <c r="Q6" i="11"/>
  <c r="L30" i="11" s="1"/>
  <c r="L27" i="12" s="1"/>
  <c r="Y6" i="11"/>
  <c r="L38" i="11" s="1"/>
  <c r="L35" i="12" s="1"/>
  <c r="AG6" i="11"/>
  <c r="E7" i="11"/>
  <c r="M7" i="11"/>
  <c r="M26" i="11" s="1"/>
  <c r="M23" i="12" s="1"/>
  <c r="U7" i="11"/>
  <c r="M34" i="11" s="1"/>
  <c r="M31" i="12" s="1"/>
  <c r="AC7" i="11"/>
  <c r="AK7" i="11"/>
  <c r="M8" i="11"/>
  <c r="U8" i="11"/>
  <c r="AC8" i="11"/>
  <c r="AK8" i="11"/>
  <c r="AM70" i="8"/>
  <c r="AN70" i="8" s="1"/>
  <c r="M2" i="11"/>
  <c r="H26" i="11" s="1"/>
  <c r="I23" i="12" s="1"/>
  <c r="U2" i="11"/>
  <c r="AC2" i="11"/>
  <c r="I3" i="11"/>
  <c r="I22" i="11" s="1"/>
  <c r="J19" i="12" s="1"/>
  <c r="Q3" i="11"/>
  <c r="I30" i="11" s="1"/>
  <c r="J27" i="12" s="1"/>
  <c r="Y3" i="11"/>
  <c r="AG3" i="11"/>
  <c r="E4" i="11"/>
  <c r="J18" i="11" s="1"/>
  <c r="K15" i="12" s="1"/>
  <c r="M4" i="11"/>
  <c r="J26" i="11" s="1"/>
  <c r="K23" i="12" s="1"/>
  <c r="U4" i="11"/>
  <c r="AC4" i="11"/>
  <c r="AK4" i="11"/>
  <c r="J50" i="11" s="1"/>
  <c r="K47" i="12" s="1"/>
  <c r="I5" i="11"/>
  <c r="K22" i="11" s="1"/>
  <c r="Q5" i="11"/>
  <c r="K30" i="11" s="1"/>
  <c r="Y5" i="11"/>
  <c r="AG5" i="11"/>
  <c r="K46" i="11" s="1"/>
  <c r="E6" i="11"/>
  <c r="L18" i="11" s="1"/>
  <c r="L15" i="12" s="1"/>
  <c r="M6" i="11"/>
  <c r="U6" i="11"/>
  <c r="AC6" i="11"/>
  <c r="L42" i="11" s="1"/>
  <c r="L39" i="12" s="1"/>
  <c r="AK6" i="11"/>
  <c r="L50" i="11" s="1"/>
  <c r="L47" i="12" s="1"/>
  <c r="I7" i="11"/>
  <c r="Q7" i="11"/>
  <c r="M30" i="11" s="1"/>
  <c r="M27" i="12" s="1"/>
  <c r="Y7" i="11"/>
  <c r="M38" i="11" s="1"/>
  <c r="M35" i="12" s="1"/>
  <c r="AG7" i="11"/>
  <c r="M46" i="11" s="1"/>
  <c r="M43" i="12" s="1"/>
  <c r="E8" i="11"/>
  <c r="I8" i="11"/>
  <c r="Q8" i="11"/>
  <c r="Y8" i="11"/>
  <c r="AG8" i="11"/>
  <c r="AM69" i="8"/>
  <c r="AN69" i="8" s="1"/>
  <c r="D54" i="8"/>
  <c r="C59" i="7"/>
  <c r="C58" i="7"/>
  <c r="D57" i="7"/>
  <c r="C57" i="7"/>
  <c r="C56" i="7"/>
  <c r="D56" i="7"/>
  <c r="AM69" i="7"/>
  <c r="AN69" i="7" s="1"/>
  <c r="C2" i="11"/>
  <c r="H16" i="11" s="1"/>
  <c r="I13" i="12" s="1"/>
  <c r="AA2" i="11"/>
  <c r="H40" i="11" s="1"/>
  <c r="I37" i="12" s="1"/>
  <c r="AI2" i="11"/>
  <c r="H48" i="11" s="1"/>
  <c r="I45" i="12" s="1"/>
  <c r="C3" i="11"/>
  <c r="I16" i="11" s="1"/>
  <c r="J13" i="12" s="1"/>
  <c r="G3" i="11"/>
  <c r="I20" i="11" s="1"/>
  <c r="J17" i="12" s="1"/>
  <c r="K3" i="11"/>
  <c r="I24" i="11" s="1"/>
  <c r="J21" i="12" s="1"/>
  <c r="O3" i="11"/>
  <c r="I28" i="11" s="1"/>
  <c r="J25" i="12" s="1"/>
  <c r="S3" i="11"/>
  <c r="I32" i="11" s="1"/>
  <c r="J29" i="12" s="1"/>
  <c r="W3" i="11"/>
  <c r="I36" i="11" s="1"/>
  <c r="J33" i="12" s="1"/>
  <c r="AA3" i="11"/>
  <c r="I40" i="11" s="1"/>
  <c r="J37" i="12" s="1"/>
  <c r="AE3" i="11"/>
  <c r="I44" i="11" s="1"/>
  <c r="J41" i="12" s="1"/>
  <c r="AI3" i="11"/>
  <c r="I48" i="11" s="1"/>
  <c r="J45" i="12" s="1"/>
  <c r="C4" i="11"/>
  <c r="J16" i="11" s="1"/>
  <c r="K13" i="12" s="1"/>
  <c r="G4" i="11"/>
  <c r="J20" i="11" s="1"/>
  <c r="K17" i="12" s="1"/>
  <c r="K4" i="11"/>
  <c r="J24" i="11" s="1"/>
  <c r="K21" i="12" s="1"/>
  <c r="O4" i="11"/>
  <c r="J28" i="11" s="1"/>
  <c r="K25" i="12" s="1"/>
  <c r="S4" i="11"/>
  <c r="J32" i="11" s="1"/>
  <c r="K29" i="12" s="1"/>
  <c r="W4" i="11"/>
  <c r="J36" i="11" s="1"/>
  <c r="K33" i="12" s="1"/>
  <c r="AA4" i="11"/>
  <c r="J40" i="11" s="1"/>
  <c r="K37" i="12" s="1"/>
  <c r="AE4" i="11"/>
  <c r="J44" i="11" s="1"/>
  <c r="K41" i="12" s="1"/>
  <c r="AI4" i="11"/>
  <c r="J48" i="11" s="1"/>
  <c r="K45" i="12" s="1"/>
  <c r="C5" i="11"/>
  <c r="K16" i="11" s="1"/>
  <c r="G5" i="11"/>
  <c r="K20" i="11" s="1"/>
  <c r="K5" i="11"/>
  <c r="K24" i="11" s="1"/>
  <c r="O5" i="11"/>
  <c r="K28" i="11" s="1"/>
  <c r="S5" i="11"/>
  <c r="K32" i="11" s="1"/>
  <c r="W5" i="11"/>
  <c r="K36" i="11" s="1"/>
  <c r="AA5" i="11"/>
  <c r="K40" i="11" s="1"/>
  <c r="AE5" i="11"/>
  <c r="K44" i="11" s="1"/>
  <c r="AI5" i="11"/>
  <c r="K48" i="11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C7" i="11"/>
  <c r="M16" i="11" s="1"/>
  <c r="M13" i="12" s="1"/>
  <c r="G7" i="11"/>
  <c r="M20" i="11" s="1"/>
  <c r="M17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AI7" i="11"/>
  <c r="M48" i="11" s="1"/>
  <c r="M45" i="12" s="1"/>
  <c r="C8" i="11"/>
  <c r="G8" i="11"/>
  <c r="K8" i="11"/>
  <c r="O8" i="11"/>
  <c r="S8" i="11"/>
  <c r="W8" i="11"/>
  <c r="AA8" i="11"/>
  <c r="AE8" i="11"/>
  <c r="AI8" i="11"/>
  <c r="C55" i="7"/>
  <c r="AM70" i="7"/>
  <c r="AN70" i="7" s="1"/>
  <c r="AN12" i="7"/>
  <c r="D55" i="7" s="1"/>
  <c r="B4" i="11"/>
  <c r="J15" i="11" s="1"/>
  <c r="K12" i="12" s="1"/>
  <c r="F4" i="11"/>
  <c r="J19" i="11" s="1"/>
  <c r="K16" i="12" s="1"/>
  <c r="J4" i="11"/>
  <c r="J23" i="11" s="1"/>
  <c r="K20" i="12" s="1"/>
  <c r="N4" i="11"/>
  <c r="J27" i="11" s="1"/>
  <c r="K24" i="12" s="1"/>
  <c r="R4" i="11"/>
  <c r="J31" i="11" s="1"/>
  <c r="K28" i="12" s="1"/>
  <c r="V4" i="11"/>
  <c r="J35" i="11" s="1"/>
  <c r="K32" i="12" s="1"/>
  <c r="Z4" i="11"/>
  <c r="J39" i="11" s="1"/>
  <c r="K36" i="12" s="1"/>
  <c r="AD4" i="11"/>
  <c r="J43" i="11" s="1"/>
  <c r="K40" i="12" s="1"/>
  <c r="AH4" i="11"/>
  <c r="J47" i="11" s="1"/>
  <c r="K44" i="12" s="1"/>
  <c r="B5" i="11"/>
  <c r="K15" i="11" s="1"/>
  <c r="F5" i="11"/>
  <c r="K19" i="11" s="1"/>
  <c r="J5" i="11"/>
  <c r="K23" i="11" s="1"/>
  <c r="N5" i="11"/>
  <c r="K27" i="11" s="1"/>
  <c r="R5" i="11"/>
  <c r="K31" i="11" s="1"/>
  <c r="V5" i="11"/>
  <c r="K35" i="11" s="1"/>
  <c r="Z5" i="11"/>
  <c r="K39" i="11" s="1"/>
  <c r="AD5" i="11"/>
  <c r="K43" i="11" s="1"/>
  <c r="AH5" i="11"/>
  <c r="K47" i="11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B7" i="11"/>
  <c r="M15" i="11" s="1"/>
  <c r="M12" i="12" s="1"/>
  <c r="F7" i="11"/>
  <c r="M19" i="11" s="1"/>
  <c r="M16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AH7" i="11"/>
  <c r="M47" i="11" s="1"/>
  <c r="M44" i="12" s="1"/>
  <c r="B8" i="11"/>
  <c r="F8" i="11"/>
  <c r="J8" i="11"/>
  <c r="N8" i="11"/>
  <c r="R8" i="11"/>
  <c r="V8" i="11"/>
  <c r="Z8" i="11"/>
  <c r="AD8" i="11"/>
  <c r="AH8" i="11"/>
  <c r="C54" i="7"/>
  <c r="C60" i="7" s="1"/>
  <c r="N2" i="11"/>
  <c r="H27" i="11" s="1"/>
  <c r="I24" i="12" s="1"/>
  <c r="V2" i="11"/>
  <c r="H35" i="11" s="1"/>
  <c r="I32" i="12" s="1"/>
  <c r="AH2" i="11"/>
  <c r="H47" i="11" s="1"/>
  <c r="I44" i="12" s="1"/>
  <c r="F3" i="11"/>
  <c r="I19" i="11" s="1"/>
  <c r="J16" i="12" s="1"/>
  <c r="J3" i="11"/>
  <c r="I23" i="11" s="1"/>
  <c r="J20" i="12" s="1"/>
  <c r="R3" i="11"/>
  <c r="I31" i="11" s="1"/>
  <c r="J28" i="12" s="1"/>
  <c r="V3" i="11"/>
  <c r="I35" i="11" s="1"/>
  <c r="J32" i="12" s="1"/>
  <c r="Z3" i="11"/>
  <c r="I39" i="11" s="1"/>
  <c r="J36" i="12" s="1"/>
  <c r="AD3" i="11"/>
  <c r="I43" i="11" s="1"/>
  <c r="J40" i="12" s="1"/>
  <c r="AH3" i="11"/>
  <c r="I47" i="11" s="1"/>
  <c r="J44" i="12" s="1"/>
  <c r="AN4" i="7"/>
  <c r="D54" i="7" s="1"/>
  <c r="B2" i="11"/>
  <c r="H15" i="11" s="1"/>
  <c r="I12" i="12" s="1"/>
  <c r="R2" i="11"/>
  <c r="H31" i="11" s="1"/>
  <c r="I28" i="12" s="1"/>
  <c r="Z2" i="11"/>
  <c r="H39" i="11" s="1"/>
  <c r="I36" i="12" s="1"/>
  <c r="B3" i="11"/>
  <c r="I15" i="11" s="1"/>
  <c r="J12" i="12" s="1"/>
  <c r="N3" i="11"/>
  <c r="I27" i="11" s="1"/>
  <c r="J24" i="12" s="1"/>
  <c r="K81" i="1"/>
  <c r="J2" i="11"/>
  <c r="H23" i="11" s="1"/>
  <c r="I20" i="12" s="1"/>
  <c r="AE81" i="1"/>
  <c r="AD2" i="11"/>
  <c r="H43" i="11" s="1"/>
  <c r="I40" i="12" s="1"/>
  <c r="H81" i="1"/>
  <c r="G2" i="11"/>
  <c r="H20" i="11" s="1"/>
  <c r="I17" i="12" s="1"/>
  <c r="L81" i="1"/>
  <c r="K2" i="11"/>
  <c r="H24" i="11" s="1"/>
  <c r="I21" i="12" s="1"/>
  <c r="P81" i="1"/>
  <c r="O2" i="11"/>
  <c r="H28" i="11" s="1"/>
  <c r="I25" i="12" s="1"/>
  <c r="T81" i="1"/>
  <c r="S2" i="11"/>
  <c r="H32" i="11" s="1"/>
  <c r="I29" i="12" s="1"/>
  <c r="X81" i="1"/>
  <c r="W2" i="11"/>
  <c r="H36" i="11" s="1"/>
  <c r="I33" i="12" s="1"/>
  <c r="AF81" i="1"/>
  <c r="AE2" i="11"/>
  <c r="H44" i="11" s="1"/>
  <c r="I41" i="12" s="1"/>
  <c r="E81" i="1"/>
  <c r="D2" i="11"/>
  <c r="H17" i="11" s="1"/>
  <c r="I14" i="12" s="1"/>
  <c r="G81" i="1"/>
  <c r="F2" i="11"/>
  <c r="H19" i="11" s="1"/>
  <c r="I16" i="12" s="1"/>
  <c r="F81" i="1"/>
  <c r="E2" i="11"/>
  <c r="H18" i="11" s="1"/>
  <c r="I15" i="12" s="1"/>
  <c r="AH81" i="1"/>
  <c r="AG2" i="11"/>
  <c r="H46" i="11" s="1"/>
  <c r="I43" i="12" s="1"/>
  <c r="AL81" i="1"/>
  <c r="AK2" i="11"/>
  <c r="H50" i="11" s="1"/>
  <c r="I47" i="12" s="1"/>
  <c r="AK81" i="1"/>
  <c r="AB81" i="1"/>
  <c r="D81" i="1"/>
  <c r="AJ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H21" i="11"/>
  <c r="I18" i="12" s="1"/>
  <c r="H33" i="11"/>
  <c r="I30" i="12" s="1"/>
  <c r="H45" i="11"/>
  <c r="I42" i="12" s="1"/>
  <c r="I21" i="11"/>
  <c r="J18" i="12" s="1"/>
  <c r="I33" i="11"/>
  <c r="J30" i="12" s="1"/>
  <c r="I45" i="11"/>
  <c r="J42" i="12" s="1"/>
  <c r="J17" i="11"/>
  <c r="K14" i="12" s="1"/>
  <c r="J29" i="11"/>
  <c r="K26" i="12" s="1"/>
  <c r="J41" i="11"/>
  <c r="K38" i="12" s="1"/>
  <c r="K25" i="11"/>
  <c r="K41" i="11"/>
  <c r="K49" i="11"/>
  <c r="L21" i="11"/>
  <c r="L18" i="12" s="1"/>
  <c r="L29" i="11"/>
  <c r="L26" i="12" s="1"/>
  <c r="L37" i="11"/>
  <c r="L34" i="12" s="1"/>
  <c r="L49" i="11"/>
  <c r="L46" i="12" s="1"/>
  <c r="H29" i="11"/>
  <c r="I26" i="12" s="1"/>
  <c r="H41" i="11"/>
  <c r="I38" i="12" s="1"/>
  <c r="I17" i="11"/>
  <c r="J14" i="12" s="1"/>
  <c r="I29" i="11"/>
  <c r="J26" i="12" s="1"/>
  <c r="I41" i="11"/>
  <c r="J38" i="12" s="1"/>
  <c r="J25" i="11"/>
  <c r="K22" i="12" s="1"/>
  <c r="J37" i="11"/>
  <c r="K34" i="12" s="1"/>
  <c r="J49" i="11"/>
  <c r="K46" i="12" s="1"/>
  <c r="L41" i="11"/>
  <c r="L38" i="12" s="1"/>
  <c r="H25" i="11"/>
  <c r="I22" i="12" s="1"/>
  <c r="H37" i="11"/>
  <c r="I34" i="12" s="1"/>
  <c r="H49" i="11"/>
  <c r="I46" i="12" s="1"/>
  <c r="I25" i="11"/>
  <c r="J22" i="12" s="1"/>
  <c r="I37" i="11"/>
  <c r="J34" i="12" s="1"/>
  <c r="I49" i="11"/>
  <c r="J46" i="12" s="1"/>
  <c r="J21" i="11"/>
  <c r="K18" i="12" s="1"/>
  <c r="J33" i="11"/>
  <c r="K30" i="12" s="1"/>
  <c r="J45" i="11"/>
  <c r="K42" i="12" s="1"/>
  <c r="K33" i="11"/>
  <c r="K37" i="11"/>
  <c r="L17" i="11"/>
  <c r="L14" i="12" s="1"/>
  <c r="L25" i="11"/>
  <c r="L22" i="12" s="1"/>
  <c r="L33" i="11"/>
  <c r="L30" i="12" s="1"/>
  <c r="L45" i="11"/>
  <c r="L42" i="12" s="1"/>
  <c r="M29" i="11"/>
  <c r="M26" i="12" s="1"/>
  <c r="M37" i="11"/>
  <c r="M34" i="12" s="1"/>
  <c r="M49" i="11"/>
  <c r="M46" i="12" s="1"/>
  <c r="M25" i="11"/>
  <c r="M22" i="12" s="1"/>
  <c r="M33" i="11"/>
  <c r="M30" i="12" s="1"/>
  <c r="M41" i="11"/>
  <c r="M38" i="12" s="1"/>
  <c r="M45" i="11"/>
  <c r="M42" i="12" s="1"/>
  <c r="K29" i="11"/>
  <c r="M21" i="11"/>
  <c r="M18" i="12" s="1"/>
  <c r="K21" i="11"/>
  <c r="M17" i="11"/>
  <c r="M14" i="12" s="1"/>
  <c r="K17" i="11"/>
  <c r="H22" i="11"/>
  <c r="I19" i="12" s="1"/>
  <c r="H30" i="11"/>
  <c r="I27" i="12" s="1"/>
  <c r="H34" i="11"/>
  <c r="I31" i="12" s="1"/>
  <c r="H42" i="11"/>
  <c r="I39" i="12" s="1"/>
  <c r="I26" i="11"/>
  <c r="J23" i="12" s="1"/>
  <c r="I34" i="11"/>
  <c r="J31" i="12" s="1"/>
  <c r="I38" i="11"/>
  <c r="J35" i="12" s="1"/>
  <c r="I46" i="11"/>
  <c r="J43" i="12" s="1"/>
  <c r="J22" i="11"/>
  <c r="K19" i="12" s="1"/>
  <c r="J34" i="11"/>
  <c r="K31" i="12" s="1"/>
  <c r="J42" i="11"/>
  <c r="K39" i="12" s="1"/>
  <c r="K18" i="11"/>
  <c r="K26" i="11"/>
  <c r="K38" i="11"/>
  <c r="K50" i="11"/>
  <c r="L22" i="11"/>
  <c r="L19" i="12" s="1"/>
  <c r="L26" i="11"/>
  <c r="L23" i="12" s="1"/>
  <c r="L34" i="11"/>
  <c r="L31" i="12" s="1"/>
  <c r="L46" i="11"/>
  <c r="L43" i="12" s="1"/>
  <c r="M18" i="11"/>
  <c r="M15" i="12" s="1"/>
  <c r="M22" i="11"/>
  <c r="M19" i="12" s="1"/>
  <c r="M42" i="11"/>
  <c r="M39" i="12" s="1"/>
  <c r="M50" i="11"/>
  <c r="M47" i="12" s="1"/>
  <c r="D64" i="1"/>
  <c r="C63" i="1"/>
  <c r="C65" i="1"/>
  <c r="AN13" i="1"/>
  <c r="D63" i="1" s="1"/>
  <c r="AN29" i="1"/>
  <c r="D65" i="1" s="1"/>
  <c r="K45" i="11"/>
  <c r="D66" i="1"/>
  <c r="D67" i="1"/>
  <c r="D68" i="1"/>
  <c r="C64" i="1"/>
  <c r="C67" i="1"/>
  <c r="AM75" i="1"/>
  <c r="AN75" i="1" s="1"/>
  <c r="AM77" i="1"/>
  <c r="AN77" i="1" s="1"/>
  <c r="AM79" i="1"/>
  <c r="AN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AM66" i="7"/>
  <c r="AN66" i="7" s="1"/>
  <c r="C54" i="8"/>
  <c r="AM71" i="8"/>
  <c r="AN71" i="8" s="1"/>
  <c r="AM72" i="8"/>
  <c r="AN72" i="8" s="1"/>
  <c r="D58" i="9"/>
  <c r="D59" i="9"/>
  <c r="C66" i="1"/>
  <c r="AM74" i="1"/>
  <c r="AN74" i="1" s="1"/>
  <c r="AM76" i="1"/>
  <c r="AN76" i="1" s="1"/>
  <c r="AM78" i="1"/>
  <c r="AN78" i="1" s="1"/>
  <c r="AM80" i="1"/>
  <c r="AN80" i="1" s="1"/>
  <c r="D58" i="7"/>
  <c r="D60" i="7" s="1"/>
  <c r="AM68" i="7"/>
  <c r="AN68" i="7" s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D60" i="8" l="1"/>
  <c r="C69" i="1"/>
  <c r="AL6" i="11"/>
  <c r="AM6" i="11" s="1"/>
  <c r="AL8" i="11"/>
  <c r="AM8" i="11" s="1"/>
  <c r="AL4" i="11"/>
  <c r="AM4" i="11" s="1"/>
  <c r="AL3" i="11"/>
  <c r="AM3" i="11" s="1"/>
  <c r="L51" i="12"/>
  <c r="L54" i="12" s="1"/>
  <c r="K51" i="12"/>
  <c r="K54" i="12" s="1"/>
  <c r="J51" i="12"/>
  <c r="J54" i="12" s="1"/>
  <c r="D69" i="1"/>
  <c r="AL2" i="11"/>
  <c r="AM2" i="11" s="1"/>
  <c r="AL7" i="11"/>
  <c r="AM7" i="11" s="1"/>
  <c r="M51" i="12"/>
  <c r="M54" i="12" s="1"/>
  <c r="I51" i="12"/>
  <c r="I54" i="12" s="1"/>
  <c r="AL5" i="11"/>
  <c r="AM5" i="11" s="1"/>
  <c r="C60" i="10"/>
  <c r="D60" i="10"/>
  <c r="D60" i="9"/>
  <c r="AN81" i="1"/>
  <c r="C60" i="8"/>
  <c r="K50" i="12" l="1"/>
  <c r="K55" i="12" l="1"/>
</calcChain>
</file>

<file path=xl/sharedStrings.xml><?xml version="1.0" encoding="utf-8"?>
<sst xmlns="http://schemas.openxmlformats.org/spreadsheetml/2006/main" count="1194" uniqueCount="160">
  <si>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</si>
  <si>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</si>
  <si>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</si>
  <si>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</si>
  <si>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</si>
  <si>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</si>
  <si>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</si>
  <si>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</si>
  <si>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</si>
  <si>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</si>
  <si>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</si>
  <si>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</si>
  <si>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</si>
  <si>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</si>
  <si>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</si>
  <si>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</si>
  <si>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</si>
  <si>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</si>
  <si>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</si>
  <si>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</si>
  <si>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</si>
  <si>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</si>
  <si>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</si>
  <si>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</si>
  <si>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</si>
  <si>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</si>
  <si>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</si>
  <si>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</si>
  <si>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</si>
  <si>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</si>
  <si>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</si>
  <si>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</si>
  <si>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</si>
  <si>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</si>
  <si>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</si>
  <si>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</si>
  <si>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</si>
  <si>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</si>
  <si>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</si>
  <si>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</si>
  <si>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</si>
  <si>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</si>
  <si>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</si>
  <si>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</si>
  <si>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</si>
  <si>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</si>
  <si>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</si>
  <si>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</si>
  <si>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</si>
  <si>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</si>
  <si>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</si>
  <si>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</si>
  <si>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</si>
  <si>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</si>
  <si>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</si>
  <si>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</si>
  <si>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</si>
  <si>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</si>
  <si>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</si>
  <si>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</si>
  <si>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</si>
  <si>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</si>
  <si>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</si>
  <si>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</si>
  <si>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</si>
  <si>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</si>
  <si>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</si>
  <si>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</si>
  <si>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</si>
  <si>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</si>
  <si>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</si>
  <si>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</si>
  <si>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</si>
  <si>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</si>
  <si>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</si>
  <si>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</si>
  <si>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</si>
  <si>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</si>
  <si>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</si>
  <si>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</si>
  <si>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</si>
  <si>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</si>
  <si>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</si>
  <si>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</si>
  <si>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</si>
  <si>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</si>
  <si>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</si>
  <si>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</si>
  <si>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</si>
  <si>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</si>
  <si>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</si>
  <si>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</si>
  <si>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</si>
  <si>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</si>
  <si>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</si>
  <si>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</si>
  <si>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</si>
  <si>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</si>
  <si>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</si>
  <si>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</si>
  <si>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</si>
  <si>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</si>
  <si>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</si>
  <si>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</si>
  <si>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</si>
  <si>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</si>
  <si>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</si>
  <si>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</si>
  <si>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</si>
  <si>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</si>
  <si>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</si>
  <si>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</si>
  <si>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</si>
  <si>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</si>
  <si>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</si>
  <si>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</si>
  <si>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</si>
  <si>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</si>
  <si>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</si>
  <si>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</si>
  <si>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</si>
  <si>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</si>
  <si>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Marzo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</si>
  <si>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</si>
  <si>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</si>
  <si>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</si>
  <si>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</si>
  <si>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</si>
  <si>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</si>
  <si>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</si>
  <si>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</si>
  <si>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</si>
  <si>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</si>
  <si>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</si>
  <si>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</si>
  <si>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</si>
  <si>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</si>
  <si>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</si>
  <si>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4.5 progress</t>
  </si>
  <si>
    <t>6.0 mm progress</t>
  </si>
  <si>
    <t>1.3 Talahass</t>
  </si>
  <si>
    <t>Agosto</t>
  </si>
  <si>
    <t xml:space="preserve"> 6 mm Progress</t>
  </si>
  <si>
    <t xml:space="preserve">8 Metabolica </t>
  </si>
  <si>
    <t>8 Progress</t>
  </si>
  <si>
    <t>Ocetra</t>
  </si>
  <si>
    <t>pilar</t>
  </si>
  <si>
    <t>Del carmen</t>
  </si>
  <si>
    <t>Lourdes</t>
  </si>
  <si>
    <t>Etiquetas de fila</t>
  </si>
  <si>
    <t>(en blanco)</t>
  </si>
  <si>
    <t>Total general</t>
  </si>
  <si>
    <t xml:space="preserve">Suma de 8 mm Sturgeon Rep. </t>
  </si>
  <si>
    <t>Suma de 8 mm Progress</t>
  </si>
  <si>
    <t xml:space="preserve">Suma de 6 mm metabólica </t>
  </si>
  <si>
    <t xml:space="preserve">Suma de 4,5 mm metabólica </t>
  </si>
  <si>
    <t>Suma de 3 mm progress ex</t>
  </si>
  <si>
    <t>Suma de 6.0 mm progress</t>
  </si>
  <si>
    <t>Cuenta de 4.5 progress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</si>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</sst>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13" fillId="2" borderId="33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0" fillId="4" borderId="36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42" xfId="0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/>
    </xf>
    <xf numFmtId="0" fontId="20" fillId="7" borderId="44" xfId="0" applyFont="1" applyFill="1" applyBorder="1" applyAlignment="1">
      <alignment horizontal="center"/>
    </xf>
    <xf numFmtId="0" fontId="19" fillId="3" borderId="4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5" xfId="0" applyFill="1" applyBorder="1"/>
    <xf numFmtId="0" fontId="0" fillId="4" borderId="46" xfId="0" applyFill="1" applyBorder="1"/>
    <xf numFmtId="0" fontId="19" fillId="3" borderId="47" xfId="0" applyFont="1" applyFill="1" applyBorder="1" applyAlignment="1">
      <alignment horizontal="left" vertical="center"/>
    </xf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4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51" xfId="0" applyFont="1" applyFill="1" applyBorder="1" applyAlignment="1">
      <alignment vertical="center"/>
    </xf>
    <xf numFmtId="0" fontId="20" fillId="7" borderId="53" xfId="0" applyFont="1" applyFill="1" applyBorder="1"/>
    <xf numFmtId="0" fontId="20" fillId="7" borderId="41" xfId="0" applyFont="1" applyFill="1" applyBorder="1" applyAlignment="1">
      <alignment horizontal="center"/>
    </xf>
    <xf numFmtId="0" fontId="26" fillId="7" borderId="41" xfId="0" applyFont="1" applyFill="1" applyBorder="1" applyAlignment="1">
      <alignment horizontal="center"/>
    </xf>
    <xf numFmtId="0" fontId="20" fillId="0" borderId="0" xfId="0" applyFont="1"/>
    <xf numFmtId="0" fontId="0" fillId="4" borderId="46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6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0" fillId="5" borderId="2" xfId="0" applyFill="1" applyBorder="1"/>
    <xf numFmtId="0" fontId="0" fillId="5" borderId="53" xfId="0" applyFill="1" applyBorder="1" applyAlignment="1">
      <alignment horizontal="center" vertical="center"/>
    </xf>
    <xf numFmtId="0" fontId="0" fillId="9" borderId="63" xfId="0" applyFill="1" applyBorder="1"/>
    <xf numFmtId="0" fontId="0" fillId="3" borderId="45" xfId="0" applyFill="1" applyBorder="1"/>
    <xf numFmtId="0" fontId="0" fillId="5" borderId="48" xfId="0" applyFill="1" applyBorder="1"/>
    <xf numFmtId="0" fontId="0" fillId="5" borderId="54" xfId="0" applyFill="1" applyBorder="1" applyAlignment="1">
      <alignment horizontal="center" vertical="center"/>
    </xf>
    <xf numFmtId="0" fontId="0" fillId="5" borderId="0" xfId="0" applyFill="1"/>
    <xf numFmtId="0" fontId="0" fillId="5" borderId="50" xfId="0" applyFill="1" applyBorder="1" applyAlignment="1">
      <alignment horizontal="center" vertical="center"/>
    </xf>
    <xf numFmtId="0" fontId="0" fillId="5" borderId="47" xfId="0" applyFill="1" applyBorder="1"/>
    <xf numFmtId="0" fontId="0" fillId="9" borderId="64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42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20" fillId="3" borderId="65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6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7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8" xfId="0" applyFont="1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3" borderId="68" xfId="0" applyFill="1" applyBorder="1" applyAlignment="1">
      <alignment horizontal="center" vertical="center"/>
    </xf>
    <xf numFmtId="0" fontId="0" fillId="0" borderId="70" xfId="0" applyBorder="1"/>
    <xf numFmtId="0" fontId="0" fillId="4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18" fillId="0" borderId="0" xfId="0" applyFont="1"/>
    <xf numFmtId="0" fontId="13" fillId="2" borderId="0" xfId="0" applyFont="1" applyFill="1" applyAlignment="1">
      <alignment horizontal="center" vertical="center" textRotation="90" wrapText="1"/>
    </xf>
    <xf numFmtId="0" fontId="19" fillId="10" borderId="47" xfId="0" applyFont="1" applyFill="1" applyBorder="1" applyAlignment="1">
      <alignment horizontal="left" vertical="center"/>
    </xf>
    <xf numFmtId="0" fontId="0" fillId="10" borderId="48" xfId="0" applyFill="1" applyBorder="1"/>
    <xf numFmtId="0" fontId="0" fillId="10" borderId="49" xfId="0" applyFill="1" applyBorder="1"/>
    <xf numFmtId="0" fontId="0" fillId="10" borderId="50" xfId="0" applyFill="1" applyBorder="1"/>
    <xf numFmtId="0" fontId="0" fillId="10" borderId="48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15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3" fillId="0" borderId="78" xfId="0" applyFont="1" applyBorder="1" applyAlignment="1">
      <alignment horizontal="left" vertical="center"/>
    </xf>
    <xf numFmtId="0" fontId="34" fillId="0" borderId="78" xfId="0" applyFont="1" applyBorder="1" applyAlignment="1">
      <alignment horizontal="center" vertical="center"/>
    </xf>
    <xf numFmtId="0" fontId="34" fillId="0" borderId="81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19" fillId="0" borderId="73" xfId="0" applyFont="1" applyBorder="1" applyAlignment="1">
      <alignment horizontal="left" vertical="center"/>
    </xf>
    <xf numFmtId="0" fontId="19" fillId="0" borderId="74" xfId="0" applyFont="1" applyBorder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center" vertical="center" wrapText="1"/>
    </xf>
    <xf numFmtId="0" fontId="0" fillId="0" borderId="76" xfId="0" applyBorder="1" applyAlignment="1">
      <alignment horizontal="left" vertical="top"/>
    </xf>
    <xf numFmtId="0" fontId="33" fillId="0" borderId="76" xfId="0" applyFont="1" applyBorder="1" applyAlignment="1">
      <alignment horizontal="center" vertical="center" wrapText="1"/>
    </xf>
    <xf numFmtId="14" fontId="19" fillId="0" borderId="75" xfId="0" applyNumberFormat="1" applyFont="1" applyBorder="1" applyAlignment="1">
      <alignment horizontal="left" vertical="center"/>
    </xf>
    <xf numFmtId="14" fontId="19" fillId="0" borderId="76" xfId="0" applyNumberFormat="1" applyFont="1" applyBorder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0" fillId="5" borderId="56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17" fontId="2" fillId="3" borderId="55" xfId="0" applyNumberFormat="1" applyFont="1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23" fillId="6" borderId="51" xfId="0" applyFont="1" applyFill="1" applyBorder="1" applyAlignment="1">
      <alignment horizontal="center" vertical="center" textRotation="90"/>
    </xf>
    <xf numFmtId="0" fontId="23" fillId="6" borderId="52" xfId="0" applyFont="1" applyFill="1" applyBorder="1" applyAlignment="1">
      <alignment horizontal="center" vertical="center" textRotation="90"/>
    </xf>
    <xf numFmtId="0" fontId="23" fillId="6" borderId="53" xfId="0" applyFont="1" applyFill="1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/>
    </xf>
    <xf numFmtId="0" fontId="20" fillId="5" borderId="61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17" fontId="4" fillId="3" borderId="55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39" xfId="0" applyFont="1" applyFill="1" applyBorder="1" applyAlignment="1">
      <alignment horizontal="center" vertical="center" textRotation="90" wrapText="1"/>
    </xf>
    <xf numFmtId="0" fontId="21" fillId="2" borderId="40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5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0273379631" createdVersion="8" refreshedVersion="8" minRefreshableVersion="3" recordCount="37" xr:uid="{6DD0F8BA-60FC-41B0-AD4C-0AEBE118A873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1.3 Talahass" numFmtId="0">
      <sharedItems containsNonDate="0" containsString="0" containsBlank="1"/>
    </cacheField>
    <cacheField name="4.5 progress" numFmtId="0">
      <sharedItems containsNonDate="0" containsString="0" containsBlank="1"/>
    </cacheField>
    <cacheField name="6.0 mm progress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225"/>
    </cacheField>
    <cacheField name="4,5 mm metabólica " numFmtId="0">
      <sharedItems containsSemiMixedTypes="0" containsString="0" containsNumber="1" containsInteger="1" minValue="0" maxValue="375"/>
    </cacheField>
    <cacheField name="6 mm metabólica " numFmtId="0">
      <sharedItems containsSemiMixedTypes="0" containsString="0" containsNumber="1" containsInteger="1" minValue="0" maxValue="525"/>
    </cacheField>
    <cacheField name="8 mm Progress" numFmtId="0">
      <sharedItems containsSemiMixedTypes="0" containsString="0" containsNumber="1" containsInteger="1" minValue="0" maxValue="525"/>
    </cacheField>
    <cacheField name="8 mm Sturgeon Rep. " numFmtId="0">
      <sharedItems containsSemiMixedTypes="0" containsString="0" containsNumber="1" containsInteger="1" minValue="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1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2"/>
    <m/>
    <m/>
    <m/>
    <m/>
    <m/>
    <n v="225"/>
    <n v="0"/>
    <n v="0"/>
    <n v="0"/>
    <n v="0"/>
  </r>
  <r>
    <x v="3"/>
    <m/>
    <m/>
    <m/>
    <m/>
    <m/>
    <n v="225"/>
    <n v="0"/>
    <n v="0"/>
    <n v="0"/>
    <n v="0"/>
  </r>
  <r>
    <x v="0"/>
    <m/>
    <m/>
    <m/>
    <m/>
    <m/>
    <n v="0"/>
    <n v="0"/>
    <n v="0"/>
    <n v="0"/>
    <n v="0"/>
  </r>
  <r>
    <x v="4"/>
    <m/>
    <m/>
    <m/>
    <m/>
    <m/>
    <n v="0"/>
    <n v="0"/>
    <n v="0"/>
    <n v="0"/>
    <n v="0"/>
  </r>
  <r>
    <x v="1"/>
    <m/>
    <m/>
    <m/>
    <m/>
    <m/>
    <n v="0"/>
    <n v="375"/>
    <n v="0"/>
    <n v="0"/>
    <n v="0"/>
  </r>
  <r>
    <x v="5"/>
    <m/>
    <m/>
    <m/>
    <m/>
    <m/>
    <n v="0"/>
    <n v="0"/>
    <n v="525"/>
    <n v="0"/>
    <n v="0"/>
  </r>
  <r>
    <x v="5"/>
    <m/>
    <m/>
    <m/>
    <m/>
    <m/>
    <n v="0"/>
    <n v="250"/>
    <n v="0"/>
    <n v="0"/>
    <n v="0"/>
  </r>
  <r>
    <x v="4"/>
    <m/>
    <m/>
    <m/>
    <m/>
    <m/>
    <n v="0"/>
    <n v="0"/>
    <n v="0"/>
    <n v="525"/>
    <n v="0"/>
  </r>
  <r>
    <x v="4"/>
    <m/>
    <m/>
    <m/>
    <m/>
    <m/>
    <n v="0"/>
    <n v="0"/>
    <n v="0"/>
    <n v="525"/>
    <n v="0"/>
  </r>
  <r>
    <x v="1"/>
    <m/>
    <m/>
    <m/>
    <m/>
    <m/>
    <n v="0"/>
    <n v="0"/>
    <n v="350"/>
    <n v="0"/>
    <n v="0"/>
  </r>
  <r>
    <x v="0"/>
    <m/>
    <m/>
    <m/>
    <m/>
    <m/>
    <n v="0"/>
    <n v="0"/>
    <n v="25"/>
    <n v="150"/>
    <n v="150"/>
  </r>
  <r>
    <x v="0"/>
    <m/>
    <m/>
    <m/>
    <m/>
    <m/>
    <n v="0"/>
    <n v="0"/>
    <n v="0"/>
    <n v="150"/>
    <n v="15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300"/>
    <n v="300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300"/>
    <n v="225"/>
  </r>
  <r>
    <x v="0"/>
    <m/>
    <m/>
    <m/>
    <m/>
    <m/>
    <n v="0"/>
    <n v="0"/>
    <n v="0"/>
    <n v="300"/>
    <n v="150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250"/>
    <n v="225"/>
  </r>
  <r>
    <x v="0"/>
    <m/>
    <m/>
    <m/>
    <m/>
    <m/>
    <n v="0"/>
    <n v="0"/>
    <n v="0"/>
    <n v="75"/>
    <n v="75"/>
  </r>
  <r>
    <x v="6"/>
    <m/>
    <m/>
    <m/>
    <m/>
    <m/>
    <n v="0"/>
    <n v="0"/>
    <n v="0"/>
    <n v="350"/>
    <n v="0"/>
  </r>
  <r>
    <x v="6"/>
    <m/>
    <m/>
    <m/>
    <m/>
    <m/>
    <n v="0"/>
    <n v="0"/>
    <n v="0"/>
    <n v="0"/>
    <n v="0"/>
  </r>
  <r>
    <x v="0"/>
    <m/>
    <m/>
    <m/>
    <m/>
    <m/>
    <n v="0"/>
    <n v="0"/>
    <n v="0"/>
    <n v="300"/>
    <n v="225"/>
  </r>
  <r>
    <x v="0"/>
    <m/>
    <m/>
    <m/>
    <m/>
    <m/>
    <n v="75"/>
    <n v="0"/>
    <n v="0"/>
    <n v="250"/>
    <n v="100"/>
  </r>
  <r>
    <x v="7"/>
    <m/>
    <m/>
    <m/>
    <m/>
    <m/>
    <n v="0"/>
    <n v="0"/>
    <n v="0"/>
    <n v="0"/>
    <n v="0"/>
  </r>
  <r>
    <x v="8"/>
    <m/>
    <m/>
    <m/>
    <m/>
    <n v="0"/>
    <n v="0"/>
    <n v="0"/>
    <n v="0"/>
    <n v="0"/>
    <n v="0"/>
  </r>
  <r>
    <x v="9"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01528-FBAD-4F61-B233-C71D5DBA86BA}" name="TablaDinámica10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1">
        <item x="2"/>
        <item x="4"/>
        <item x="6"/>
        <item x="8"/>
        <item x="0"/>
        <item x="5"/>
        <item x="7"/>
        <item x="1"/>
        <item x="3"/>
        <item x="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uenta de 4.5 progress" fld="4" subtotal="count" baseField="0" baseItem="0"/>
    <dataField name="Suma de 8 mm Sturgeon Rep. " fld="10" baseField="0" baseItem="0"/>
    <dataField name="Suma de 6.0 mm progress" fld="5" baseField="0" baseItem="0"/>
    <dataField name="Suma de 3 mm progress ex" fld="6" baseField="0" baseItem="0"/>
    <dataField name="Suma de 4,5 mm metabólica " fld="7" baseField="0" baseItem="0"/>
    <dataField name="Suma de 6 mm metabólica " fld="8" baseField="0" baseItem="0"/>
    <dataField name="Suma de 8 mm Progress" fld="9" baseField="0" baseItem="0"/>
  </dataFields>
  <formats count="18"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0" type="button" dataOnly="0" labelOnly="1" outline="0" axis="axisRow" fieldPosition="0"/>
    </format>
    <format dxfId="142">
      <pivotArea dataOnly="0" labelOnly="1" fieldPosition="0">
        <references count="1">
          <reference field="0" count="0"/>
        </references>
      </pivotArea>
    </format>
    <format dxfId="141">
      <pivotArea dataOnly="0" labelOnly="1" grandRow="1" outline="0" fieldPosition="0"/>
    </format>
    <format dxfId="14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0" type="button" dataOnly="0" labelOnly="1" outline="0" axis="axisRow" fieldPosition="0"/>
    </format>
    <format dxfId="136">
      <pivotArea dataOnly="0" labelOnly="1" fieldPosition="0">
        <references count="1">
          <reference field="0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23"/>
  <sheetViews>
    <sheetView view="pageLayout" topLeftCell="A19" zoomScaleNormal="100" workbookViewId="0">
      <selection activeCell="AG30" sqref="AG30"/>
    </sheetView>
  </sheetViews>
  <sheetFormatPr baseColWidth="10" defaultColWidth="11" defaultRowHeight="15"/>
  <cols>
    <col min="1" max="1" width="1.7109375" customWidth="1"/>
    <col min="2" max="2" width="15.140625" customWidth="1"/>
    <col min="3" max="39" width="3.7109375" customWidth="1"/>
    <col min="40" max="40" width="5.2851562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5</v>
      </c>
      <c r="AI8" s="147"/>
      <c r="AJ8" s="147"/>
      <c r="AK8" s="147">
        <v>11</v>
      </c>
      <c r="AL8" s="147"/>
      <c r="AM8" s="149"/>
    </row>
    <row r="9" spans="1:40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1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>
        <v>1</v>
      </c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>
        <v>3</v>
      </c>
      <c r="P14" s="67"/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 t="s">
        <v>144</v>
      </c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/>
      <c r="V17" s="134"/>
      <c r="W17" s="134"/>
      <c r="X17" s="134"/>
      <c r="Y17" s="134"/>
      <c r="Z17" s="137"/>
      <c r="AA17" s="136"/>
      <c r="AB17" s="134">
        <v>2</v>
      </c>
      <c r="AC17" s="134"/>
      <c r="AD17" s="134"/>
      <c r="AE17" s="134"/>
      <c r="AF17" s="137"/>
      <c r="AG17" s="136">
        <v>2</v>
      </c>
      <c r="AH17" s="134"/>
      <c r="AI17" s="134"/>
      <c r="AJ17" s="135"/>
      <c r="AK17" s="133"/>
      <c r="AL17" s="138"/>
      <c r="AM17" s="95">
        <f t="shared" si="0"/>
        <v>10</v>
      </c>
      <c r="AN17" s="96">
        <f t="shared" si="1"/>
        <v>250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2</v>
      </c>
      <c r="V18" s="67">
        <v>2</v>
      </c>
      <c r="W18" s="67"/>
      <c r="X18" s="67">
        <v>3</v>
      </c>
      <c r="Y18" s="67">
        <v>4</v>
      </c>
      <c r="Z18" s="87">
        <v>3</v>
      </c>
      <c r="AA18" s="86">
        <v>3</v>
      </c>
      <c r="AB18" s="67">
        <v>2</v>
      </c>
      <c r="AC18" s="67">
        <v>3</v>
      </c>
      <c r="AD18" s="67">
        <v>3</v>
      </c>
      <c r="AE18" s="67">
        <v>3</v>
      </c>
      <c r="AF18" s="87">
        <v>1</v>
      </c>
      <c r="AG18" s="86"/>
      <c r="AH18" s="67"/>
      <c r="AI18" s="67">
        <v>3</v>
      </c>
      <c r="AJ18" s="68">
        <v>2</v>
      </c>
      <c r="AK18" s="97"/>
      <c r="AL18" s="98"/>
      <c r="AM18" s="95">
        <f t="shared" si="0"/>
        <v>34</v>
      </c>
      <c r="AN18" s="96">
        <f t="shared" si="1"/>
        <v>850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 t="s">
        <v>143</v>
      </c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>
        <v>2</v>
      </c>
      <c r="L29" s="63">
        <v>1</v>
      </c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>
        <v>1</v>
      </c>
      <c r="AK29" s="93"/>
      <c r="AL29" s="94"/>
      <c r="AM29" s="95">
        <f t="shared" si="0"/>
        <v>4</v>
      </c>
      <c r="AN29" s="96">
        <f t="shared" si="1"/>
        <v>100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>
        <v>3</v>
      </c>
      <c r="P30" s="67"/>
      <c r="Q30" s="67">
        <v>2</v>
      </c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5</v>
      </c>
      <c r="AN30" s="96">
        <f t="shared" si="1"/>
        <v>125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>
        <v>3</v>
      </c>
      <c r="Q31" s="67"/>
      <c r="R31" s="67"/>
      <c r="S31" s="67"/>
      <c r="T31" s="87">
        <v>2</v>
      </c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5</v>
      </c>
      <c r="AN31" s="96">
        <f t="shared" si="1"/>
        <v>125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 t="s">
        <v>143</v>
      </c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3</v>
      </c>
      <c r="S33" s="134">
        <v>3</v>
      </c>
      <c r="T33" s="137"/>
      <c r="U33" s="136"/>
      <c r="V33" s="134"/>
      <c r="W33" s="134"/>
      <c r="X33" s="134"/>
      <c r="Y33" s="134"/>
      <c r="Z33" s="137"/>
      <c r="AA33" s="136"/>
      <c r="AB33" s="134">
        <v>2</v>
      </c>
      <c r="AC33" s="134"/>
      <c r="AD33" s="134"/>
      <c r="AE33" s="134"/>
      <c r="AF33" s="137"/>
      <c r="AG33" s="136">
        <v>2</v>
      </c>
      <c r="AH33" s="134"/>
      <c r="AI33" s="134"/>
      <c r="AJ33" s="135">
        <v>2</v>
      </c>
      <c r="AK33" s="133"/>
      <c r="AL33" s="138"/>
      <c r="AM33" s="95">
        <f t="shared" si="0"/>
        <v>12</v>
      </c>
      <c r="AN33" s="96">
        <f t="shared" si="1"/>
        <v>300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>
        <v>2</v>
      </c>
      <c r="V34" s="67">
        <v>2</v>
      </c>
      <c r="W34" s="67"/>
      <c r="X34" s="67">
        <v>3</v>
      </c>
      <c r="Y34" s="67">
        <v>4</v>
      </c>
      <c r="Z34" s="87">
        <v>3</v>
      </c>
      <c r="AA34" s="86">
        <v>3</v>
      </c>
      <c r="AB34" s="67">
        <v>2</v>
      </c>
      <c r="AC34" s="67">
        <v>3</v>
      </c>
      <c r="AD34" s="67">
        <v>3</v>
      </c>
      <c r="AE34" s="67">
        <v>3</v>
      </c>
      <c r="AF34" s="87">
        <v>1</v>
      </c>
      <c r="AG34" s="86"/>
      <c r="AH34" s="67"/>
      <c r="AI34" s="67">
        <v>3</v>
      </c>
      <c r="AJ34" s="68"/>
      <c r="AK34" s="97"/>
      <c r="AL34" s="98"/>
      <c r="AM34" s="95">
        <f t="shared" si="0"/>
        <v>32</v>
      </c>
      <c r="AN34" s="96">
        <f t="shared" si="1"/>
        <v>800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 t="s">
        <v>143</v>
      </c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 t="s">
        <v>143</v>
      </c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 t="s">
        <v>143</v>
      </c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58</v>
      </c>
      <c r="D63" s="55">
        <f>SUM(AN13:AN19)</f>
        <v>1450</v>
      </c>
      <c r="E63" s="71"/>
      <c r="F63" s="165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58</v>
      </c>
      <c r="D65" s="55">
        <f>SUM(AN29:AN35)</f>
        <v>1450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116</v>
      </c>
      <c r="D69" s="83">
        <f>SUM(D63:D68)</f>
        <v>2900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3</v>
      </c>
      <c r="L74" s="17">
        <f t="shared" si="2"/>
        <v>3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2</v>
      </c>
      <c r="AK74" s="17">
        <f t="shared" si="2"/>
        <v>0</v>
      </c>
      <c r="AL74" s="117">
        <f t="shared" si="2"/>
        <v>0</v>
      </c>
      <c r="AM74" s="55">
        <f>SUM(C74:AL74)</f>
        <v>8</v>
      </c>
      <c r="AN74" s="121">
        <f>AM74*25</f>
        <v>200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6</v>
      </c>
      <c r="P75" s="17">
        <f t="shared" si="3"/>
        <v>0</v>
      </c>
      <c r="Q75" s="17">
        <f t="shared" si="3"/>
        <v>4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10</v>
      </c>
      <c r="AN75" s="121">
        <f t="shared" ref="AN75:AN79" si="5">AM75*25</f>
        <v>250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6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4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10</v>
      </c>
      <c r="AN76" s="121">
        <f t="shared" si="5"/>
        <v>250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6</v>
      </c>
      <c r="S78" s="17">
        <f t="shared" si="8"/>
        <v>6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4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4</v>
      </c>
      <c r="AH78" s="17">
        <f t="shared" si="8"/>
        <v>0</v>
      </c>
      <c r="AI78" s="17">
        <f t="shared" si="8"/>
        <v>0</v>
      </c>
      <c r="AJ78" s="117">
        <f t="shared" si="8"/>
        <v>2</v>
      </c>
      <c r="AK78" s="17">
        <f t="shared" si="8"/>
        <v>0</v>
      </c>
      <c r="AL78" s="117">
        <f t="shared" si="8"/>
        <v>0</v>
      </c>
      <c r="AM78" s="55">
        <f t="shared" si="4"/>
        <v>22</v>
      </c>
      <c r="AN78" s="121">
        <f t="shared" si="5"/>
        <v>550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4</v>
      </c>
      <c r="V79" s="17">
        <f t="shared" si="9"/>
        <v>4</v>
      </c>
      <c r="W79" s="17">
        <f t="shared" si="9"/>
        <v>0</v>
      </c>
      <c r="X79" s="17">
        <f t="shared" si="9"/>
        <v>6</v>
      </c>
      <c r="Y79" s="17">
        <f t="shared" si="9"/>
        <v>8</v>
      </c>
      <c r="Z79" s="117">
        <f t="shared" si="9"/>
        <v>6</v>
      </c>
      <c r="AA79" s="17">
        <f t="shared" si="9"/>
        <v>6</v>
      </c>
      <c r="AB79" s="17">
        <f t="shared" si="9"/>
        <v>4</v>
      </c>
      <c r="AC79" s="17">
        <f t="shared" si="9"/>
        <v>6</v>
      </c>
      <c r="AD79" s="17">
        <f t="shared" si="9"/>
        <v>6</v>
      </c>
      <c r="AE79" s="17">
        <f t="shared" si="9"/>
        <v>6</v>
      </c>
      <c r="AF79" s="117">
        <f t="shared" si="9"/>
        <v>2</v>
      </c>
      <c r="AG79" s="17">
        <f t="shared" si="9"/>
        <v>0</v>
      </c>
      <c r="AH79" s="17">
        <f t="shared" si="9"/>
        <v>0</v>
      </c>
      <c r="AI79" s="17">
        <f t="shared" si="9"/>
        <v>6</v>
      </c>
      <c r="AJ79" s="117">
        <f t="shared" si="9"/>
        <v>2</v>
      </c>
      <c r="AK79" s="17">
        <f t="shared" si="9"/>
        <v>0</v>
      </c>
      <c r="AL79" s="117">
        <f t="shared" si="9"/>
        <v>0</v>
      </c>
      <c r="AM79" s="55">
        <f t="shared" si="4"/>
        <v>66</v>
      </c>
      <c r="AN79" s="121">
        <f t="shared" si="5"/>
        <v>1650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3</v>
      </c>
      <c r="L81" s="11">
        <f t="shared" si="11"/>
        <v>3</v>
      </c>
      <c r="M81" s="11">
        <f t="shared" si="11"/>
        <v>0</v>
      </c>
      <c r="N81" s="128">
        <f t="shared" si="11"/>
        <v>0</v>
      </c>
      <c r="O81" s="11">
        <f t="shared" si="11"/>
        <v>6</v>
      </c>
      <c r="P81" s="11">
        <f t="shared" si="11"/>
        <v>6</v>
      </c>
      <c r="Q81" s="11">
        <f t="shared" si="11"/>
        <v>4</v>
      </c>
      <c r="R81" s="11">
        <f t="shared" si="11"/>
        <v>6</v>
      </c>
      <c r="S81" s="11">
        <f t="shared" si="11"/>
        <v>6</v>
      </c>
      <c r="T81" s="128">
        <f t="shared" si="11"/>
        <v>4</v>
      </c>
      <c r="U81" s="11">
        <f t="shared" si="11"/>
        <v>4</v>
      </c>
      <c r="V81" s="11">
        <f t="shared" si="11"/>
        <v>4</v>
      </c>
      <c r="W81" s="11">
        <f t="shared" si="11"/>
        <v>0</v>
      </c>
      <c r="X81" s="11">
        <f t="shared" si="11"/>
        <v>6</v>
      </c>
      <c r="Y81" s="11">
        <f t="shared" si="11"/>
        <v>8</v>
      </c>
      <c r="Z81" s="128">
        <f t="shared" si="11"/>
        <v>6</v>
      </c>
      <c r="AA81" s="11">
        <f t="shared" si="11"/>
        <v>6</v>
      </c>
      <c r="AB81" s="11">
        <f t="shared" si="11"/>
        <v>8</v>
      </c>
      <c r="AC81" s="11">
        <f t="shared" si="11"/>
        <v>6</v>
      </c>
      <c r="AD81" s="11">
        <f t="shared" si="11"/>
        <v>6</v>
      </c>
      <c r="AE81" s="11">
        <f t="shared" si="11"/>
        <v>6</v>
      </c>
      <c r="AF81" s="128">
        <f t="shared" si="11"/>
        <v>2</v>
      </c>
      <c r="AG81" s="11">
        <f t="shared" si="11"/>
        <v>4</v>
      </c>
      <c r="AH81" s="11">
        <f t="shared" si="11"/>
        <v>0</v>
      </c>
      <c r="AI81" s="11">
        <f t="shared" si="11"/>
        <v>6</v>
      </c>
      <c r="AJ81" s="128">
        <f t="shared" si="11"/>
        <v>6</v>
      </c>
      <c r="AK81" s="11">
        <f t="shared" si="11"/>
        <v>0</v>
      </c>
      <c r="AL81" s="128">
        <f t="shared" si="11"/>
        <v>0</v>
      </c>
      <c r="AN81" s="129">
        <f>SUM(AN74:AN80)</f>
        <v>2900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K11:AK12"/>
    <mergeCell ref="O72:T72"/>
    <mergeCell ref="AL11:AL12"/>
    <mergeCell ref="AL72:AL73"/>
    <mergeCell ref="B61:D62"/>
    <mergeCell ref="F64:G64"/>
    <mergeCell ref="H64:I64"/>
    <mergeCell ref="J64:M64"/>
    <mergeCell ref="A71:AN71"/>
    <mergeCell ref="AA72:AF72"/>
    <mergeCell ref="A52:A58"/>
    <mergeCell ref="A73:A80"/>
    <mergeCell ref="U72:Z72"/>
    <mergeCell ref="AK72:AK73"/>
    <mergeCell ref="AG72:AJ72"/>
    <mergeCell ref="AG11:AJ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</mergeCells>
  <conditionalFormatting sqref="B13:B19">
    <cfRule type="cellIs" dxfId="133" priority="23" operator="equal">
      <formula>0</formula>
    </cfRule>
  </conditionalFormatting>
  <conditionalFormatting sqref="B21:B35">
    <cfRule type="cellIs" dxfId="132" priority="4" operator="equal">
      <formula>0</formula>
    </cfRule>
  </conditionalFormatting>
  <conditionalFormatting sqref="B37:B50">
    <cfRule type="cellIs" dxfId="131" priority="2" operator="equal">
      <formula>0</formula>
    </cfRule>
  </conditionalFormatting>
  <conditionalFormatting sqref="B52:B58">
    <cfRule type="cellIs" dxfId="130" priority="1" operator="equal">
      <formula>0</formula>
    </cfRule>
  </conditionalFormatting>
  <conditionalFormatting sqref="B74:B80">
    <cfRule type="cellIs" dxfId="129" priority="22" operator="equal">
      <formula>0</formula>
    </cfRule>
  </conditionalFormatting>
  <conditionalFormatting sqref="B108:B109">
    <cfRule type="cellIs" dxfId="128" priority="15" operator="equal">
      <formula>0</formula>
    </cfRule>
  </conditionalFormatting>
  <conditionalFormatting sqref="B111:B116">
    <cfRule type="cellIs" dxfId="127" priority="14" operator="equal">
      <formula>0</formula>
    </cfRule>
  </conditionalFormatting>
  <conditionalFormatting sqref="B118:B123">
    <cfRule type="cellIs" dxfId="126" priority="13" operator="equal">
      <formula>0</formula>
    </cfRule>
  </conditionalFormatting>
  <conditionalFormatting sqref="C85:H85">
    <cfRule type="cellIs" dxfId="125" priority="21" operator="equal">
      <formula>0</formula>
    </cfRule>
  </conditionalFormatting>
  <conditionalFormatting sqref="C74:AL80">
    <cfRule type="cellIs" dxfId="124" priority="1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R123"/>
  <sheetViews>
    <sheetView view="pageLayout" topLeftCell="A40" zoomScaleNormal="100" workbookViewId="0">
      <selection activeCell="L34" sqref="L34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12</v>
      </c>
      <c r="AI8" s="147"/>
      <c r="AJ8" s="147"/>
      <c r="AK8" s="147">
        <v>18</v>
      </c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>
      <c r="AB10" s="130"/>
    </row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>
        <v>3</v>
      </c>
      <c r="P14" s="67"/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/>
      <c r="V17" s="134"/>
      <c r="W17" s="134"/>
      <c r="X17" s="134"/>
      <c r="Y17" s="134"/>
      <c r="Z17" s="137"/>
      <c r="AA17" s="136"/>
      <c r="AB17" s="134">
        <v>2</v>
      </c>
      <c r="AC17" s="134"/>
      <c r="AD17" s="134"/>
      <c r="AE17" s="134"/>
      <c r="AF17" s="137"/>
      <c r="AG17" s="136">
        <v>2</v>
      </c>
      <c r="AH17" s="134"/>
      <c r="AI17" s="134"/>
      <c r="AJ17" s="135"/>
      <c r="AK17" s="133"/>
      <c r="AL17" s="138"/>
      <c r="AM17" s="95">
        <f t="shared" si="0"/>
        <v>10</v>
      </c>
      <c r="AN17" s="96">
        <f t="shared" si="1"/>
        <v>250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2</v>
      </c>
      <c r="V18" s="67">
        <v>2</v>
      </c>
      <c r="W18" s="67"/>
      <c r="X18" s="67">
        <v>3</v>
      </c>
      <c r="Y18" s="67">
        <v>4</v>
      </c>
      <c r="Z18" s="87">
        <v>3</v>
      </c>
      <c r="AA18" s="86">
        <v>3</v>
      </c>
      <c r="AB18" s="67">
        <v>2</v>
      </c>
      <c r="AC18" s="67">
        <v>3</v>
      </c>
      <c r="AD18" s="67">
        <v>3</v>
      </c>
      <c r="AE18" s="67">
        <v>3</v>
      </c>
      <c r="AF18" s="87">
        <v>1</v>
      </c>
      <c r="AG18" s="86"/>
      <c r="AH18" s="67"/>
      <c r="AI18" s="67">
        <v>3</v>
      </c>
      <c r="AJ18" s="68">
        <v>2</v>
      </c>
      <c r="AK18" s="97"/>
      <c r="AL18" s="98"/>
      <c r="AM18" s="95">
        <f t="shared" si="0"/>
        <v>34</v>
      </c>
      <c r="AN18" s="96">
        <f t="shared" si="1"/>
        <v>850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>
        <v>2</v>
      </c>
      <c r="L29" s="63">
        <v>2</v>
      </c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4</v>
      </c>
      <c r="AN29" s="96">
        <f t="shared" si="1"/>
        <v>100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>
        <v>3</v>
      </c>
      <c r="P30" s="67"/>
      <c r="Q30" s="67">
        <v>2</v>
      </c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5</v>
      </c>
      <c r="AN30" s="96">
        <f t="shared" si="1"/>
        <v>125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>
        <v>3</v>
      </c>
      <c r="Q31" s="67"/>
      <c r="R31" s="67"/>
      <c r="S31" s="67"/>
      <c r="T31" s="87">
        <v>2</v>
      </c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5</v>
      </c>
      <c r="AN31" s="96">
        <f t="shared" si="1"/>
        <v>125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3</v>
      </c>
      <c r="S33" s="134">
        <v>3</v>
      </c>
      <c r="T33" s="137"/>
      <c r="U33" s="136">
        <v>2</v>
      </c>
      <c r="V33" s="134">
        <v>2</v>
      </c>
      <c r="W33" s="134"/>
      <c r="X33" s="134">
        <v>3</v>
      </c>
      <c r="Y33" s="134">
        <v>4</v>
      </c>
      <c r="Z33" s="137">
        <v>3</v>
      </c>
      <c r="AA33" s="136">
        <v>3</v>
      </c>
      <c r="AB33" s="134">
        <v>2</v>
      </c>
      <c r="AC33" s="134">
        <v>3</v>
      </c>
      <c r="AD33" s="134">
        <v>3</v>
      </c>
      <c r="AE33" s="134">
        <v>3</v>
      </c>
      <c r="AF33" s="137">
        <v>1</v>
      </c>
      <c r="AG33" s="136">
        <v>2</v>
      </c>
      <c r="AH33" s="134"/>
      <c r="AI33" s="134">
        <v>3</v>
      </c>
      <c r="AJ33" s="135">
        <v>2</v>
      </c>
      <c r="AK33" s="133"/>
      <c r="AL33" s="138"/>
      <c r="AM33" s="95">
        <f t="shared" si="0"/>
        <v>42</v>
      </c>
      <c r="AN33" s="96">
        <f t="shared" si="1"/>
        <v>1050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125"/>
      <c r="O36" s="125"/>
      <c r="U36" s="125"/>
      <c r="AA36" s="125"/>
      <c r="AG36" s="125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58</v>
      </c>
      <c r="D63" s="55">
        <f>SUM(AN13:AN19)</f>
        <v>1450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56</v>
      </c>
      <c r="D65" s="55">
        <f>SUM(AN29:AN35)</f>
        <v>1400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114</v>
      </c>
      <c r="D69" s="83">
        <f>SUM(D63:D68)</f>
        <v>2850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4</v>
      </c>
      <c r="L74" s="17">
        <f t="shared" si="2"/>
        <v>4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8</v>
      </c>
      <c r="AN74" s="121">
        <f>AM74*25</f>
        <v>200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6</v>
      </c>
      <c r="P75" s="17">
        <f t="shared" si="3"/>
        <v>0</v>
      </c>
      <c r="Q75" s="17">
        <f t="shared" si="3"/>
        <v>4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10</v>
      </c>
      <c r="AN75" s="121">
        <f t="shared" ref="AN75:AN79" si="5">AM75*25</f>
        <v>250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6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4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10</v>
      </c>
      <c r="AN76" s="121">
        <f t="shared" si="5"/>
        <v>250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6</v>
      </c>
      <c r="S78" s="17">
        <f t="shared" si="8"/>
        <v>6</v>
      </c>
      <c r="T78" s="117">
        <f t="shared" si="8"/>
        <v>0</v>
      </c>
      <c r="U78" s="17">
        <f t="shared" si="8"/>
        <v>2</v>
      </c>
      <c r="V78" s="17">
        <f t="shared" si="8"/>
        <v>2</v>
      </c>
      <c r="W78" s="17">
        <f t="shared" si="8"/>
        <v>0</v>
      </c>
      <c r="X78" s="17">
        <f t="shared" si="8"/>
        <v>3</v>
      </c>
      <c r="Y78" s="17">
        <f t="shared" si="8"/>
        <v>4</v>
      </c>
      <c r="Z78" s="117">
        <f t="shared" si="8"/>
        <v>3</v>
      </c>
      <c r="AA78" s="17">
        <f t="shared" si="8"/>
        <v>3</v>
      </c>
      <c r="AB78" s="17">
        <f t="shared" si="8"/>
        <v>4</v>
      </c>
      <c r="AC78" s="17">
        <f t="shared" si="8"/>
        <v>3</v>
      </c>
      <c r="AD78" s="17">
        <f t="shared" si="8"/>
        <v>3</v>
      </c>
      <c r="AE78" s="17">
        <f t="shared" si="8"/>
        <v>3</v>
      </c>
      <c r="AF78" s="117">
        <f t="shared" si="8"/>
        <v>1</v>
      </c>
      <c r="AG78" s="17">
        <f t="shared" si="8"/>
        <v>4</v>
      </c>
      <c r="AH78" s="17">
        <f t="shared" si="8"/>
        <v>0</v>
      </c>
      <c r="AI78" s="17">
        <f t="shared" si="8"/>
        <v>3</v>
      </c>
      <c r="AJ78" s="117">
        <f t="shared" si="8"/>
        <v>2</v>
      </c>
      <c r="AK78" s="17">
        <f t="shared" si="8"/>
        <v>0</v>
      </c>
      <c r="AL78" s="117">
        <f t="shared" si="8"/>
        <v>0</v>
      </c>
      <c r="AM78" s="55">
        <f t="shared" si="4"/>
        <v>52</v>
      </c>
      <c r="AN78" s="121">
        <f t="shared" si="5"/>
        <v>1300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2</v>
      </c>
      <c r="V79" s="17">
        <f t="shared" si="9"/>
        <v>2</v>
      </c>
      <c r="W79" s="17">
        <f t="shared" si="9"/>
        <v>0</v>
      </c>
      <c r="X79" s="17">
        <f t="shared" si="9"/>
        <v>3</v>
      </c>
      <c r="Y79" s="17">
        <f t="shared" si="9"/>
        <v>4</v>
      </c>
      <c r="Z79" s="117">
        <f t="shared" si="9"/>
        <v>3</v>
      </c>
      <c r="AA79" s="17">
        <f t="shared" si="9"/>
        <v>3</v>
      </c>
      <c r="AB79" s="17">
        <f t="shared" si="9"/>
        <v>2</v>
      </c>
      <c r="AC79" s="17">
        <f t="shared" si="9"/>
        <v>3</v>
      </c>
      <c r="AD79" s="17">
        <f t="shared" si="9"/>
        <v>3</v>
      </c>
      <c r="AE79" s="17">
        <f t="shared" si="9"/>
        <v>3</v>
      </c>
      <c r="AF79" s="117">
        <f t="shared" si="9"/>
        <v>1</v>
      </c>
      <c r="AG79" s="17">
        <f t="shared" si="9"/>
        <v>0</v>
      </c>
      <c r="AH79" s="17">
        <f t="shared" si="9"/>
        <v>0</v>
      </c>
      <c r="AI79" s="17">
        <f t="shared" si="9"/>
        <v>3</v>
      </c>
      <c r="AJ79" s="117">
        <f t="shared" si="9"/>
        <v>2</v>
      </c>
      <c r="AK79" s="17">
        <f t="shared" si="9"/>
        <v>0</v>
      </c>
      <c r="AL79" s="117">
        <f t="shared" si="9"/>
        <v>0</v>
      </c>
      <c r="AM79" s="55">
        <f t="shared" si="4"/>
        <v>34</v>
      </c>
      <c r="AN79" s="121">
        <f t="shared" si="5"/>
        <v>850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4</v>
      </c>
      <c r="L81" s="11">
        <f t="shared" si="11"/>
        <v>4</v>
      </c>
      <c r="M81" s="11">
        <f t="shared" si="11"/>
        <v>0</v>
      </c>
      <c r="N81" s="128">
        <f t="shared" si="11"/>
        <v>0</v>
      </c>
      <c r="O81" s="11">
        <f t="shared" si="11"/>
        <v>6</v>
      </c>
      <c r="P81" s="11">
        <f t="shared" si="11"/>
        <v>6</v>
      </c>
      <c r="Q81" s="11">
        <f t="shared" si="11"/>
        <v>4</v>
      </c>
      <c r="R81" s="11">
        <f t="shared" si="11"/>
        <v>6</v>
      </c>
      <c r="S81" s="11">
        <f t="shared" si="11"/>
        <v>6</v>
      </c>
      <c r="T81" s="128">
        <f t="shared" si="11"/>
        <v>4</v>
      </c>
      <c r="U81" s="11">
        <f t="shared" si="11"/>
        <v>4</v>
      </c>
      <c r="V81" s="11">
        <f t="shared" si="11"/>
        <v>4</v>
      </c>
      <c r="W81" s="11">
        <f t="shared" si="11"/>
        <v>0</v>
      </c>
      <c r="X81" s="11">
        <f t="shared" si="11"/>
        <v>6</v>
      </c>
      <c r="Y81" s="11">
        <f t="shared" si="11"/>
        <v>8</v>
      </c>
      <c r="Z81" s="128">
        <f t="shared" si="11"/>
        <v>6</v>
      </c>
      <c r="AA81" s="11">
        <f t="shared" si="11"/>
        <v>6</v>
      </c>
      <c r="AB81" s="11">
        <f t="shared" si="11"/>
        <v>6</v>
      </c>
      <c r="AC81" s="11">
        <f t="shared" si="11"/>
        <v>6</v>
      </c>
      <c r="AD81" s="11">
        <f t="shared" si="11"/>
        <v>6</v>
      </c>
      <c r="AE81" s="11">
        <f t="shared" si="11"/>
        <v>6</v>
      </c>
      <c r="AF81" s="128">
        <f t="shared" si="11"/>
        <v>2</v>
      </c>
      <c r="AG81" s="11">
        <f t="shared" si="11"/>
        <v>4</v>
      </c>
      <c r="AH81" s="11">
        <f t="shared" si="11"/>
        <v>0</v>
      </c>
      <c r="AI81" s="11">
        <f t="shared" si="11"/>
        <v>6</v>
      </c>
      <c r="AJ81" s="128">
        <f t="shared" si="11"/>
        <v>4</v>
      </c>
      <c r="AK81" s="11">
        <f t="shared" si="11"/>
        <v>0</v>
      </c>
      <c r="AL81" s="128">
        <f t="shared" si="11"/>
        <v>0</v>
      </c>
      <c r="AN81" s="129">
        <f>SUM(AN74:AN80)</f>
        <v>2850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23" priority="6" operator="equal">
      <formula>0</formula>
    </cfRule>
  </conditionalFormatting>
  <conditionalFormatting sqref="B21:B35">
    <cfRule type="cellIs" dxfId="122" priority="4" operator="equal">
      <formula>0</formula>
    </cfRule>
  </conditionalFormatting>
  <conditionalFormatting sqref="B37:B50">
    <cfRule type="cellIs" dxfId="121" priority="2" operator="equal">
      <formula>0</formula>
    </cfRule>
  </conditionalFormatting>
  <conditionalFormatting sqref="B52:B58">
    <cfRule type="cellIs" dxfId="120" priority="1" operator="equal">
      <formula>0</formula>
    </cfRule>
  </conditionalFormatting>
  <conditionalFormatting sqref="B74:B80">
    <cfRule type="cellIs" dxfId="119" priority="14" operator="equal">
      <formula>0</formula>
    </cfRule>
  </conditionalFormatting>
  <conditionalFormatting sqref="B108:B109">
    <cfRule type="cellIs" dxfId="118" priority="10" operator="equal">
      <formula>0</formula>
    </cfRule>
  </conditionalFormatting>
  <conditionalFormatting sqref="B111:B116">
    <cfRule type="cellIs" dxfId="117" priority="9" operator="equal">
      <formula>0</formula>
    </cfRule>
  </conditionalFormatting>
  <conditionalFormatting sqref="B118:B123">
    <cfRule type="cellIs" dxfId="116" priority="8" operator="equal">
      <formula>0</formula>
    </cfRule>
  </conditionalFormatting>
  <conditionalFormatting sqref="C85:H85">
    <cfRule type="cellIs" dxfId="115" priority="13" operator="equal">
      <formula>0</formula>
    </cfRule>
  </conditionalFormatting>
  <conditionalFormatting sqref="C74:AL80">
    <cfRule type="cellIs" dxfId="114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R123"/>
  <sheetViews>
    <sheetView view="pageLayout" topLeftCell="A49" zoomScaleNormal="100" workbookViewId="0">
      <selection activeCell="M13" sqref="M13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26</v>
      </c>
      <c r="AI8" s="147"/>
      <c r="AJ8" s="147"/>
      <c r="AK8" s="147">
        <v>30</v>
      </c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135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>
        <v>3</v>
      </c>
      <c r="P14" s="67"/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>
        <v>2</v>
      </c>
      <c r="V17" s="134">
        <v>2</v>
      </c>
      <c r="W17" s="134"/>
      <c r="X17" s="134">
        <v>3</v>
      </c>
      <c r="Y17" s="134">
        <v>4</v>
      </c>
      <c r="Z17" s="137">
        <v>3</v>
      </c>
      <c r="AA17" s="136">
        <v>3</v>
      </c>
      <c r="AB17" s="134">
        <v>2</v>
      </c>
      <c r="AC17" s="134">
        <v>3</v>
      </c>
      <c r="AD17" s="134">
        <v>3</v>
      </c>
      <c r="AE17" s="134">
        <v>3</v>
      </c>
      <c r="AF17" s="137">
        <v>1</v>
      </c>
      <c r="AG17" s="136">
        <v>2</v>
      </c>
      <c r="AH17" s="134"/>
      <c r="AI17" s="134">
        <v>3</v>
      </c>
      <c r="AJ17" s="135">
        <v>2</v>
      </c>
      <c r="AK17" s="133"/>
      <c r="AL17" s="138"/>
      <c r="AM17" s="95">
        <f t="shared" si="0"/>
        <v>42</v>
      </c>
      <c r="AN17" s="96">
        <f t="shared" si="1"/>
        <v>1050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56</v>
      </c>
      <c r="D63" s="55">
        <f>SUM(AN13:AN19)</f>
        <v>1400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56</v>
      </c>
      <c r="D69" s="83">
        <f>SUM(D63:D68)</f>
        <v>1400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2</v>
      </c>
      <c r="L74" s="17">
        <f t="shared" si="2"/>
        <v>2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4</v>
      </c>
      <c r="AN74" s="121">
        <f>AM74*25</f>
        <v>100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3</v>
      </c>
      <c r="P75" s="17">
        <f t="shared" si="3"/>
        <v>0</v>
      </c>
      <c r="Q75" s="17">
        <f t="shared" si="3"/>
        <v>2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5</v>
      </c>
      <c r="AN75" s="121">
        <f t="shared" ref="AN75:AN79" si="5">AM75*25</f>
        <v>125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3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2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5</v>
      </c>
      <c r="AN76" s="121">
        <f t="shared" si="5"/>
        <v>125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3</v>
      </c>
      <c r="S78" s="17">
        <f t="shared" si="8"/>
        <v>3</v>
      </c>
      <c r="T78" s="117">
        <f t="shared" si="8"/>
        <v>0</v>
      </c>
      <c r="U78" s="17">
        <f t="shared" si="8"/>
        <v>2</v>
      </c>
      <c r="V78" s="17">
        <f t="shared" si="8"/>
        <v>2</v>
      </c>
      <c r="W78" s="17">
        <f t="shared" si="8"/>
        <v>0</v>
      </c>
      <c r="X78" s="17">
        <f t="shared" si="8"/>
        <v>3</v>
      </c>
      <c r="Y78" s="17">
        <f t="shared" si="8"/>
        <v>4</v>
      </c>
      <c r="Z78" s="117">
        <f t="shared" si="8"/>
        <v>3</v>
      </c>
      <c r="AA78" s="17">
        <f t="shared" si="8"/>
        <v>3</v>
      </c>
      <c r="AB78" s="17">
        <f t="shared" si="8"/>
        <v>2</v>
      </c>
      <c r="AC78" s="17">
        <f t="shared" si="8"/>
        <v>3</v>
      </c>
      <c r="AD78" s="17">
        <f t="shared" si="8"/>
        <v>3</v>
      </c>
      <c r="AE78" s="17">
        <f t="shared" si="8"/>
        <v>3</v>
      </c>
      <c r="AF78" s="117">
        <f t="shared" si="8"/>
        <v>1</v>
      </c>
      <c r="AG78" s="17">
        <f t="shared" si="8"/>
        <v>2</v>
      </c>
      <c r="AH78" s="17">
        <f t="shared" si="8"/>
        <v>0</v>
      </c>
      <c r="AI78" s="17">
        <f t="shared" si="8"/>
        <v>3</v>
      </c>
      <c r="AJ78" s="117">
        <f t="shared" si="8"/>
        <v>2</v>
      </c>
      <c r="AK78" s="17">
        <f t="shared" si="8"/>
        <v>0</v>
      </c>
      <c r="AL78" s="117">
        <f t="shared" si="8"/>
        <v>0</v>
      </c>
      <c r="AM78" s="55">
        <f t="shared" si="4"/>
        <v>42</v>
      </c>
      <c r="AN78" s="121">
        <f t="shared" si="5"/>
        <v>1050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2</v>
      </c>
      <c r="L81" s="11">
        <f t="shared" si="11"/>
        <v>2</v>
      </c>
      <c r="M81" s="11">
        <f t="shared" si="11"/>
        <v>0</v>
      </c>
      <c r="N81" s="128">
        <f t="shared" si="11"/>
        <v>0</v>
      </c>
      <c r="O81" s="11">
        <f t="shared" si="11"/>
        <v>3</v>
      </c>
      <c r="P81" s="11">
        <f t="shared" si="11"/>
        <v>3</v>
      </c>
      <c r="Q81" s="11">
        <f t="shared" si="11"/>
        <v>2</v>
      </c>
      <c r="R81" s="11">
        <f t="shared" si="11"/>
        <v>3</v>
      </c>
      <c r="S81" s="11">
        <f t="shared" si="11"/>
        <v>3</v>
      </c>
      <c r="T81" s="128">
        <f t="shared" si="11"/>
        <v>2</v>
      </c>
      <c r="U81" s="11">
        <f t="shared" si="11"/>
        <v>2</v>
      </c>
      <c r="V81" s="11">
        <f t="shared" si="11"/>
        <v>2</v>
      </c>
      <c r="W81" s="11">
        <f t="shared" si="11"/>
        <v>0</v>
      </c>
      <c r="X81" s="11">
        <f t="shared" si="11"/>
        <v>3</v>
      </c>
      <c r="Y81" s="11">
        <f t="shared" si="11"/>
        <v>4</v>
      </c>
      <c r="Z81" s="128">
        <f t="shared" si="11"/>
        <v>3</v>
      </c>
      <c r="AA81" s="11">
        <f t="shared" si="11"/>
        <v>3</v>
      </c>
      <c r="AB81" s="11">
        <f t="shared" si="11"/>
        <v>2</v>
      </c>
      <c r="AC81" s="11">
        <f t="shared" si="11"/>
        <v>3</v>
      </c>
      <c r="AD81" s="11">
        <f t="shared" si="11"/>
        <v>3</v>
      </c>
      <c r="AE81" s="11">
        <f t="shared" si="11"/>
        <v>3</v>
      </c>
      <c r="AF81" s="128">
        <f t="shared" si="11"/>
        <v>1</v>
      </c>
      <c r="AG81" s="11">
        <f t="shared" si="11"/>
        <v>2</v>
      </c>
      <c r="AH81" s="11">
        <f t="shared" si="11"/>
        <v>0</v>
      </c>
      <c r="AI81" s="11">
        <f t="shared" si="11"/>
        <v>3</v>
      </c>
      <c r="AJ81" s="128">
        <f t="shared" si="11"/>
        <v>2</v>
      </c>
      <c r="AK81" s="11">
        <f t="shared" si="11"/>
        <v>0</v>
      </c>
      <c r="AL81" s="128">
        <f t="shared" si="11"/>
        <v>0</v>
      </c>
      <c r="AN81" s="124">
        <f>SUM(AN74:AN80)</f>
        <v>1400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13" priority="6" operator="equal">
      <formula>0</formula>
    </cfRule>
  </conditionalFormatting>
  <conditionalFormatting sqref="B21:B35">
    <cfRule type="cellIs" dxfId="112" priority="4" operator="equal">
      <formula>0</formula>
    </cfRule>
  </conditionalFormatting>
  <conditionalFormatting sqref="B37:B50">
    <cfRule type="cellIs" dxfId="111" priority="2" operator="equal">
      <formula>0</formula>
    </cfRule>
  </conditionalFormatting>
  <conditionalFormatting sqref="B52:B58">
    <cfRule type="cellIs" dxfId="110" priority="1" operator="equal">
      <formula>0</formula>
    </cfRule>
  </conditionalFormatting>
  <conditionalFormatting sqref="B74:B80">
    <cfRule type="cellIs" dxfId="109" priority="15" operator="equal">
      <formula>0</formula>
    </cfRule>
  </conditionalFormatting>
  <conditionalFormatting sqref="B108:B109">
    <cfRule type="cellIs" dxfId="108" priority="11" operator="equal">
      <formula>0</formula>
    </cfRule>
  </conditionalFormatting>
  <conditionalFormatting sqref="B111:B116">
    <cfRule type="cellIs" dxfId="107" priority="10" operator="equal">
      <formula>0</formula>
    </cfRule>
  </conditionalFormatting>
  <conditionalFormatting sqref="B118:B123">
    <cfRule type="cellIs" dxfId="106" priority="9" operator="equal">
      <formula>0</formula>
    </cfRule>
  </conditionalFormatting>
  <conditionalFormatting sqref="C85:H85">
    <cfRule type="cellIs" dxfId="105" priority="14" operator="equal">
      <formula>0</formula>
    </cfRule>
  </conditionalFormatting>
  <conditionalFormatting sqref="C74:AL80">
    <cfRule type="cellIs" dxfId="104" priority="8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R123"/>
  <sheetViews>
    <sheetView view="pageLayout" topLeftCell="A34" zoomScaleNormal="100" workbookViewId="0">
      <selection activeCell="AC66" sqref="AC6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19</v>
      </c>
      <c r="AI8" s="147"/>
      <c r="AJ8" s="147"/>
      <c r="AK8" s="147">
        <v>25</v>
      </c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>
        <v>2</v>
      </c>
      <c r="V17" s="134">
        <v>2</v>
      </c>
      <c r="W17" s="134"/>
      <c r="X17" s="134">
        <v>3</v>
      </c>
      <c r="Y17" s="134">
        <v>4</v>
      </c>
      <c r="Z17" s="137">
        <v>3</v>
      </c>
      <c r="AA17" s="136">
        <v>3</v>
      </c>
      <c r="AB17" s="134">
        <v>2</v>
      </c>
      <c r="AC17" s="134">
        <v>3</v>
      </c>
      <c r="AD17" s="134">
        <v>3</v>
      </c>
      <c r="AE17" s="134">
        <v>3</v>
      </c>
      <c r="AF17" s="137">
        <v>1</v>
      </c>
      <c r="AG17" s="136">
        <v>2</v>
      </c>
      <c r="AH17" s="134"/>
      <c r="AI17" s="134">
        <v>3</v>
      </c>
      <c r="AJ17" s="135">
        <v>2</v>
      </c>
      <c r="AK17" s="133"/>
      <c r="AL17" s="138"/>
      <c r="AM17" s="95">
        <f t="shared" si="0"/>
        <v>42</v>
      </c>
      <c r="AN17" s="96">
        <f t="shared" si="1"/>
        <v>1050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>
        <v>1</v>
      </c>
      <c r="AK29" s="93"/>
      <c r="AL29" s="94"/>
      <c r="AM29" s="95">
        <f t="shared" si="0"/>
        <v>1</v>
      </c>
      <c r="AN29" s="96">
        <f t="shared" si="1"/>
        <v>25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>
        <v>3</v>
      </c>
      <c r="Q31" s="67"/>
      <c r="R31" s="67"/>
      <c r="S31" s="67"/>
      <c r="T31" s="87">
        <v>2</v>
      </c>
      <c r="U31" s="86">
        <v>1</v>
      </c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6</v>
      </c>
      <c r="AN31" s="96">
        <f t="shared" si="1"/>
        <v>150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3</v>
      </c>
      <c r="S33" s="134">
        <v>3</v>
      </c>
      <c r="T33" s="137"/>
      <c r="U33" s="136"/>
      <c r="V33" s="134"/>
      <c r="W33" s="134"/>
      <c r="X33" s="134"/>
      <c r="Y33" s="134"/>
      <c r="Z33" s="137"/>
      <c r="AA33" s="136">
        <v>3</v>
      </c>
      <c r="AB33" s="134"/>
      <c r="AC33" s="134"/>
      <c r="AD33" s="134"/>
      <c r="AE33" s="134">
        <v>1</v>
      </c>
      <c r="AF33" s="137"/>
      <c r="AG33" s="136">
        <v>2</v>
      </c>
      <c r="AH33" s="134"/>
      <c r="AI33" s="134">
        <v>3</v>
      </c>
      <c r="AJ33" s="135">
        <v>2</v>
      </c>
      <c r="AK33" s="133"/>
      <c r="AL33" s="138"/>
      <c r="AM33" s="95">
        <f t="shared" si="0"/>
        <v>17</v>
      </c>
      <c r="AN33" s="96">
        <f t="shared" si="1"/>
        <v>425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47</v>
      </c>
      <c r="D63" s="55">
        <f>SUM(AN13:AN19)</f>
        <v>1175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24</v>
      </c>
      <c r="D65" s="55">
        <f>SUM(AN29:AN35)</f>
        <v>600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71</v>
      </c>
      <c r="D69" s="83">
        <f>SUM(D63:D68)</f>
        <v>1775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ref="I74:AF74" si="3">SUM(I13+I21+I29+I37+I44+I52)</f>
        <v>0</v>
      </c>
      <c r="J74" s="17">
        <f t="shared" si="3"/>
        <v>0</v>
      </c>
      <c r="K74" s="17">
        <f t="shared" si="3"/>
        <v>0</v>
      </c>
      <c r="L74" s="17">
        <f t="shared" si="3"/>
        <v>0</v>
      </c>
      <c r="M74" s="17">
        <f t="shared" si="3"/>
        <v>0</v>
      </c>
      <c r="N74" s="117">
        <f t="shared" si="3"/>
        <v>0</v>
      </c>
      <c r="O74" s="17">
        <f t="shared" si="3"/>
        <v>0</v>
      </c>
      <c r="P74" s="17">
        <f t="shared" si="3"/>
        <v>0</v>
      </c>
      <c r="Q74" s="17">
        <f t="shared" si="3"/>
        <v>0</v>
      </c>
      <c r="R74" s="17">
        <f t="shared" si="3"/>
        <v>0</v>
      </c>
      <c r="S74" s="17">
        <f t="shared" si="3"/>
        <v>0</v>
      </c>
      <c r="T74" s="117">
        <f t="shared" si="3"/>
        <v>0</v>
      </c>
      <c r="U74" s="17">
        <f t="shared" si="3"/>
        <v>0</v>
      </c>
      <c r="V74" s="17">
        <f t="shared" si="3"/>
        <v>0</v>
      </c>
      <c r="W74" s="17">
        <f t="shared" si="3"/>
        <v>0</v>
      </c>
      <c r="X74" s="17">
        <f t="shared" si="3"/>
        <v>0</v>
      </c>
      <c r="Y74" s="17">
        <f t="shared" si="3"/>
        <v>0</v>
      </c>
      <c r="Z74" s="117">
        <f t="shared" si="3"/>
        <v>0</v>
      </c>
      <c r="AA74" s="17">
        <f t="shared" si="3"/>
        <v>0</v>
      </c>
      <c r="AB74" s="17">
        <f t="shared" si="3"/>
        <v>0</v>
      </c>
      <c r="AC74" s="17">
        <f t="shared" si="3"/>
        <v>0</v>
      </c>
      <c r="AD74" s="17">
        <f t="shared" si="3"/>
        <v>0</v>
      </c>
      <c r="AE74" s="17">
        <f t="shared" si="3"/>
        <v>0</v>
      </c>
      <c r="AF74" s="117">
        <f t="shared" si="3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1</v>
      </c>
      <c r="AK74" s="17">
        <f t="shared" si="2"/>
        <v>0</v>
      </c>
      <c r="AL74" s="117">
        <f t="shared" si="2"/>
        <v>0</v>
      </c>
      <c r="AM74" s="55">
        <f>SUM(C74:AL74)</f>
        <v>1</v>
      </c>
      <c r="AN74" s="121">
        <f>AM74*25</f>
        <v>25</v>
      </c>
    </row>
    <row r="75" spans="1:40">
      <c r="A75" s="181"/>
      <c r="B75" s="108" t="s">
        <v>14</v>
      </c>
      <c r="C75" s="17">
        <f t="shared" ref="C75:AL75" si="4">SUM(C14+C22+C30+C38+C45+C53)</f>
        <v>0</v>
      </c>
      <c r="D75" s="17">
        <f t="shared" si="4"/>
        <v>0</v>
      </c>
      <c r="E75" s="17">
        <f t="shared" si="4"/>
        <v>0</v>
      </c>
      <c r="F75" s="17">
        <f t="shared" si="4"/>
        <v>0</v>
      </c>
      <c r="G75" s="17">
        <f t="shared" si="4"/>
        <v>0</v>
      </c>
      <c r="H75" s="109">
        <f t="shared" si="4"/>
        <v>0</v>
      </c>
      <c r="I75" s="17">
        <f t="shared" si="4"/>
        <v>0</v>
      </c>
      <c r="J75" s="17">
        <f t="shared" si="4"/>
        <v>0</v>
      </c>
      <c r="K75" s="17">
        <f t="shared" si="4"/>
        <v>0</v>
      </c>
      <c r="L75" s="17">
        <f t="shared" si="4"/>
        <v>0</v>
      </c>
      <c r="M75" s="17">
        <f t="shared" si="4"/>
        <v>0</v>
      </c>
      <c r="N75" s="117">
        <f t="shared" si="4"/>
        <v>0</v>
      </c>
      <c r="O75" s="17">
        <f t="shared" si="4"/>
        <v>0</v>
      </c>
      <c r="P75" s="17">
        <f t="shared" si="4"/>
        <v>0</v>
      </c>
      <c r="Q75" s="17">
        <f t="shared" si="4"/>
        <v>0</v>
      </c>
      <c r="R75" s="17">
        <f t="shared" si="4"/>
        <v>0</v>
      </c>
      <c r="S75" s="17">
        <f t="shared" si="4"/>
        <v>0</v>
      </c>
      <c r="T75" s="117">
        <f t="shared" si="4"/>
        <v>0</v>
      </c>
      <c r="U75" s="17">
        <f t="shared" si="4"/>
        <v>0</v>
      </c>
      <c r="V75" s="17">
        <f t="shared" si="4"/>
        <v>0</v>
      </c>
      <c r="W75" s="17">
        <f t="shared" si="4"/>
        <v>0</v>
      </c>
      <c r="X75" s="17">
        <f t="shared" si="4"/>
        <v>0</v>
      </c>
      <c r="Y75" s="17">
        <f t="shared" si="4"/>
        <v>0</v>
      </c>
      <c r="Z75" s="117">
        <f t="shared" si="4"/>
        <v>0</v>
      </c>
      <c r="AA75" s="17">
        <f t="shared" si="4"/>
        <v>0</v>
      </c>
      <c r="AB75" s="17">
        <f t="shared" si="4"/>
        <v>0</v>
      </c>
      <c r="AC75" s="17">
        <f t="shared" si="4"/>
        <v>0</v>
      </c>
      <c r="AD75" s="17">
        <f t="shared" si="4"/>
        <v>0</v>
      </c>
      <c r="AE75" s="17">
        <f t="shared" si="4"/>
        <v>0</v>
      </c>
      <c r="AF75" s="117">
        <f t="shared" si="4"/>
        <v>0</v>
      </c>
      <c r="AG75" s="17">
        <f t="shared" si="4"/>
        <v>0</v>
      </c>
      <c r="AH75" s="17">
        <f t="shared" si="4"/>
        <v>0</v>
      </c>
      <c r="AI75" s="17">
        <f t="shared" si="4"/>
        <v>0</v>
      </c>
      <c r="AJ75" s="117">
        <f t="shared" si="4"/>
        <v>0</v>
      </c>
      <c r="AK75" s="17">
        <f t="shared" si="4"/>
        <v>0</v>
      </c>
      <c r="AL75" s="117">
        <f t="shared" si="4"/>
        <v>0</v>
      </c>
      <c r="AM75" s="55">
        <f t="shared" ref="AM75:AM80" si="5">SUM(C75:AL75)</f>
        <v>0</v>
      </c>
      <c r="AN75" s="121">
        <f t="shared" ref="AN75:AN79" si="6">AM75*25</f>
        <v>0</v>
      </c>
    </row>
    <row r="76" spans="1:40">
      <c r="A76" s="181"/>
      <c r="B76" s="108" t="s">
        <v>15</v>
      </c>
      <c r="C76" s="17">
        <f t="shared" ref="C76:AL76" si="7">SUM(C15+C23+C31+C39+C46+C54)</f>
        <v>0</v>
      </c>
      <c r="D76" s="17">
        <f t="shared" si="7"/>
        <v>0</v>
      </c>
      <c r="E76" s="17">
        <f t="shared" si="7"/>
        <v>0</v>
      </c>
      <c r="F76" s="17">
        <f t="shared" si="7"/>
        <v>0</v>
      </c>
      <c r="G76" s="17">
        <f t="shared" si="7"/>
        <v>0</v>
      </c>
      <c r="H76" s="109">
        <f t="shared" si="7"/>
        <v>0</v>
      </c>
      <c r="I76" s="17">
        <f t="shared" si="7"/>
        <v>0</v>
      </c>
      <c r="J76" s="17">
        <f t="shared" si="7"/>
        <v>0</v>
      </c>
      <c r="K76" s="17">
        <f t="shared" si="7"/>
        <v>0</v>
      </c>
      <c r="L76" s="17">
        <f t="shared" si="7"/>
        <v>0</v>
      </c>
      <c r="M76" s="17">
        <f t="shared" si="7"/>
        <v>0</v>
      </c>
      <c r="N76" s="117">
        <f t="shared" si="7"/>
        <v>0</v>
      </c>
      <c r="O76" s="17">
        <f t="shared" si="7"/>
        <v>0</v>
      </c>
      <c r="P76" s="17">
        <f t="shared" si="7"/>
        <v>6</v>
      </c>
      <c r="Q76" s="17">
        <f t="shared" si="7"/>
        <v>0</v>
      </c>
      <c r="R76" s="17">
        <f t="shared" si="7"/>
        <v>0</v>
      </c>
      <c r="S76" s="17">
        <f t="shared" si="7"/>
        <v>0</v>
      </c>
      <c r="T76" s="117">
        <f t="shared" si="7"/>
        <v>4</v>
      </c>
      <c r="U76" s="17">
        <f t="shared" si="7"/>
        <v>1</v>
      </c>
      <c r="V76" s="17">
        <f t="shared" si="7"/>
        <v>0</v>
      </c>
      <c r="W76" s="17">
        <f t="shared" si="7"/>
        <v>0</v>
      </c>
      <c r="X76" s="17">
        <f t="shared" si="7"/>
        <v>0</v>
      </c>
      <c r="Y76" s="17">
        <f t="shared" si="7"/>
        <v>0</v>
      </c>
      <c r="Z76" s="117">
        <f t="shared" si="7"/>
        <v>0</v>
      </c>
      <c r="AA76" s="17">
        <f t="shared" si="7"/>
        <v>0</v>
      </c>
      <c r="AB76" s="17">
        <f t="shared" si="7"/>
        <v>0</v>
      </c>
      <c r="AC76" s="17">
        <f t="shared" si="7"/>
        <v>0</v>
      </c>
      <c r="AD76" s="17">
        <f t="shared" si="7"/>
        <v>0</v>
      </c>
      <c r="AE76" s="17">
        <f t="shared" si="7"/>
        <v>0</v>
      </c>
      <c r="AF76" s="117">
        <f t="shared" si="7"/>
        <v>0</v>
      </c>
      <c r="AG76" s="17">
        <f t="shared" si="7"/>
        <v>0</v>
      </c>
      <c r="AH76" s="17">
        <f t="shared" si="7"/>
        <v>0</v>
      </c>
      <c r="AI76" s="17">
        <f t="shared" si="7"/>
        <v>0</v>
      </c>
      <c r="AJ76" s="117">
        <f t="shared" si="7"/>
        <v>0</v>
      </c>
      <c r="AK76" s="17">
        <f t="shared" si="7"/>
        <v>0</v>
      </c>
      <c r="AL76" s="117">
        <f t="shared" si="7"/>
        <v>0</v>
      </c>
      <c r="AM76" s="55">
        <f t="shared" si="5"/>
        <v>11</v>
      </c>
      <c r="AN76" s="121">
        <f t="shared" si="6"/>
        <v>275</v>
      </c>
    </row>
    <row r="77" spans="1:40">
      <c r="A77" s="181"/>
      <c r="B77" s="108" t="s">
        <v>142</v>
      </c>
      <c r="C77" s="17">
        <f t="shared" ref="C77:AL77" si="8">SUM(C16+C24+C32+C40+C47+C55)</f>
        <v>0</v>
      </c>
      <c r="D77" s="17">
        <f t="shared" si="8"/>
        <v>0</v>
      </c>
      <c r="E77" s="17">
        <f t="shared" si="8"/>
        <v>0</v>
      </c>
      <c r="F77" s="17">
        <f t="shared" si="8"/>
        <v>0</v>
      </c>
      <c r="G77" s="17">
        <f t="shared" si="8"/>
        <v>0</v>
      </c>
      <c r="H77" s="109">
        <f t="shared" si="8"/>
        <v>0</v>
      </c>
      <c r="I77" s="17">
        <f t="shared" si="8"/>
        <v>0</v>
      </c>
      <c r="J77" s="17">
        <f t="shared" si="8"/>
        <v>0</v>
      </c>
      <c r="K77" s="17">
        <f t="shared" si="8"/>
        <v>0</v>
      </c>
      <c r="L77" s="17">
        <f t="shared" si="8"/>
        <v>0</v>
      </c>
      <c r="M77" s="17">
        <f t="shared" si="8"/>
        <v>0</v>
      </c>
      <c r="N77" s="117">
        <f t="shared" si="8"/>
        <v>0</v>
      </c>
      <c r="O77" s="17">
        <f t="shared" si="8"/>
        <v>0</v>
      </c>
      <c r="P77" s="17">
        <f t="shared" si="8"/>
        <v>0</v>
      </c>
      <c r="Q77" s="17">
        <f t="shared" si="8"/>
        <v>0</v>
      </c>
      <c r="R77" s="17">
        <f t="shared" si="8"/>
        <v>0</v>
      </c>
      <c r="S77" s="17">
        <f t="shared" si="8"/>
        <v>0</v>
      </c>
      <c r="T77" s="117">
        <f t="shared" si="8"/>
        <v>0</v>
      </c>
      <c r="U77" s="17">
        <f t="shared" si="8"/>
        <v>0</v>
      </c>
      <c r="V77" s="17">
        <f t="shared" si="8"/>
        <v>0</v>
      </c>
      <c r="W77" s="17">
        <f t="shared" si="8"/>
        <v>0</v>
      </c>
      <c r="X77" s="17">
        <f t="shared" si="8"/>
        <v>0</v>
      </c>
      <c r="Y77" s="17">
        <f t="shared" si="8"/>
        <v>0</v>
      </c>
      <c r="Z77" s="117">
        <f t="shared" si="8"/>
        <v>0</v>
      </c>
      <c r="AA77" s="17">
        <f t="shared" si="8"/>
        <v>0</v>
      </c>
      <c r="AB77" s="17">
        <f t="shared" si="8"/>
        <v>0</v>
      </c>
      <c r="AC77" s="17">
        <f t="shared" si="8"/>
        <v>0</v>
      </c>
      <c r="AD77" s="17">
        <f t="shared" si="8"/>
        <v>0</v>
      </c>
      <c r="AE77" s="17">
        <f t="shared" si="8"/>
        <v>0</v>
      </c>
      <c r="AF77" s="117">
        <f t="shared" si="8"/>
        <v>0</v>
      </c>
      <c r="AG77" s="17">
        <f t="shared" si="8"/>
        <v>0</v>
      </c>
      <c r="AH77" s="17">
        <f t="shared" si="8"/>
        <v>0</v>
      </c>
      <c r="AI77" s="17">
        <f t="shared" si="8"/>
        <v>0</v>
      </c>
      <c r="AJ77" s="117">
        <f t="shared" si="8"/>
        <v>0</v>
      </c>
      <c r="AK77" s="17">
        <f t="shared" si="8"/>
        <v>0</v>
      </c>
      <c r="AL77" s="117">
        <f t="shared" si="8"/>
        <v>0</v>
      </c>
      <c r="AM77" s="55">
        <f t="shared" si="5"/>
        <v>0</v>
      </c>
      <c r="AN77" s="121">
        <f t="shared" si="6"/>
        <v>0</v>
      </c>
    </row>
    <row r="78" spans="1:40">
      <c r="A78" s="181"/>
      <c r="B78" s="108" t="s">
        <v>16</v>
      </c>
      <c r="C78" s="17">
        <f t="shared" ref="C78:AL78" si="9">SUM(C17+C25+C33+C41+C48+C56)</f>
        <v>0</v>
      </c>
      <c r="D78" s="17">
        <f t="shared" si="9"/>
        <v>0</v>
      </c>
      <c r="E78" s="17">
        <f t="shared" si="9"/>
        <v>0</v>
      </c>
      <c r="F78" s="17">
        <f t="shared" si="9"/>
        <v>0</v>
      </c>
      <c r="G78" s="17">
        <f t="shared" si="9"/>
        <v>0</v>
      </c>
      <c r="H78" s="109">
        <f t="shared" si="9"/>
        <v>0</v>
      </c>
      <c r="I78" s="17">
        <f t="shared" si="9"/>
        <v>0</v>
      </c>
      <c r="J78" s="17">
        <f t="shared" si="9"/>
        <v>0</v>
      </c>
      <c r="K78" s="17">
        <f t="shared" si="9"/>
        <v>0</v>
      </c>
      <c r="L78" s="17">
        <f t="shared" si="9"/>
        <v>0</v>
      </c>
      <c r="M78" s="17">
        <f t="shared" si="9"/>
        <v>0</v>
      </c>
      <c r="N78" s="117">
        <f t="shared" si="9"/>
        <v>0</v>
      </c>
      <c r="O78" s="17">
        <f t="shared" si="9"/>
        <v>0</v>
      </c>
      <c r="P78" s="17">
        <f t="shared" si="9"/>
        <v>0</v>
      </c>
      <c r="Q78" s="17">
        <f t="shared" si="9"/>
        <v>0</v>
      </c>
      <c r="R78" s="17">
        <f t="shared" si="9"/>
        <v>6</v>
      </c>
      <c r="S78" s="17">
        <f t="shared" si="9"/>
        <v>6</v>
      </c>
      <c r="T78" s="117">
        <f t="shared" si="9"/>
        <v>0</v>
      </c>
      <c r="U78" s="17">
        <f t="shared" si="9"/>
        <v>2</v>
      </c>
      <c r="V78" s="17">
        <f t="shared" si="9"/>
        <v>2</v>
      </c>
      <c r="W78" s="17">
        <f t="shared" si="9"/>
        <v>0</v>
      </c>
      <c r="X78" s="17">
        <f t="shared" si="9"/>
        <v>3</v>
      </c>
      <c r="Y78" s="17">
        <f t="shared" si="9"/>
        <v>4</v>
      </c>
      <c r="Z78" s="117">
        <f t="shared" si="9"/>
        <v>3</v>
      </c>
      <c r="AA78" s="17">
        <f t="shared" si="9"/>
        <v>6</v>
      </c>
      <c r="AB78" s="17">
        <f t="shared" si="9"/>
        <v>2</v>
      </c>
      <c r="AC78" s="17">
        <f t="shared" si="9"/>
        <v>3</v>
      </c>
      <c r="AD78" s="17">
        <f t="shared" si="9"/>
        <v>3</v>
      </c>
      <c r="AE78" s="17">
        <f t="shared" si="9"/>
        <v>4</v>
      </c>
      <c r="AF78" s="117">
        <f t="shared" si="9"/>
        <v>1</v>
      </c>
      <c r="AG78" s="17">
        <f t="shared" si="9"/>
        <v>4</v>
      </c>
      <c r="AH78" s="17">
        <f t="shared" si="9"/>
        <v>0</v>
      </c>
      <c r="AI78" s="17">
        <f t="shared" si="9"/>
        <v>6</v>
      </c>
      <c r="AJ78" s="117">
        <f t="shared" si="9"/>
        <v>4</v>
      </c>
      <c r="AK78" s="17">
        <f t="shared" si="9"/>
        <v>0</v>
      </c>
      <c r="AL78" s="117">
        <f t="shared" si="9"/>
        <v>0</v>
      </c>
      <c r="AM78" s="55">
        <f t="shared" si="5"/>
        <v>59</v>
      </c>
      <c r="AN78" s="121">
        <f t="shared" si="6"/>
        <v>1475</v>
      </c>
    </row>
    <row r="79" spans="1:40">
      <c r="A79" s="181"/>
      <c r="B79" s="108" t="s">
        <v>17</v>
      </c>
      <c r="C79" s="17">
        <f t="shared" ref="C79:AL79" si="10">SUM(C18+C26+C34+C42+C49+C57)</f>
        <v>0</v>
      </c>
      <c r="D79" s="17">
        <f t="shared" si="10"/>
        <v>0</v>
      </c>
      <c r="E79" s="17">
        <f t="shared" si="10"/>
        <v>0</v>
      </c>
      <c r="F79" s="17">
        <f t="shared" si="10"/>
        <v>0</v>
      </c>
      <c r="G79" s="17">
        <f t="shared" si="10"/>
        <v>0</v>
      </c>
      <c r="H79" s="109">
        <f t="shared" si="10"/>
        <v>0</v>
      </c>
      <c r="I79" s="17">
        <f t="shared" si="10"/>
        <v>0</v>
      </c>
      <c r="J79" s="17">
        <f t="shared" si="10"/>
        <v>0</v>
      </c>
      <c r="K79" s="17">
        <f t="shared" si="10"/>
        <v>0</v>
      </c>
      <c r="L79" s="17">
        <f t="shared" si="10"/>
        <v>0</v>
      </c>
      <c r="M79" s="17">
        <f t="shared" si="10"/>
        <v>0</v>
      </c>
      <c r="N79" s="117">
        <f t="shared" si="10"/>
        <v>0</v>
      </c>
      <c r="O79" s="17">
        <f t="shared" si="10"/>
        <v>0</v>
      </c>
      <c r="P79" s="17">
        <f t="shared" si="10"/>
        <v>0</v>
      </c>
      <c r="Q79" s="17">
        <f t="shared" si="10"/>
        <v>0</v>
      </c>
      <c r="R79" s="17">
        <f t="shared" si="10"/>
        <v>0</v>
      </c>
      <c r="S79" s="17">
        <f t="shared" si="10"/>
        <v>0</v>
      </c>
      <c r="T79" s="117">
        <f t="shared" si="10"/>
        <v>0</v>
      </c>
      <c r="U79" s="17">
        <f t="shared" si="10"/>
        <v>0</v>
      </c>
      <c r="V79" s="17">
        <f t="shared" si="10"/>
        <v>0</v>
      </c>
      <c r="W79" s="17">
        <f t="shared" si="10"/>
        <v>0</v>
      </c>
      <c r="X79" s="17">
        <f t="shared" si="10"/>
        <v>0</v>
      </c>
      <c r="Y79" s="17">
        <f t="shared" si="10"/>
        <v>0</v>
      </c>
      <c r="Z79" s="117">
        <f t="shared" si="10"/>
        <v>0</v>
      </c>
      <c r="AA79" s="17">
        <f t="shared" si="10"/>
        <v>0</v>
      </c>
      <c r="AB79" s="17">
        <f t="shared" si="10"/>
        <v>0</v>
      </c>
      <c r="AC79" s="17">
        <f t="shared" si="10"/>
        <v>0</v>
      </c>
      <c r="AD79" s="17">
        <f t="shared" si="10"/>
        <v>0</v>
      </c>
      <c r="AE79" s="17">
        <f t="shared" si="10"/>
        <v>0</v>
      </c>
      <c r="AF79" s="117">
        <f t="shared" si="10"/>
        <v>0</v>
      </c>
      <c r="AG79" s="17">
        <f t="shared" si="10"/>
        <v>0</v>
      </c>
      <c r="AH79" s="17">
        <f t="shared" si="10"/>
        <v>0</v>
      </c>
      <c r="AI79" s="17">
        <f t="shared" si="10"/>
        <v>0</v>
      </c>
      <c r="AJ79" s="117">
        <f t="shared" si="10"/>
        <v>0</v>
      </c>
      <c r="AK79" s="17">
        <f t="shared" si="10"/>
        <v>0</v>
      </c>
      <c r="AL79" s="117">
        <f t="shared" si="10"/>
        <v>0</v>
      </c>
      <c r="AM79" s="55">
        <f t="shared" si="5"/>
        <v>0</v>
      </c>
      <c r="AN79" s="121">
        <f t="shared" si="6"/>
        <v>0</v>
      </c>
    </row>
    <row r="80" spans="1:40">
      <c r="A80" s="181"/>
      <c r="B80" s="108" t="s">
        <v>23</v>
      </c>
      <c r="C80" s="17">
        <f t="shared" ref="C80:AL80" si="11">SUM(C19+C27+C35+C43+C50+C58)</f>
        <v>0</v>
      </c>
      <c r="D80" s="17">
        <f t="shared" si="11"/>
        <v>0</v>
      </c>
      <c r="E80" s="17">
        <f t="shared" si="11"/>
        <v>0</v>
      </c>
      <c r="F80" s="17">
        <f t="shared" si="11"/>
        <v>0</v>
      </c>
      <c r="G80" s="17">
        <f t="shared" si="11"/>
        <v>0</v>
      </c>
      <c r="H80" s="126">
        <f t="shared" si="11"/>
        <v>0</v>
      </c>
      <c r="I80" s="17">
        <f t="shared" si="11"/>
        <v>0</v>
      </c>
      <c r="J80" s="17">
        <f t="shared" si="11"/>
        <v>0</v>
      </c>
      <c r="K80" s="17">
        <f t="shared" si="11"/>
        <v>0</v>
      </c>
      <c r="L80" s="17">
        <f t="shared" si="11"/>
        <v>0</v>
      </c>
      <c r="M80" s="17">
        <f t="shared" si="11"/>
        <v>0</v>
      </c>
      <c r="N80" s="117">
        <f t="shared" si="11"/>
        <v>0</v>
      </c>
      <c r="O80" s="17">
        <f t="shared" si="11"/>
        <v>0</v>
      </c>
      <c r="P80" s="17">
        <f t="shared" si="11"/>
        <v>0</v>
      </c>
      <c r="Q80" s="17">
        <f t="shared" si="11"/>
        <v>0</v>
      </c>
      <c r="R80" s="17">
        <f t="shared" si="11"/>
        <v>0</v>
      </c>
      <c r="S80" s="17">
        <f t="shared" si="11"/>
        <v>0</v>
      </c>
      <c r="T80" s="117">
        <f t="shared" si="11"/>
        <v>0</v>
      </c>
      <c r="U80" s="17">
        <f t="shared" si="11"/>
        <v>0</v>
      </c>
      <c r="V80" s="17">
        <f t="shared" si="11"/>
        <v>0</v>
      </c>
      <c r="W80" s="17">
        <f t="shared" si="11"/>
        <v>0</v>
      </c>
      <c r="X80" s="17">
        <f t="shared" si="11"/>
        <v>0</v>
      </c>
      <c r="Y80" s="17">
        <f t="shared" si="11"/>
        <v>0</v>
      </c>
      <c r="Z80" s="117">
        <f t="shared" si="11"/>
        <v>0</v>
      </c>
      <c r="AA80" s="17">
        <f t="shared" si="11"/>
        <v>0</v>
      </c>
      <c r="AB80" s="17">
        <f t="shared" si="11"/>
        <v>0</v>
      </c>
      <c r="AC80" s="17">
        <f t="shared" si="11"/>
        <v>0</v>
      </c>
      <c r="AD80" s="17">
        <f t="shared" si="11"/>
        <v>0</v>
      </c>
      <c r="AE80" s="17">
        <f t="shared" si="11"/>
        <v>0</v>
      </c>
      <c r="AF80" s="117">
        <f t="shared" si="11"/>
        <v>0</v>
      </c>
      <c r="AG80" s="17">
        <f t="shared" si="11"/>
        <v>0</v>
      </c>
      <c r="AH80" s="17">
        <f t="shared" si="11"/>
        <v>0</v>
      </c>
      <c r="AI80" s="17">
        <f t="shared" si="11"/>
        <v>0</v>
      </c>
      <c r="AJ80" s="117">
        <f t="shared" si="11"/>
        <v>0</v>
      </c>
      <c r="AK80" s="17">
        <f t="shared" si="11"/>
        <v>0</v>
      </c>
      <c r="AL80" s="117">
        <f t="shared" si="11"/>
        <v>0</v>
      </c>
      <c r="AM80" s="55">
        <f t="shared" si="5"/>
        <v>0</v>
      </c>
      <c r="AN80" s="121">
        <v>40</v>
      </c>
    </row>
    <row r="81" spans="1:40" ht="17.25" customHeight="1">
      <c r="C81" s="11">
        <f>SUM(C74:C80)</f>
        <v>0</v>
      </c>
      <c r="D81" s="11">
        <f t="shared" ref="D81:AL81" si="12">SUM(D74:D80)</f>
        <v>0</v>
      </c>
      <c r="E81" s="11">
        <f t="shared" si="12"/>
        <v>0</v>
      </c>
      <c r="F81" s="11">
        <f t="shared" si="12"/>
        <v>0</v>
      </c>
      <c r="G81" s="11">
        <f t="shared" si="12"/>
        <v>0</v>
      </c>
      <c r="H81" s="127">
        <f t="shared" si="12"/>
        <v>0</v>
      </c>
      <c r="I81" s="11">
        <f t="shared" si="12"/>
        <v>0</v>
      </c>
      <c r="J81" s="11">
        <f t="shared" si="12"/>
        <v>0</v>
      </c>
      <c r="K81" s="11">
        <f t="shared" si="12"/>
        <v>0</v>
      </c>
      <c r="L81" s="11">
        <f t="shared" si="12"/>
        <v>0</v>
      </c>
      <c r="M81" s="11">
        <f t="shared" si="12"/>
        <v>0</v>
      </c>
      <c r="N81" s="128">
        <f t="shared" si="12"/>
        <v>0</v>
      </c>
      <c r="O81" s="11">
        <f t="shared" si="12"/>
        <v>0</v>
      </c>
      <c r="P81" s="11">
        <f t="shared" si="12"/>
        <v>6</v>
      </c>
      <c r="Q81" s="11">
        <f t="shared" si="12"/>
        <v>0</v>
      </c>
      <c r="R81" s="11">
        <f t="shared" si="12"/>
        <v>6</v>
      </c>
      <c r="S81" s="11">
        <f t="shared" si="12"/>
        <v>6</v>
      </c>
      <c r="T81" s="128">
        <f t="shared" si="12"/>
        <v>4</v>
      </c>
      <c r="U81" s="11">
        <f t="shared" si="12"/>
        <v>3</v>
      </c>
      <c r="V81" s="11">
        <f t="shared" si="12"/>
        <v>2</v>
      </c>
      <c r="W81" s="11">
        <f t="shared" si="12"/>
        <v>0</v>
      </c>
      <c r="X81" s="11">
        <f t="shared" si="12"/>
        <v>3</v>
      </c>
      <c r="Y81" s="11">
        <f t="shared" si="12"/>
        <v>4</v>
      </c>
      <c r="Z81" s="128">
        <f t="shared" si="12"/>
        <v>3</v>
      </c>
      <c r="AA81" s="11">
        <f t="shared" si="12"/>
        <v>6</v>
      </c>
      <c r="AB81" s="11">
        <f t="shared" si="12"/>
        <v>2</v>
      </c>
      <c r="AC81" s="11">
        <f t="shared" si="12"/>
        <v>3</v>
      </c>
      <c r="AD81" s="11">
        <f t="shared" si="12"/>
        <v>3</v>
      </c>
      <c r="AE81" s="11">
        <f t="shared" si="12"/>
        <v>4</v>
      </c>
      <c r="AF81" s="128">
        <f t="shared" si="12"/>
        <v>1</v>
      </c>
      <c r="AG81" s="11">
        <f t="shared" si="12"/>
        <v>4</v>
      </c>
      <c r="AH81" s="11">
        <f t="shared" si="12"/>
        <v>0</v>
      </c>
      <c r="AI81" s="11">
        <f t="shared" si="12"/>
        <v>6</v>
      </c>
      <c r="AJ81" s="128">
        <f t="shared" si="12"/>
        <v>5</v>
      </c>
      <c r="AK81" s="11">
        <f t="shared" si="12"/>
        <v>0</v>
      </c>
      <c r="AL81" s="128">
        <f t="shared" si="12"/>
        <v>0</v>
      </c>
      <c r="AN81" s="124">
        <f>SUM(AN74:AN80)</f>
        <v>1815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03" priority="6" operator="equal">
      <formula>0</formula>
    </cfRule>
  </conditionalFormatting>
  <conditionalFormatting sqref="B21:B35">
    <cfRule type="cellIs" dxfId="102" priority="4" operator="equal">
      <formula>0</formula>
    </cfRule>
  </conditionalFormatting>
  <conditionalFormatting sqref="B37:B50">
    <cfRule type="cellIs" dxfId="101" priority="2" operator="equal">
      <formula>0</formula>
    </cfRule>
  </conditionalFormatting>
  <conditionalFormatting sqref="B52:B58">
    <cfRule type="cellIs" dxfId="100" priority="1" operator="equal">
      <formula>0</formula>
    </cfRule>
  </conditionalFormatting>
  <conditionalFormatting sqref="B74:B80">
    <cfRule type="cellIs" dxfId="99" priority="26" operator="equal">
      <formula>0</formula>
    </cfRule>
  </conditionalFormatting>
  <conditionalFormatting sqref="B108:B109">
    <cfRule type="cellIs" dxfId="98" priority="22" operator="equal">
      <formula>0</formula>
    </cfRule>
  </conditionalFormatting>
  <conditionalFormatting sqref="B111:B116">
    <cfRule type="cellIs" dxfId="97" priority="21" operator="equal">
      <formula>0</formula>
    </cfRule>
  </conditionalFormatting>
  <conditionalFormatting sqref="B118:B123">
    <cfRule type="cellIs" dxfId="96" priority="20" operator="equal">
      <formula>0</formula>
    </cfRule>
  </conditionalFormatting>
  <conditionalFormatting sqref="C85:H85">
    <cfRule type="cellIs" dxfId="95" priority="25" operator="equal">
      <formula>0</formula>
    </cfRule>
  </conditionalFormatting>
  <conditionalFormatting sqref="C74:AL80">
    <cfRule type="cellIs" dxfId="94" priority="1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R123"/>
  <sheetViews>
    <sheetView view="pageLayout" topLeftCell="B37" zoomScaleNormal="100" workbookViewId="0">
      <selection activeCell="V16" sqref="V1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2851562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/>
      <c r="AI8" s="147"/>
      <c r="AJ8" s="147"/>
      <c r="AK8" s="147"/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 t="s">
        <v>122</v>
      </c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>
        <v>1</v>
      </c>
      <c r="G64" s="166"/>
      <c r="H64" s="166">
        <v>4</v>
      </c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0</v>
      </c>
      <c r="L74" s="17">
        <f t="shared" si="2"/>
        <v>0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0</v>
      </c>
      <c r="Q75" s="17">
        <f t="shared" si="3"/>
        <v>0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0</v>
      </c>
      <c r="AN75" s="121">
        <f t="shared" ref="AN75:AN79" si="5">AM75*25</f>
        <v>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0</v>
      </c>
      <c r="AN76" s="121">
        <f t="shared" si="5"/>
        <v>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0</v>
      </c>
      <c r="L81" s="11">
        <f t="shared" si="11"/>
        <v>0</v>
      </c>
      <c r="M81" s="11">
        <f t="shared" si="11"/>
        <v>0</v>
      </c>
      <c r="N81" s="128">
        <f t="shared" si="11"/>
        <v>0</v>
      </c>
      <c r="O81" s="11">
        <f t="shared" si="11"/>
        <v>0</v>
      </c>
      <c r="P81" s="11">
        <f t="shared" si="11"/>
        <v>0</v>
      </c>
      <c r="Q81" s="11">
        <f t="shared" si="11"/>
        <v>0</v>
      </c>
      <c r="R81" s="11">
        <f t="shared" si="11"/>
        <v>0</v>
      </c>
      <c r="S81" s="11">
        <f t="shared" si="11"/>
        <v>0</v>
      </c>
      <c r="T81" s="128">
        <f t="shared" si="11"/>
        <v>0</v>
      </c>
      <c r="U81" s="11">
        <f t="shared" si="11"/>
        <v>0</v>
      </c>
      <c r="V81" s="11">
        <f t="shared" si="11"/>
        <v>0</v>
      </c>
      <c r="W81" s="11">
        <f t="shared" si="11"/>
        <v>0</v>
      </c>
      <c r="X81" s="11">
        <f t="shared" si="11"/>
        <v>0</v>
      </c>
      <c r="Y81" s="11">
        <f t="shared" si="11"/>
        <v>0</v>
      </c>
      <c r="Z81" s="128">
        <f t="shared" si="11"/>
        <v>0</v>
      </c>
      <c r="AA81" s="11">
        <f t="shared" si="11"/>
        <v>0</v>
      </c>
      <c r="AB81" s="11">
        <f t="shared" si="11"/>
        <v>0</v>
      </c>
      <c r="AC81" s="11">
        <f t="shared" si="11"/>
        <v>0</v>
      </c>
      <c r="AD81" s="11">
        <f t="shared" si="11"/>
        <v>0</v>
      </c>
      <c r="AE81" s="11">
        <f t="shared" si="11"/>
        <v>0</v>
      </c>
      <c r="AF81" s="128">
        <f t="shared" si="11"/>
        <v>0</v>
      </c>
      <c r="AG81" s="11">
        <f t="shared" si="11"/>
        <v>0</v>
      </c>
      <c r="AH81" s="11">
        <f t="shared" si="11"/>
        <v>0</v>
      </c>
      <c r="AI81" s="11">
        <f t="shared" si="11"/>
        <v>0</v>
      </c>
      <c r="AJ81" s="128">
        <f t="shared" si="11"/>
        <v>0</v>
      </c>
      <c r="AK81" s="11">
        <f t="shared" si="11"/>
        <v>0</v>
      </c>
      <c r="AL81" s="128">
        <f t="shared" si="11"/>
        <v>0</v>
      </c>
      <c r="AN81" s="124">
        <f>SUM(AN74:AN80)</f>
        <v>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93" priority="6" operator="equal">
      <formula>0</formula>
    </cfRule>
  </conditionalFormatting>
  <conditionalFormatting sqref="B21:B35">
    <cfRule type="cellIs" dxfId="92" priority="4" operator="equal">
      <formula>0</formula>
    </cfRule>
  </conditionalFormatting>
  <conditionalFormatting sqref="B37:B50">
    <cfRule type="cellIs" dxfId="91" priority="2" operator="equal">
      <formula>0</formula>
    </cfRule>
  </conditionalFormatting>
  <conditionalFormatting sqref="B52:B58">
    <cfRule type="cellIs" dxfId="90" priority="1" operator="equal">
      <formula>0</formula>
    </cfRule>
  </conditionalFormatting>
  <conditionalFormatting sqref="B74:B80">
    <cfRule type="cellIs" dxfId="89" priority="16" operator="equal">
      <formula>0</formula>
    </cfRule>
  </conditionalFormatting>
  <conditionalFormatting sqref="B108:B109">
    <cfRule type="cellIs" dxfId="88" priority="12" operator="equal">
      <formula>0</formula>
    </cfRule>
  </conditionalFormatting>
  <conditionalFormatting sqref="B111:B116">
    <cfRule type="cellIs" dxfId="87" priority="11" operator="equal">
      <formula>0</formula>
    </cfRule>
  </conditionalFormatting>
  <conditionalFormatting sqref="B118:B123">
    <cfRule type="cellIs" dxfId="86" priority="10" operator="equal">
      <formula>0</formula>
    </cfRule>
  </conditionalFormatting>
  <conditionalFormatting sqref="C85:H85">
    <cfRule type="cellIs" dxfId="85" priority="15" operator="equal">
      <formula>0</formula>
    </cfRule>
  </conditionalFormatting>
  <conditionalFormatting sqref="C74:AL80">
    <cfRule type="cellIs" dxfId="84" priority="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R123"/>
  <sheetViews>
    <sheetView view="pageLayout" zoomScaleNormal="100" workbookViewId="0">
      <selection activeCell="AK8" sqref="AK8:AM9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14062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/>
      <c r="AI8" s="147"/>
      <c r="AJ8" s="147"/>
      <c r="AK8" s="147"/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 t="s">
        <v>122</v>
      </c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>
        <v>1</v>
      </c>
      <c r="G64" s="166"/>
      <c r="H64" s="166">
        <v>4</v>
      </c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0</v>
      </c>
      <c r="L74" s="17">
        <f t="shared" si="2"/>
        <v>0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0</v>
      </c>
      <c r="Q75" s="17">
        <f t="shared" si="3"/>
        <v>0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0</v>
      </c>
      <c r="AN75" s="121">
        <f t="shared" ref="AN75:AN79" si="5">AM75*25</f>
        <v>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0</v>
      </c>
      <c r="AN76" s="121">
        <f t="shared" si="5"/>
        <v>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0</v>
      </c>
      <c r="L81" s="11">
        <f t="shared" si="11"/>
        <v>0</v>
      </c>
      <c r="M81" s="11">
        <f t="shared" si="11"/>
        <v>0</v>
      </c>
      <c r="N81" s="128">
        <f t="shared" si="11"/>
        <v>0</v>
      </c>
      <c r="O81" s="11">
        <f t="shared" si="11"/>
        <v>0</v>
      </c>
      <c r="P81" s="11">
        <f t="shared" si="11"/>
        <v>0</v>
      </c>
      <c r="Q81" s="11">
        <f t="shared" si="11"/>
        <v>0</v>
      </c>
      <c r="R81" s="11">
        <f t="shared" si="11"/>
        <v>0</v>
      </c>
      <c r="S81" s="11">
        <f t="shared" si="11"/>
        <v>0</v>
      </c>
      <c r="T81" s="128">
        <f t="shared" si="11"/>
        <v>0</v>
      </c>
      <c r="U81" s="11">
        <f t="shared" si="11"/>
        <v>0</v>
      </c>
      <c r="V81" s="11">
        <f t="shared" si="11"/>
        <v>0</v>
      </c>
      <c r="W81" s="11">
        <f t="shared" si="11"/>
        <v>0</v>
      </c>
      <c r="X81" s="11">
        <f t="shared" si="11"/>
        <v>0</v>
      </c>
      <c r="Y81" s="11">
        <f t="shared" si="11"/>
        <v>0</v>
      </c>
      <c r="Z81" s="128">
        <f t="shared" si="11"/>
        <v>0</v>
      </c>
      <c r="AA81" s="11">
        <f t="shared" si="11"/>
        <v>0</v>
      </c>
      <c r="AB81" s="11">
        <f t="shared" si="11"/>
        <v>0</v>
      </c>
      <c r="AC81" s="11">
        <f t="shared" si="11"/>
        <v>0</v>
      </c>
      <c r="AD81" s="11">
        <f t="shared" si="11"/>
        <v>0</v>
      </c>
      <c r="AE81" s="11">
        <f t="shared" si="11"/>
        <v>0</v>
      </c>
      <c r="AF81" s="128">
        <f t="shared" si="11"/>
        <v>0</v>
      </c>
      <c r="AG81" s="11">
        <f t="shared" si="11"/>
        <v>0</v>
      </c>
      <c r="AH81" s="11">
        <f t="shared" si="11"/>
        <v>0</v>
      </c>
      <c r="AI81" s="11">
        <f t="shared" si="11"/>
        <v>0</v>
      </c>
      <c r="AJ81" s="128">
        <f t="shared" si="11"/>
        <v>0</v>
      </c>
      <c r="AK81" s="11">
        <f t="shared" si="11"/>
        <v>0</v>
      </c>
      <c r="AL81" s="128">
        <f t="shared" si="11"/>
        <v>0</v>
      </c>
      <c r="AN81" s="124">
        <f>SUM(AN74:AN80)</f>
        <v>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83" priority="6" operator="equal">
      <formula>0</formula>
    </cfRule>
  </conditionalFormatting>
  <conditionalFormatting sqref="B21:B35">
    <cfRule type="cellIs" dxfId="82" priority="4" operator="equal">
      <formula>0</formula>
    </cfRule>
  </conditionalFormatting>
  <conditionalFormatting sqref="B37:B50">
    <cfRule type="cellIs" dxfId="81" priority="2" operator="equal">
      <formula>0</formula>
    </cfRule>
  </conditionalFormatting>
  <conditionalFormatting sqref="B52:B58">
    <cfRule type="cellIs" dxfId="80" priority="1" operator="equal">
      <formula>0</formula>
    </cfRule>
  </conditionalFormatting>
  <conditionalFormatting sqref="B74:B80">
    <cfRule type="cellIs" dxfId="79" priority="14" operator="equal">
      <formula>0</formula>
    </cfRule>
  </conditionalFormatting>
  <conditionalFormatting sqref="B108:B109">
    <cfRule type="cellIs" dxfId="78" priority="10" operator="equal">
      <formula>0</formula>
    </cfRule>
  </conditionalFormatting>
  <conditionalFormatting sqref="B111:B116">
    <cfRule type="cellIs" dxfId="77" priority="9" operator="equal">
      <formula>0</formula>
    </cfRule>
  </conditionalFormatting>
  <conditionalFormatting sqref="B118:B123">
    <cfRule type="cellIs" dxfId="76" priority="8" operator="equal">
      <formula>0</formula>
    </cfRule>
  </conditionalFormatting>
  <conditionalFormatting sqref="C85:H85">
    <cfRule type="cellIs" dxfId="75" priority="13" operator="equal">
      <formula>0</formula>
    </cfRule>
  </conditionalFormatting>
  <conditionalFormatting sqref="C74:AL80">
    <cfRule type="cellIs" dxfId="74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B8" sqref="B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132"/>
      <c r="C8" s="133"/>
      <c r="D8" s="134"/>
      <c r="E8" s="134"/>
      <c r="F8" s="134"/>
      <c r="G8" s="134"/>
      <c r="H8" s="135"/>
      <c r="I8" s="136"/>
      <c r="J8" s="134"/>
      <c r="K8" s="134"/>
      <c r="L8" s="134"/>
      <c r="M8" s="134"/>
      <c r="N8" s="137"/>
      <c r="O8" s="136"/>
      <c r="P8" s="134"/>
      <c r="Q8" s="134"/>
      <c r="R8" s="134"/>
      <c r="S8" s="134"/>
      <c r="T8" s="137"/>
      <c r="U8" s="136"/>
      <c r="V8" s="134"/>
      <c r="W8" s="134"/>
      <c r="X8" s="134"/>
      <c r="Y8" s="134"/>
      <c r="Z8" s="137"/>
      <c r="AA8" s="136"/>
      <c r="AB8" s="134"/>
      <c r="AC8" s="134"/>
      <c r="AD8" s="134"/>
      <c r="AE8" s="134"/>
      <c r="AF8" s="137"/>
      <c r="AG8" s="136"/>
      <c r="AH8" s="134"/>
      <c r="AI8" s="134"/>
      <c r="AJ8" s="135"/>
      <c r="AK8" s="133"/>
      <c r="AL8" s="13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1" t="s">
        <v>13</v>
      </c>
      <c r="C12" s="62"/>
      <c r="D12" s="63"/>
      <c r="E12" s="63"/>
      <c r="F12" s="63"/>
      <c r="G12" s="63"/>
      <c r="H12" s="64"/>
      <c r="I12" s="17"/>
      <c r="J12" s="63"/>
      <c r="K12" s="63"/>
      <c r="L12" s="63"/>
      <c r="M12" s="63"/>
      <c r="N12" s="85"/>
      <c r="O12" s="17"/>
      <c r="P12" s="63"/>
      <c r="Q12" s="63"/>
      <c r="R12" s="63"/>
      <c r="S12" s="63"/>
      <c r="T12" s="85"/>
      <c r="U12" s="17"/>
      <c r="V12" s="63"/>
      <c r="W12" s="63"/>
      <c r="X12" s="63"/>
      <c r="Y12" s="63"/>
      <c r="Z12" s="85"/>
      <c r="AA12" s="17"/>
      <c r="AB12" s="63"/>
      <c r="AC12" s="63"/>
      <c r="AD12" s="63"/>
      <c r="AE12" s="63"/>
      <c r="AF12" s="85"/>
      <c r="AG12" s="17"/>
      <c r="AH12" s="63"/>
      <c r="AI12" s="63"/>
      <c r="AJ12" s="64"/>
      <c r="AK12" s="93"/>
      <c r="AL12" s="94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98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132"/>
      <c r="C16" s="133"/>
      <c r="D16" s="134"/>
      <c r="E16" s="134"/>
      <c r="F16" s="134"/>
      <c r="G16" s="134"/>
      <c r="H16" s="135"/>
      <c r="I16" s="136"/>
      <c r="J16" s="134"/>
      <c r="K16" s="134"/>
      <c r="L16" s="134"/>
      <c r="M16" s="134"/>
      <c r="N16" s="137"/>
      <c r="O16" s="136"/>
      <c r="P16" s="134"/>
      <c r="Q16" s="134"/>
      <c r="R16" s="134"/>
      <c r="S16" s="134"/>
      <c r="T16" s="137"/>
      <c r="U16" s="136"/>
      <c r="V16" s="134"/>
      <c r="W16" s="134"/>
      <c r="X16" s="134"/>
      <c r="Y16" s="134"/>
      <c r="Z16" s="137"/>
      <c r="AA16" s="136"/>
      <c r="AB16" s="134"/>
      <c r="AC16" s="134"/>
      <c r="AD16" s="134"/>
      <c r="AE16" s="134"/>
      <c r="AF16" s="137"/>
      <c r="AG16" s="136"/>
      <c r="AH16" s="134"/>
      <c r="AI16" s="134"/>
      <c r="AJ16" s="135"/>
      <c r="AK16" s="133"/>
      <c r="AL16" s="138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98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1" t="s">
        <v>13</v>
      </c>
      <c r="C20" s="62"/>
      <c r="D20" s="63"/>
      <c r="E20" s="63"/>
      <c r="F20" s="63"/>
      <c r="G20" s="63"/>
      <c r="H20" s="64"/>
      <c r="I20" s="17"/>
      <c r="J20" s="63"/>
      <c r="K20" s="63"/>
      <c r="L20" s="63"/>
      <c r="M20" s="63"/>
      <c r="N20" s="85"/>
      <c r="O20" s="17"/>
      <c r="P20" s="63"/>
      <c r="Q20" s="63"/>
      <c r="R20" s="63"/>
      <c r="S20" s="63"/>
      <c r="T20" s="85"/>
      <c r="U20" s="17"/>
      <c r="V20" s="63"/>
      <c r="W20" s="63"/>
      <c r="X20" s="63"/>
      <c r="Y20" s="63"/>
      <c r="Z20" s="85"/>
      <c r="AA20" s="17"/>
      <c r="AB20" s="63"/>
      <c r="AC20" s="63"/>
      <c r="AD20" s="63"/>
      <c r="AE20" s="63"/>
      <c r="AF20" s="85"/>
      <c r="AG20" s="17"/>
      <c r="AH20" s="63"/>
      <c r="AI20" s="63"/>
      <c r="AJ20" s="64"/>
      <c r="AK20" s="93"/>
      <c r="AL20" s="94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98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132"/>
      <c r="C24" s="133"/>
      <c r="D24" s="134"/>
      <c r="E24" s="134"/>
      <c r="F24" s="134"/>
      <c r="G24" s="134"/>
      <c r="H24" s="135"/>
      <c r="I24" s="136"/>
      <c r="J24" s="134"/>
      <c r="K24" s="134"/>
      <c r="L24" s="134"/>
      <c r="M24" s="134"/>
      <c r="N24" s="137"/>
      <c r="O24" s="136"/>
      <c r="P24" s="134"/>
      <c r="Q24" s="134"/>
      <c r="R24" s="134"/>
      <c r="S24" s="134"/>
      <c r="T24" s="137"/>
      <c r="U24" s="136"/>
      <c r="V24" s="134"/>
      <c r="W24" s="134"/>
      <c r="X24" s="134"/>
      <c r="Y24" s="134"/>
      <c r="Z24" s="137"/>
      <c r="AA24" s="136"/>
      <c r="AB24" s="134"/>
      <c r="AC24" s="134"/>
      <c r="AD24" s="134"/>
      <c r="AE24" s="134"/>
      <c r="AF24" s="137"/>
      <c r="AG24" s="136"/>
      <c r="AH24" s="134"/>
      <c r="AI24" s="134"/>
      <c r="AJ24" s="135"/>
      <c r="AK24" s="133"/>
      <c r="AL24" s="13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98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61" t="s">
        <v>13</v>
      </c>
      <c r="C28" s="62"/>
      <c r="D28" s="63"/>
      <c r="E28" s="63"/>
      <c r="F28" s="63"/>
      <c r="G28" s="63"/>
      <c r="H28" s="64"/>
      <c r="I28" s="17"/>
      <c r="J28" s="63"/>
      <c r="K28" s="63"/>
      <c r="L28" s="63"/>
      <c r="M28" s="63"/>
      <c r="N28" s="85"/>
      <c r="O28" s="17"/>
      <c r="P28" s="63"/>
      <c r="Q28" s="63"/>
      <c r="R28" s="63"/>
      <c r="S28" s="63"/>
      <c r="T28" s="85"/>
      <c r="U28" s="17"/>
      <c r="V28" s="63"/>
      <c r="W28" s="63"/>
      <c r="X28" s="63"/>
      <c r="Y28" s="63"/>
      <c r="Z28" s="85"/>
      <c r="AA28" s="17"/>
      <c r="AB28" s="63"/>
      <c r="AC28" s="63"/>
      <c r="AD28" s="63"/>
      <c r="AE28" s="63"/>
      <c r="AF28" s="85"/>
      <c r="AG28" s="17"/>
      <c r="AH28" s="63"/>
      <c r="AI28" s="63"/>
      <c r="AJ28" s="64"/>
      <c r="AK28" s="93"/>
      <c r="AL28" s="94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65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98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132"/>
      <c r="C32" s="133"/>
      <c r="D32" s="134"/>
      <c r="E32" s="134"/>
      <c r="F32" s="134"/>
      <c r="G32" s="134"/>
      <c r="H32" s="135"/>
      <c r="I32" s="136"/>
      <c r="J32" s="134"/>
      <c r="K32" s="134"/>
      <c r="L32" s="134"/>
      <c r="M32" s="134"/>
      <c r="N32" s="137"/>
      <c r="O32" s="136"/>
      <c r="P32" s="134"/>
      <c r="Q32" s="134"/>
      <c r="R32" s="134"/>
      <c r="S32" s="134"/>
      <c r="T32" s="137"/>
      <c r="U32" s="136"/>
      <c r="V32" s="134"/>
      <c r="W32" s="134"/>
      <c r="X32" s="134"/>
      <c r="Y32" s="134"/>
      <c r="Z32" s="137"/>
      <c r="AA32" s="136"/>
      <c r="AB32" s="134"/>
      <c r="AC32" s="134"/>
      <c r="AD32" s="134"/>
      <c r="AE32" s="134"/>
      <c r="AF32" s="137"/>
      <c r="AG32" s="136"/>
      <c r="AH32" s="134"/>
      <c r="AI32" s="134"/>
      <c r="AJ32" s="135"/>
      <c r="AK32" s="133"/>
      <c r="AL32" s="138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65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98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65"/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1" t="s">
        <v>13</v>
      </c>
      <c r="C35" s="62"/>
      <c r="D35" s="63"/>
      <c r="E35" s="63"/>
      <c r="F35" s="63"/>
      <c r="G35" s="63"/>
      <c r="H35" s="64"/>
      <c r="I35" s="17"/>
      <c r="J35" s="63"/>
      <c r="K35" s="63"/>
      <c r="L35" s="63"/>
      <c r="M35" s="63"/>
      <c r="N35" s="85"/>
      <c r="O35" s="17"/>
      <c r="P35" s="63"/>
      <c r="Q35" s="63"/>
      <c r="R35" s="63"/>
      <c r="S35" s="63"/>
      <c r="T35" s="85"/>
      <c r="U35" s="17"/>
      <c r="V35" s="63"/>
      <c r="W35" s="63"/>
      <c r="X35" s="63"/>
      <c r="Y35" s="63"/>
      <c r="Z35" s="85"/>
      <c r="AA35" s="17"/>
      <c r="AB35" s="63"/>
      <c r="AC35" s="63"/>
      <c r="AD35" s="63"/>
      <c r="AE35" s="63"/>
      <c r="AF35" s="85"/>
      <c r="AG35" s="17"/>
      <c r="AH35" s="63"/>
      <c r="AI35" s="63"/>
      <c r="AJ35" s="64"/>
      <c r="AK35" s="93"/>
      <c r="AL35" s="94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132"/>
      <c r="C39" s="133"/>
      <c r="D39" s="134"/>
      <c r="E39" s="134"/>
      <c r="F39" s="134"/>
      <c r="G39" s="134"/>
      <c r="H39" s="135"/>
      <c r="I39" s="136"/>
      <c r="J39" s="134"/>
      <c r="K39" s="134"/>
      <c r="L39" s="134"/>
      <c r="M39" s="134"/>
      <c r="N39" s="137"/>
      <c r="O39" s="136"/>
      <c r="P39" s="134"/>
      <c r="Q39" s="134"/>
      <c r="R39" s="134"/>
      <c r="S39" s="134"/>
      <c r="T39" s="137"/>
      <c r="U39" s="136"/>
      <c r="V39" s="134"/>
      <c r="W39" s="134"/>
      <c r="X39" s="134"/>
      <c r="Y39" s="134"/>
      <c r="Z39" s="137"/>
      <c r="AA39" s="136"/>
      <c r="AB39" s="134"/>
      <c r="AC39" s="134"/>
      <c r="AD39" s="134"/>
      <c r="AE39" s="134"/>
      <c r="AF39" s="137"/>
      <c r="AG39" s="136"/>
      <c r="AH39" s="134"/>
      <c r="AI39" s="134"/>
      <c r="AJ39" s="135"/>
      <c r="AK39" s="133"/>
      <c r="AL39" s="13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1" t="s">
        <v>13</v>
      </c>
      <c r="C43" s="62"/>
      <c r="D43" s="63"/>
      <c r="E43" s="63"/>
      <c r="F43" s="63"/>
      <c r="G43" s="63"/>
      <c r="H43" s="64"/>
      <c r="I43" s="17"/>
      <c r="J43" s="63"/>
      <c r="K43" s="63"/>
      <c r="L43" s="63"/>
      <c r="M43" s="63"/>
      <c r="N43" s="85"/>
      <c r="O43" s="17"/>
      <c r="P43" s="63"/>
      <c r="Q43" s="63"/>
      <c r="R43" s="63"/>
      <c r="S43" s="63"/>
      <c r="T43" s="85"/>
      <c r="U43" s="17"/>
      <c r="V43" s="63"/>
      <c r="W43" s="63"/>
      <c r="X43" s="63"/>
      <c r="Y43" s="63"/>
      <c r="Z43" s="85"/>
      <c r="AA43" s="17"/>
      <c r="AB43" s="63"/>
      <c r="AC43" s="63"/>
      <c r="AD43" s="63"/>
      <c r="AE43" s="63"/>
      <c r="AF43" s="85"/>
      <c r="AG43" s="17"/>
      <c r="AH43" s="63"/>
      <c r="AI43" s="63"/>
      <c r="AJ43" s="64"/>
      <c r="AK43" s="93"/>
      <c r="AL43" s="94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98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132"/>
      <c r="C47" s="133"/>
      <c r="D47" s="134"/>
      <c r="E47" s="134"/>
      <c r="F47" s="134"/>
      <c r="G47" s="134"/>
      <c r="H47" s="135"/>
      <c r="I47" s="136"/>
      <c r="J47" s="134"/>
      <c r="K47" s="134"/>
      <c r="L47" s="134"/>
      <c r="M47" s="134"/>
      <c r="N47" s="137"/>
      <c r="O47" s="136"/>
      <c r="P47" s="134"/>
      <c r="Q47" s="134"/>
      <c r="R47" s="134"/>
      <c r="S47" s="134"/>
      <c r="T47" s="137"/>
      <c r="U47" s="136"/>
      <c r="V47" s="134"/>
      <c r="W47" s="134"/>
      <c r="X47" s="134"/>
      <c r="Y47" s="134"/>
      <c r="Z47" s="137"/>
      <c r="AA47" s="136"/>
      <c r="AB47" s="134"/>
      <c r="AC47" s="134"/>
      <c r="AD47" s="134"/>
      <c r="AE47" s="134"/>
      <c r="AF47" s="137"/>
      <c r="AG47" s="136"/>
      <c r="AH47" s="134"/>
      <c r="AI47" s="134"/>
      <c r="AJ47" s="135"/>
      <c r="AK47" s="133"/>
      <c r="AL47" s="138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98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142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73" priority="6" operator="equal">
      <formula>0</formula>
    </cfRule>
  </conditionalFormatting>
  <conditionalFormatting sqref="B12:B26">
    <cfRule type="cellIs" dxfId="72" priority="4" operator="equal">
      <formula>0</formula>
    </cfRule>
  </conditionalFormatting>
  <conditionalFormatting sqref="B28:B41">
    <cfRule type="cellIs" dxfId="71" priority="2" operator="equal">
      <formula>0</formula>
    </cfRule>
  </conditionalFormatting>
  <conditionalFormatting sqref="B43:B49">
    <cfRule type="cellIs" dxfId="70" priority="1" operator="equal">
      <formula>0</formula>
    </cfRule>
  </conditionalFormatting>
  <conditionalFormatting sqref="B66:B72">
    <cfRule type="cellIs" dxfId="69" priority="19" operator="equal">
      <formula>0</formula>
    </cfRule>
  </conditionalFormatting>
  <conditionalFormatting sqref="B100:B101">
    <cfRule type="cellIs" dxfId="68" priority="12" operator="equal">
      <formula>0</formula>
    </cfRule>
  </conditionalFormatting>
  <conditionalFormatting sqref="B103:B108">
    <cfRule type="cellIs" dxfId="67" priority="11" operator="equal">
      <formula>0</formula>
    </cfRule>
  </conditionalFormatting>
  <conditionalFormatting sqref="B110:B115">
    <cfRule type="cellIs" dxfId="66" priority="10" operator="equal">
      <formula>0</formula>
    </cfRule>
  </conditionalFormatting>
  <conditionalFormatting sqref="C77:H77">
    <cfRule type="cellIs" dxfId="65" priority="18" operator="equal">
      <formula>0</formula>
    </cfRule>
  </conditionalFormatting>
  <conditionalFormatting sqref="C66:AL72">
    <cfRule type="cellIs" dxfId="64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132"/>
      <c r="C8" s="133"/>
      <c r="D8" s="134"/>
      <c r="E8" s="134"/>
      <c r="F8" s="134"/>
      <c r="G8" s="134"/>
      <c r="H8" s="135"/>
      <c r="I8" s="136"/>
      <c r="J8" s="134"/>
      <c r="K8" s="134"/>
      <c r="L8" s="134"/>
      <c r="M8" s="134"/>
      <c r="N8" s="137"/>
      <c r="O8" s="136"/>
      <c r="P8" s="134"/>
      <c r="Q8" s="134"/>
      <c r="R8" s="134"/>
      <c r="S8" s="134"/>
      <c r="T8" s="137"/>
      <c r="U8" s="136"/>
      <c r="V8" s="134"/>
      <c r="W8" s="134"/>
      <c r="X8" s="134"/>
      <c r="Y8" s="134"/>
      <c r="Z8" s="137"/>
      <c r="AA8" s="136"/>
      <c r="AB8" s="134"/>
      <c r="AC8" s="134"/>
      <c r="AD8" s="134"/>
      <c r="AE8" s="134"/>
      <c r="AF8" s="137"/>
      <c r="AG8" s="136"/>
      <c r="AH8" s="134"/>
      <c r="AI8" s="134"/>
      <c r="AJ8" s="135"/>
      <c r="AK8" s="133"/>
      <c r="AL8" s="13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1" t="s">
        <v>13</v>
      </c>
      <c r="C12" s="62"/>
      <c r="D12" s="63"/>
      <c r="E12" s="63"/>
      <c r="F12" s="63"/>
      <c r="G12" s="63"/>
      <c r="H12" s="64"/>
      <c r="I12" s="17"/>
      <c r="J12" s="63"/>
      <c r="K12" s="63"/>
      <c r="L12" s="63"/>
      <c r="M12" s="63"/>
      <c r="N12" s="85"/>
      <c r="O12" s="17"/>
      <c r="P12" s="63"/>
      <c r="Q12" s="63"/>
      <c r="R12" s="63"/>
      <c r="S12" s="63"/>
      <c r="T12" s="85"/>
      <c r="U12" s="17"/>
      <c r="V12" s="63"/>
      <c r="W12" s="63"/>
      <c r="X12" s="63"/>
      <c r="Y12" s="63"/>
      <c r="Z12" s="85"/>
      <c r="AA12" s="17"/>
      <c r="AB12" s="63"/>
      <c r="AC12" s="63"/>
      <c r="AD12" s="63"/>
      <c r="AE12" s="63"/>
      <c r="AF12" s="85"/>
      <c r="AG12" s="17"/>
      <c r="AH12" s="63"/>
      <c r="AI12" s="63"/>
      <c r="AJ12" s="64"/>
      <c r="AK12" s="93"/>
      <c r="AL12" s="94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98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132"/>
      <c r="C16" s="133"/>
      <c r="D16" s="134"/>
      <c r="E16" s="134"/>
      <c r="F16" s="134"/>
      <c r="G16" s="134"/>
      <c r="H16" s="135"/>
      <c r="I16" s="136"/>
      <c r="J16" s="134"/>
      <c r="K16" s="134"/>
      <c r="L16" s="134"/>
      <c r="M16" s="134"/>
      <c r="N16" s="137"/>
      <c r="O16" s="136"/>
      <c r="P16" s="134"/>
      <c r="Q16" s="134"/>
      <c r="R16" s="134"/>
      <c r="S16" s="134"/>
      <c r="T16" s="137"/>
      <c r="U16" s="136"/>
      <c r="V16" s="134"/>
      <c r="W16" s="134"/>
      <c r="X16" s="134"/>
      <c r="Y16" s="134"/>
      <c r="Z16" s="137"/>
      <c r="AA16" s="136"/>
      <c r="AB16" s="134"/>
      <c r="AC16" s="134"/>
      <c r="AD16" s="134"/>
      <c r="AE16" s="134"/>
      <c r="AF16" s="137"/>
      <c r="AG16" s="136"/>
      <c r="AH16" s="134"/>
      <c r="AI16" s="134"/>
      <c r="AJ16" s="135"/>
      <c r="AK16" s="133"/>
      <c r="AL16" s="138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98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1" t="s">
        <v>13</v>
      </c>
      <c r="C20" s="62"/>
      <c r="D20" s="63"/>
      <c r="E20" s="63"/>
      <c r="F20" s="63"/>
      <c r="G20" s="63"/>
      <c r="H20" s="64"/>
      <c r="I20" s="17"/>
      <c r="J20" s="63"/>
      <c r="K20" s="63"/>
      <c r="L20" s="63"/>
      <c r="M20" s="63"/>
      <c r="N20" s="85"/>
      <c r="O20" s="17"/>
      <c r="P20" s="63"/>
      <c r="Q20" s="63"/>
      <c r="R20" s="63"/>
      <c r="S20" s="63"/>
      <c r="T20" s="85"/>
      <c r="U20" s="17"/>
      <c r="V20" s="63"/>
      <c r="W20" s="63"/>
      <c r="X20" s="63"/>
      <c r="Y20" s="63"/>
      <c r="Z20" s="85"/>
      <c r="AA20" s="17"/>
      <c r="AB20" s="63"/>
      <c r="AC20" s="63"/>
      <c r="AD20" s="63"/>
      <c r="AE20" s="63"/>
      <c r="AF20" s="85"/>
      <c r="AG20" s="17"/>
      <c r="AH20" s="63"/>
      <c r="AI20" s="63"/>
      <c r="AJ20" s="64"/>
      <c r="AK20" s="93"/>
      <c r="AL20" s="94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98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132"/>
      <c r="C24" s="133"/>
      <c r="D24" s="134"/>
      <c r="E24" s="134"/>
      <c r="F24" s="134"/>
      <c r="G24" s="134"/>
      <c r="H24" s="135"/>
      <c r="I24" s="136"/>
      <c r="J24" s="134"/>
      <c r="K24" s="134"/>
      <c r="L24" s="134"/>
      <c r="M24" s="134"/>
      <c r="N24" s="137"/>
      <c r="O24" s="136"/>
      <c r="P24" s="134"/>
      <c r="Q24" s="134"/>
      <c r="R24" s="134"/>
      <c r="S24" s="134"/>
      <c r="T24" s="137"/>
      <c r="U24" s="136"/>
      <c r="V24" s="134"/>
      <c r="W24" s="134"/>
      <c r="X24" s="134"/>
      <c r="Y24" s="134"/>
      <c r="Z24" s="137"/>
      <c r="AA24" s="136"/>
      <c r="AB24" s="134"/>
      <c r="AC24" s="134"/>
      <c r="AD24" s="134"/>
      <c r="AE24" s="134"/>
      <c r="AF24" s="137"/>
      <c r="AG24" s="136"/>
      <c r="AH24" s="134"/>
      <c r="AI24" s="134"/>
      <c r="AJ24" s="135"/>
      <c r="AK24" s="133"/>
      <c r="AL24" s="13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98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61" t="s">
        <v>13</v>
      </c>
      <c r="C28" s="62"/>
      <c r="D28" s="63"/>
      <c r="E28" s="63"/>
      <c r="F28" s="63"/>
      <c r="G28" s="63"/>
      <c r="H28" s="64"/>
      <c r="I28" s="17"/>
      <c r="J28" s="63"/>
      <c r="K28" s="63"/>
      <c r="L28" s="63"/>
      <c r="M28" s="63"/>
      <c r="N28" s="85"/>
      <c r="O28" s="17"/>
      <c r="P28" s="63"/>
      <c r="Q28" s="63"/>
      <c r="R28" s="63"/>
      <c r="S28" s="63"/>
      <c r="T28" s="85"/>
      <c r="U28" s="17"/>
      <c r="V28" s="63"/>
      <c r="W28" s="63"/>
      <c r="X28" s="63"/>
      <c r="Y28" s="63"/>
      <c r="Z28" s="85"/>
      <c r="AA28" s="17"/>
      <c r="AB28" s="63"/>
      <c r="AC28" s="63"/>
      <c r="AD28" s="63"/>
      <c r="AE28" s="63"/>
      <c r="AF28" s="85"/>
      <c r="AG28" s="17"/>
      <c r="AH28" s="63"/>
      <c r="AI28" s="63"/>
      <c r="AJ28" s="64"/>
      <c r="AK28" s="93"/>
      <c r="AL28" s="94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65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98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132"/>
      <c r="C32" s="133"/>
      <c r="D32" s="134"/>
      <c r="E32" s="134"/>
      <c r="F32" s="134"/>
      <c r="G32" s="134"/>
      <c r="H32" s="135"/>
      <c r="I32" s="136"/>
      <c r="J32" s="134"/>
      <c r="K32" s="134"/>
      <c r="L32" s="134"/>
      <c r="M32" s="134"/>
      <c r="N32" s="137"/>
      <c r="O32" s="136"/>
      <c r="P32" s="134"/>
      <c r="Q32" s="134"/>
      <c r="R32" s="134"/>
      <c r="S32" s="134"/>
      <c r="T32" s="137"/>
      <c r="U32" s="136"/>
      <c r="V32" s="134"/>
      <c r="W32" s="134"/>
      <c r="X32" s="134"/>
      <c r="Y32" s="134"/>
      <c r="Z32" s="137"/>
      <c r="AA32" s="136"/>
      <c r="AB32" s="134"/>
      <c r="AC32" s="134"/>
      <c r="AD32" s="134"/>
      <c r="AE32" s="134"/>
      <c r="AF32" s="137"/>
      <c r="AG32" s="136"/>
      <c r="AH32" s="134"/>
      <c r="AI32" s="134"/>
      <c r="AJ32" s="135"/>
      <c r="AK32" s="133"/>
      <c r="AL32" s="138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65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98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65"/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1" t="s">
        <v>13</v>
      </c>
      <c r="C35" s="62"/>
      <c r="D35" s="63"/>
      <c r="E35" s="63"/>
      <c r="F35" s="63"/>
      <c r="G35" s="63"/>
      <c r="H35" s="64"/>
      <c r="I35" s="17"/>
      <c r="J35" s="63"/>
      <c r="K35" s="63"/>
      <c r="L35" s="63"/>
      <c r="M35" s="63"/>
      <c r="N35" s="85"/>
      <c r="O35" s="17"/>
      <c r="P35" s="63"/>
      <c r="Q35" s="63"/>
      <c r="R35" s="63"/>
      <c r="S35" s="63"/>
      <c r="T35" s="85"/>
      <c r="U35" s="17"/>
      <c r="V35" s="63"/>
      <c r="W35" s="63"/>
      <c r="X35" s="63"/>
      <c r="Y35" s="63"/>
      <c r="Z35" s="85"/>
      <c r="AA35" s="17"/>
      <c r="AB35" s="63"/>
      <c r="AC35" s="63"/>
      <c r="AD35" s="63"/>
      <c r="AE35" s="63"/>
      <c r="AF35" s="85"/>
      <c r="AG35" s="17"/>
      <c r="AH35" s="63"/>
      <c r="AI35" s="63"/>
      <c r="AJ35" s="64"/>
      <c r="AK35" s="93"/>
      <c r="AL35" s="94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132"/>
      <c r="C39" s="133"/>
      <c r="D39" s="134"/>
      <c r="E39" s="134"/>
      <c r="F39" s="134"/>
      <c r="G39" s="134"/>
      <c r="H39" s="135"/>
      <c r="I39" s="136"/>
      <c r="J39" s="134"/>
      <c r="K39" s="134"/>
      <c r="L39" s="134"/>
      <c r="M39" s="134"/>
      <c r="N39" s="137"/>
      <c r="O39" s="136"/>
      <c r="P39" s="134"/>
      <c r="Q39" s="134"/>
      <c r="R39" s="134"/>
      <c r="S39" s="134"/>
      <c r="T39" s="137"/>
      <c r="U39" s="136"/>
      <c r="V39" s="134"/>
      <c r="W39" s="134"/>
      <c r="X39" s="134"/>
      <c r="Y39" s="134"/>
      <c r="Z39" s="137"/>
      <c r="AA39" s="136"/>
      <c r="AB39" s="134"/>
      <c r="AC39" s="134"/>
      <c r="AD39" s="134"/>
      <c r="AE39" s="134"/>
      <c r="AF39" s="137"/>
      <c r="AG39" s="136"/>
      <c r="AH39" s="134"/>
      <c r="AI39" s="134"/>
      <c r="AJ39" s="135"/>
      <c r="AK39" s="133"/>
      <c r="AL39" s="13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1" t="s">
        <v>13</v>
      </c>
      <c r="C43" s="62"/>
      <c r="D43" s="63"/>
      <c r="E43" s="63"/>
      <c r="F43" s="63"/>
      <c r="G43" s="63"/>
      <c r="H43" s="64"/>
      <c r="I43" s="17"/>
      <c r="J43" s="63"/>
      <c r="K43" s="63"/>
      <c r="L43" s="63"/>
      <c r="M43" s="63"/>
      <c r="N43" s="85"/>
      <c r="O43" s="17"/>
      <c r="P43" s="63"/>
      <c r="Q43" s="63"/>
      <c r="R43" s="63"/>
      <c r="S43" s="63"/>
      <c r="T43" s="85"/>
      <c r="U43" s="17"/>
      <c r="V43" s="63"/>
      <c r="W43" s="63"/>
      <c r="X43" s="63"/>
      <c r="Y43" s="63"/>
      <c r="Z43" s="85"/>
      <c r="AA43" s="17"/>
      <c r="AB43" s="63"/>
      <c r="AC43" s="63"/>
      <c r="AD43" s="63"/>
      <c r="AE43" s="63"/>
      <c r="AF43" s="85"/>
      <c r="AG43" s="17"/>
      <c r="AH43" s="63"/>
      <c r="AI43" s="63"/>
      <c r="AJ43" s="64"/>
      <c r="AK43" s="93"/>
      <c r="AL43" s="94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98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132"/>
      <c r="C47" s="133"/>
      <c r="D47" s="134"/>
      <c r="E47" s="134"/>
      <c r="F47" s="134"/>
      <c r="G47" s="134"/>
      <c r="H47" s="135"/>
      <c r="I47" s="136"/>
      <c r="J47" s="134"/>
      <c r="K47" s="134"/>
      <c r="L47" s="134"/>
      <c r="M47" s="134"/>
      <c r="N47" s="137"/>
      <c r="O47" s="136"/>
      <c r="P47" s="134"/>
      <c r="Q47" s="134"/>
      <c r="R47" s="134"/>
      <c r="S47" s="134"/>
      <c r="T47" s="137"/>
      <c r="U47" s="136"/>
      <c r="V47" s="134"/>
      <c r="W47" s="134"/>
      <c r="X47" s="134"/>
      <c r="Y47" s="134"/>
      <c r="Z47" s="137"/>
      <c r="AA47" s="136"/>
      <c r="AB47" s="134"/>
      <c r="AC47" s="134"/>
      <c r="AD47" s="134"/>
      <c r="AE47" s="134"/>
      <c r="AF47" s="137"/>
      <c r="AG47" s="136"/>
      <c r="AH47" s="134"/>
      <c r="AI47" s="134"/>
      <c r="AJ47" s="135"/>
      <c r="AK47" s="133"/>
      <c r="AL47" s="138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98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142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63" priority="6" operator="equal">
      <formula>0</formula>
    </cfRule>
  </conditionalFormatting>
  <conditionalFormatting sqref="B12:B26">
    <cfRule type="cellIs" dxfId="62" priority="4" operator="equal">
      <formula>0</formula>
    </cfRule>
  </conditionalFormatting>
  <conditionalFormatting sqref="B28:B41">
    <cfRule type="cellIs" dxfId="61" priority="2" operator="equal">
      <formula>0</formula>
    </cfRule>
  </conditionalFormatting>
  <conditionalFormatting sqref="B43:B49">
    <cfRule type="cellIs" dxfId="60" priority="1" operator="equal">
      <formula>0</formula>
    </cfRule>
  </conditionalFormatting>
  <conditionalFormatting sqref="B66:B72">
    <cfRule type="cellIs" dxfId="59" priority="19" operator="equal">
      <formula>0</formula>
    </cfRule>
  </conditionalFormatting>
  <conditionalFormatting sqref="B100:B101">
    <cfRule type="cellIs" dxfId="58" priority="12" operator="equal">
      <formula>0</formula>
    </cfRule>
  </conditionalFormatting>
  <conditionalFormatting sqref="B103:B108">
    <cfRule type="cellIs" dxfId="57" priority="11" operator="equal">
      <formula>0</formula>
    </cfRule>
  </conditionalFormatting>
  <conditionalFormatting sqref="B110:B115">
    <cfRule type="cellIs" dxfId="56" priority="10" operator="equal">
      <formula>0</formula>
    </cfRule>
  </conditionalFormatting>
  <conditionalFormatting sqref="C77:H77">
    <cfRule type="cellIs" dxfId="55" priority="18" operator="equal">
      <formula>0</formula>
    </cfRule>
  </conditionalFormatting>
  <conditionalFormatting sqref="C66:AL72">
    <cfRule type="cellIs" dxfId="54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65" t="s">
        <v>16</v>
      </c>
      <c r="C8" s="66"/>
      <c r="D8" s="67"/>
      <c r="E8" s="67"/>
      <c r="F8" s="67"/>
      <c r="G8" s="67"/>
      <c r="H8" s="68"/>
      <c r="I8" s="86"/>
      <c r="J8" s="67"/>
      <c r="K8" s="67"/>
      <c r="L8" s="67"/>
      <c r="M8" s="67"/>
      <c r="N8" s="87"/>
      <c r="O8" s="86"/>
      <c r="P8" s="67"/>
      <c r="Q8" s="67"/>
      <c r="R8" s="67"/>
      <c r="S8" s="67"/>
      <c r="T8" s="87"/>
      <c r="U8" s="86"/>
      <c r="V8" s="67"/>
      <c r="W8" s="67"/>
      <c r="X8" s="67"/>
      <c r="Y8" s="67"/>
      <c r="Z8" s="87"/>
      <c r="AA8" s="86"/>
      <c r="AB8" s="67"/>
      <c r="AC8" s="67"/>
      <c r="AD8" s="67"/>
      <c r="AE8" s="67"/>
      <c r="AF8" s="87"/>
      <c r="AG8" s="86"/>
      <c r="AH8" s="67"/>
      <c r="AI8" s="67"/>
      <c r="AJ8" s="68"/>
      <c r="AK8" s="97"/>
      <c r="AL8" s="9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5" t="s">
        <v>13</v>
      </c>
      <c r="C12" s="66"/>
      <c r="D12" s="67"/>
      <c r="E12" s="67"/>
      <c r="F12" s="67"/>
      <c r="G12" s="67"/>
      <c r="H12" s="68"/>
      <c r="I12" s="86"/>
      <c r="J12" s="67"/>
      <c r="K12" s="67"/>
      <c r="L12" s="67"/>
      <c r="M12" s="67"/>
      <c r="N12" s="87"/>
      <c r="O12" s="86"/>
      <c r="P12" s="67"/>
      <c r="Q12" s="67"/>
      <c r="R12" s="67"/>
      <c r="S12" s="67"/>
      <c r="T12" s="87"/>
      <c r="U12" s="86"/>
      <c r="V12" s="67"/>
      <c r="W12" s="67"/>
      <c r="X12" s="67"/>
      <c r="Y12" s="67"/>
      <c r="Z12" s="87"/>
      <c r="AA12" s="86"/>
      <c r="AB12" s="67"/>
      <c r="AC12" s="67"/>
      <c r="AD12" s="67"/>
      <c r="AE12" s="67"/>
      <c r="AF12" s="87"/>
      <c r="AG12" s="86"/>
      <c r="AH12" s="67"/>
      <c r="AI12" s="67"/>
      <c r="AJ12" s="68"/>
      <c r="AK12" s="97"/>
      <c r="AL12" s="100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100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100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100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100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100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100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5" t="s">
        <v>13</v>
      </c>
      <c r="C20" s="66"/>
      <c r="D20" s="67"/>
      <c r="E20" s="67"/>
      <c r="F20" s="67"/>
      <c r="G20" s="67"/>
      <c r="H20" s="68"/>
      <c r="I20" s="86"/>
      <c r="J20" s="67"/>
      <c r="K20" s="67"/>
      <c r="L20" s="67"/>
      <c r="M20" s="67"/>
      <c r="N20" s="87"/>
      <c r="O20" s="86"/>
      <c r="P20" s="67"/>
      <c r="Q20" s="67"/>
      <c r="R20" s="67"/>
      <c r="S20" s="67"/>
      <c r="T20" s="87"/>
      <c r="U20" s="86"/>
      <c r="V20" s="67"/>
      <c r="W20" s="67"/>
      <c r="X20" s="67"/>
      <c r="Y20" s="67"/>
      <c r="Z20" s="87"/>
      <c r="AA20" s="86"/>
      <c r="AB20" s="67"/>
      <c r="AC20" s="67"/>
      <c r="AD20" s="67"/>
      <c r="AE20" s="67"/>
      <c r="AF20" s="87"/>
      <c r="AG20" s="86"/>
      <c r="AH20" s="67"/>
      <c r="AI20" s="67"/>
      <c r="AJ20" s="68"/>
      <c r="AK20" s="97"/>
      <c r="AL20" s="100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100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100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100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100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100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100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72" t="s">
        <v>13</v>
      </c>
      <c r="C28" s="66"/>
      <c r="D28" s="67"/>
      <c r="E28" s="67"/>
      <c r="F28" s="67"/>
      <c r="G28" s="67"/>
      <c r="H28" s="68"/>
      <c r="I28" s="86"/>
      <c r="J28" s="67"/>
      <c r="K28" s="67"/>
      <c r="L28" s="67"/>
      <c r="M28" s="67"/>
      <c r="N28" s="87"/>
      <c r="O28" s="86"/>
      <c r="P28" s="67"/>
      <c r="Q28" s="67"/>
      <c r="R28" s="67"/>
      <c r="S28" s="67"/>
      <c r="T28" s="87"/>
      <c r="U28" s="86"/>
      <c r="V28" s="67"/>
      <c r="W28" s="67"/>
      <c r="X28" s="67"/>
      <c r="Y28" s="67"/>
      <c r="Z28" s="87"/>
      <c r="AA28" s="86"/>
      <c r="AB28" s="67"/>
      <c r="AC28" s="67"/>
      <c r="AD28" s="67"/>
      <c r="AE28" s="67"/>
      <c r="AF28" s="87"/>
      <c r="AG28" s="86"/>
      <c r="AH28" s="67"/>
      <c r="AI28" s="67"/>
      <c r="AJ28" s="68"/>
      <c r="AK28" s="97"/>
      <c r="AL28" s="100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72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100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72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100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72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100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72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100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72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100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73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5" t="s">
        <v>13</v>
      </c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65" t="s">
        <v>16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5" t="s">
        <v>13</v>
      </c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100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100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100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100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100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100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100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142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3" priority="14" operator="equal">
      <formula>0</formula>
    </cfRule>
  </conditionalFormatting>
  <conditionalFormatting sqref="B12:B26">
    <cfRule type="cellIs" dxfId="52" priority="10" operator="equal">
      <formula>0</formula>
    </cfRule>
  </conditionalFormatting>
  <conditionalFormatting sqref="B28:B41">
    <cfRule type="cellIs" dxfId="51" priority="9" operator="equal">
      <formula>0</formula>
    </cfRule>
  </conditionalFormatting>
  <conditionalFormatting sqref="B66:B72">
    <cfRule type="cellIs" dxfId="50" priority="13" operator="equal">
      <formula>0</formula>
    </cfRule>
  </conditionalFormatting>
  <conditionalFormatting sqref="B100:B101">
    <cfRule type="cellIs" dxfId="49" priority="6" operator="equal">
      <formula>0</formula>
    </cfRule>
  </conditionalFormatting>
  <conditionalFormatting sqref="B103:B108">
    <cfRule type="cellIs" dxfId="48" priority="5" operator="equal">
      <formula>0</formula>
    </cfRule>
  </conditionalFormatting>
  <conditionalFormatting sqref="B110:B115">
    <cfRule type="cellIs" dxfId="47" priority="4" operator="equal">
      <formula>0</formula>
    </cfRule>
  </conditionalFormatting>
  <conditionalFormatting sqref="C77:H77">
    <cfRule type="cellIs" dxfId="46" priority="12" operator="equal">
      <formula>0</formula>
    </cfRule>
  </conditionalFormatting>
  <conditionalFormatting sqref="C66:AL72">
    <cfRule type="cellIs" dxfId="45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65" t="s">
        <v>16</v>
      </c>
      <c r="C8" s="66"/>
      <c r="D8" s="67"/>
      <c r="E8" s="67"/>
      <c r="F8" s="67"/>
      <c r="G8" s="67"/>
      <c r="H8" s="68"/>
      <c r="I8" s="86"/>
      <c r="J8" s="67"/>
      <c r="K8" s="67"/>
      <c r="L8" s="67"/>
      <c r="M8" s="67"/>
      <c r="N8" s="87"/>
      <c r="O8" s="86"/>
      <c r="P8" s="67"/>
      <c r="Q8" s="67"/>
      <c r="R8" s="67"/>
      <c r="S8" s="67"/>
      <c r="T8" s="87"/>
      <c r="U8" s="86"/>
      <c r="V8" s="67"/>
      <c r="W8" s="67"/>
      <c r="X8" s="67"/>
      <c r="Y8" s="67"/>
      <c r="Z8" s="87"/>
      <c r="AA8" s="86"/>
      <c r="AB8" s="67"/>
      <c r="AC8" s="67"/>
      <c r="AD8" s="67"/>
      <c r="AE8" s="67"/>
      <c r="AF8" s="87"/>
      <c r="AG8" s="86"/>
      <c r="AH8" s="67"/>
      <c r="AI8" s="67"/>
      <c r="AJ8" s="68"/>
      <c r="AK8" s="97"/>
      <c r="AL8" s="9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5" t="s">
        <v>13</v>
      </c>
      <c r="C12" s="66"/>
      <c r="D12" s="67"/>
      <c r="E12" s="67"/>
      <c r="F12" s="67"/>
      <c r="G12" s="67"/>
      <c r="H12" s="68"/>
      <c r="I12" s="86"/>
      <c r="J12" s="67"/>
      <c r="K12" s="67"/>
      <c r="L12" s="67"/>
      <c r="M12" s="67"/>
      <c r="N12" s="87"/>
      <c r="O12" s="86"/>
      <c r="P12" s="67"/>
      <c r="Q12" s="67"/>
      <c r="R12" s="67"/>
      <c r="S12" s="67"/>
      <c r="T12" s="87"/>
      <c r="U12" s="86"/>
      <c r="V12" s="67"/>
      <c r="W12" s="67"/>
      <c r="X12" s="67"/>
      <c r="Y12" s="67"/>
      <c r="Z12" s="87"/>
      <c r="AA12" s="86"/>
      <c r="AB12" s="67"/>
      <c r="AC12" s="67"/>
      <c r="AD12" s="67"/>
      <c r="AE12" s="67"/>
      <c r="AF12" s="87"/>
      <c r="AG12" s="86"/>
      <c r="AH12" s="67"/>
      <c r="AI12" s="67"/>
      <c r="AJ12" s="68"/>
      <c r="AK12" s="97"/>
      <c r="AL12" s="100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100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100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100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100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100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100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5" t="s">
        <v>13</v>
      </c>
      <c r="C20" s="66"/>
      <c r="D20" s="67"/>
      <c r="E20" s="67"/>
      <c r="F20" s="67"/>
      <c r="G20" s="67"/>
      <c r="H20" s="68"/>
      <c r="I20" s="86"/>
      <c r="J20" s="67"/>
      <c r="K20" s="67"/>
      <c r="L20" s="67"/>
      <c r="M20" s="67"/>
      <c r="N20" s="87"/>
      <c r="O20" s="86"/>
      <c r="P20" s="67"/>
      <c r="Q20" s="67"/>
      <c r="R20" s="67"/>
      <c r="S20" s="67"/>
      <c r="T20" s="87"/>
      <c r="U20" s="86"/>
      <c r="V20" s="67"/>
      <c r="W20" s="67"/>
      <c r="X20" s="67"/>
      <c r="Y20" s="67"/>
      <c r="Z20" s="87"/>
      <c r="AA20" s="86"/>
      <c r="AB20" s="67"/>
      <c r="AC20" s="67"/>
      <c r="AD20" s="67"/>
      <c r="AE20" s="67"/>
      <c r="AF20" s="87"/>
      <c r="AG20" s="86"/>
      <c r="AH20" s="67"/>
      <c r="AI20" s="67"/>
      <c r="AJ20" s="68"/>
      <c r="AK20" s="97"/>
      <c r="AL20" s="100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100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100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100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100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100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100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72" t="s">
        <v>13</v>
      </c>
      <c r="C28" s="66"/>
      <c r="D28" s="67"/>
      <c r="E28" s="67"/>
      <c r="F28" s="67"/>
      <c r="G28" s="67"/>
      <c r="H28" s="68"/>
      <c r="I28" s="86"/>
      <c r="J28" s="67"/>
      <c r="K28" s="67"/>
      <c r="L28" s="67"/>
      <c r="M28" s="67"/>
      <c r="N28" s="87"/>
      <c r="O28" s="86"/>
      <c r="P28" s="67"/>
      <c r="Q28" s="67"/>
      <c r="R28" s="67"/>
      <c r="S28" s="67"/>
      <c r="T28" s="87"/>
      <c r="U28" s="86"/>
      <c r="V28" s="67"/>
      <c r="W28" s="67"/>
      <c r="X28" s="67"/>
      <c r="Y28" s="67"/>
      <c r="Z28" s="87"/>
      <c r="AA28" s="86"/>
      <c r="AB28" s="67"/>
      <c r="AC28" s="67"/>
      <c r="AD28" s="67"/>
      <c r="AE28" s="67"/>
      <c r="AF28" s="87"/>
      <c r="AG28" s="86"/>
      <c r="AH28" s="67"/>
      <c r="AI28" s="67"/>
      <c r="AJ28" s="68"/>
      <c r="AK28" s="97"/>
      <c r="AL28" s="100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72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100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72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100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72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100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72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100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72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100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73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5" t="s">
        <v>13</v>
      </c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65" t="s">
        <v>16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5" t="s">
        <v>13</v>
      </c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100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100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100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100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100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100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100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9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7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7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7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7">
        <f t="shared" si="3"/>
        <v>0</v>
      </c>
      <c r="AK67" s="17">
        <f t="shared" si="3"/>
        <v>0</v>
      </c>
      <c r="AL67" s="117">
        <f t="shared" si="3"/>
        <v>0</v>
      </c>
      <c r="AM67" s="55">
        <f t="shared" ref="AM67:AM72" si="4">SUM(C67:AL67)</f>
        <v>0</v>
      </c>
      <c r="AN67" s="121">
        <f t="shared" ref="AN67:AN72" si="5">AM67*215</f>
        <v>0</v>
      </c>
    </row>
    <row r="68" spans="1:40">
      <c r="A68" s="181"/>
      <c r="B68" s="108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9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7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7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7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7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7">
        <f t="shared" si="6"/>
        <v>0</v>
      </c>
      <c r="AK68" s="17">
        <f t="shared" si="6"/>
        <v>0</v>
      </c>
      <c r="AL68" s="117">
        <f t="shared" si="6"/>
        <v>0</v>
      </c>
      <c r="AM68" s="55">
        <f t="shared" si="4"/>
        <v>0</v>
      </c>
      <c r="AN68" s="121">
        <f t="shared" si="5"/>
        <v>0</v>
      </c>
    </row>
    <row r="69" spans="1:40">
      <c r="A69" s="181"/>
      <c r="B69" s="108" t="s">
        <v>142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9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7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7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7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7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7">
        <f t="shared" si="7"/>
        <v>0</v>
      </c>
      <c r="AK69" s="17">
        <f t="shared" si="7"/>
        <v>0</v>
      </c>
      <c r="AL69" s="117">
        <f t="shared" si="7"/>
        <v>0</v>
      </c>
      <c r="AM69" s="55">
        <f t="shared" si="4"/>
        <v>0</v>
      </c>
      <c r="AN69" s="121">
        <f t="shared" si="5"/>
        <v>0</v>
      </c>
    </row>
    <row r="70" spans="1:40">
      <c r="A70" s="181"/>
      <c r="B70" s="108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9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7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7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7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7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7">
        <f t="shared" si="8"/>
        <v>0</v>
      </c>
      <c r="AK70" s="17">
        <f t="shared" si="8"/>
        <v>0</v>
      </c>
      <c r="AL70" s="117">
        <f t="shared" si="8"/>
        <v>0</v>
      </c>
      <c r="AM70" s="55">
        <f t="shared" si="4"/>
        <v>0</v>
      </c>
      <c r="AN70" s="121">
        <f t="shared" si="5"/>
        <v>0</v>
      </c>
    </row>
    <row r="71" spans="1:40">
      <c r="A71" s="181"/>
      <c r="B71" s="108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9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7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7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7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7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7">
        <f t="shared" si="9"/>
        <v>0</v>
      </c>
      <c r="AK71" s="17">
        <f t="shared" si="9"/>
        <v>0</v>
      </c>
      <c r="AL71" s="117">
        <f t="shared" si="9"/>
        <v>0</v>
      </c>
      <c r="AM71" s="55">
        <f t="shared" si="4"/>
        <v>0</v>
      </c>
      <c r="AN71" s="121">
        <f t="shared" si="5"/>
        <v>0</v>
      </c>
    </row>
    <row r="72" spans="1:40">
      <c r="A72" s="181"/>
      <c r="B72" s="108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9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7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7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7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7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7">
        <f t="shared" si="10"/>
        <v>0</v>
      </c>
      <c r="AK72" s="17">
        <f t="shared" si="10"/>
        <v>0</v>
      </c>
      <c r="AL72" s="117">
        <f t="shared" si="10"/>
        <v>0</v>
      </c>
      <c r="AM72" s="55">
        <f t="shared" si="4"/>
        <v>0</v>
      </c>
      <c r="AN72" s="121">
        <f t="shared" si="5"/>
        <v>0</v>
      </c>
    </row>
    <row r="73" spans="1:40" ht="17.25" customHeight="1"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114"/>
      <c r="AH73" s="79"/>
      <c r="AI73" s="79"/>
      <c r="AJ73" s="79"/>
      <c r="AK73" s="79"/>
      <c r="AL73" s="79"/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4" priority="13" operator="equal">
      <formula>0</formula>
    </cfRule>
  </conditionalFormatting>
  <conditionalFormatting sqref="B12:B26">
    <cfRule type="cellIs" dxfId="43" priority="9" operator="equal">
      <formula>0</formula>
    </cfRule>
  </conditionalFormatting>
  <conditionalFormatting sqref="B28:B41">
    <cfRule type="cellIs" dxfId="42" priority="8" operator="equal">
      <formula>0</formula>
    </cfRule>
  </conditionalFormatting>
  <conditionalFormatting sqref="B66:B72">
    <cfRule type="cellIs" dxfId="41" priority="12" operator="equal">
      <formula>0</formula>
    </cfRule>
  </conditionalFormatting>
  <conditionalFormatting sqref="B100:B101">
    <cfRule type="cellIs" dxfId="40" priority="5" operator="equal">
      <formula>0</formula>
    </cfRule>
  </conditionalFormatting>
  <conditionalFormatting sqref="B103:B108">
    <cfRule type="cellIs" dxfId="39" priority="4" operator="equal">
      <formula>0</formula>
    </cfRule>
  </conditionalFormatting>
  <conditionalFormatting sqref="B110:B115">
    <cfRule type="cellIs" dxfId="38" priority="3" operator="equal">
      <formula>0</formula>
    </cfRule>
  </conditionalFormatting>
  <conditionalFormatting sqref="C77:H77">
    <cfRule type="cellIs" dxfId="3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workbookViewId="0">
      <selection activeCell="N2" sqref="N2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8" width="4.28515625" customWidth="1"/>
    <col min="39" max="39" width="8.140625" customWidth="1"/>
  </cols>
  <sheetData>
    <row r="1" spans="1:39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  <c r="AJ1" s="53" t="s">
        <v>6</v>
      </c>
      <c r="AK1" s="54" t="s">
        <v>7</v>
      </c>
      <c r="AL1" s="53"/>
      <c r="AM1" s="54"/>
    </row>
    <row r="2" spans="1:39">
      <c r="A2" s="16" t="s">
        <v>70</v>
      </c>
      <c r="B2" s="17">
        <f>'1'!C74+'2'!C74+'3'!C74+'4'!C74+'5'!C74+'6'!C74+'7'!C66+'8'!C66+'9'!C66+'10'!C66</f>
        <v>0</v>
      </c>
      <c r="C2" s="17">
        <f>'1'!D74+'2'!D74+'3'!D74+'4'!D74+'5'!D74+'6'!D74+'7'!D66+'8'!D66+'9'!D66+'10'!D66</f>
        <v>0</v>
      </c>
      <c r="D2" s="17">
        <f>'1'!E74+'2'!E74+'3'!E74+'4'!E74+'5'!E74+'6'!E74+'7'!E66+'8'!E66+'9'!E66+'10'!E66</f>
        <v>0</v>
      </c>
      <c r="E2" s="17">
        <f>'1'!F74+'2'!F74+'3'!F74+'4'!F74+'5'!F74+'6'!F74+'7'!F66+'8'!F66+'9'!F66+'10'!F66</f>
        <v>0</v>
      </c>
      <c r="F2" s="17">
        <f>'1'!G74+'2'!G74+'3'!G74+'4'!G74+'5'!G74+'6'!G74+'7'!G66+'8'!G66+'9'!G66+'10'!G66</f>
        <v>0</v>
      </c>
      <c r="G2" s="17">
        <f>'1'!H74+'2'!H74+'3'!H74+'4'!H74+'5'!H74+'6'!H74+'7'!H66+'8'!H66+'9'!H66+'10'!H66</f>
        <v>0</v>
      </c>
      <c r="H2" s="17">
        <f>'1'!I74+'2'!I74+'3'!I74+'4'!I74+'5'!I74+'6'!I74+'7'!I66+'8'!I66+'9'!I66+'10'!I66</f>
        <v>0</v>
      </c>
      <c r="I2" s="17">
        <f>'1'!J74+'2'!J74+'3'!J74+'4'!J74+'5'!J74+'6'!J74+'7'!J66+'8'!J66+'9'!J66+'10'!J66</f>
        <v>0</v>
      </c>
      <c r="J2" s="17">
        <f>'1'!K74+'2'!K74+'3'!K74+'4'!K74+'5'!K74+'6'!K74+'7'!K66+'8'!K66+'9'!K66+'10'!K66</f>
        <v>9</v>
      </c>
      <c r="K2" s="17">
        <f>'1'!L74+'2'!L74+'3'!L74+'4'!L74+'5'!L74+'6'!L74+'7'!L66+'8'!L66+'9'!L66+'10'!L66</f>
        <v>9</v>
      </c>
      <c r="L2" s="17">
        <f>'1'!M74+'2'!M74+'3'!M74+'4'!M74+'5'!M74+'6'!M74+'7'!M66+'8'!M66+'9'!M66+'10'!M66</f>
        <v>0</v>
      </c>
      <c r="M2" s="17">
        <f>'1'!N74+'2'!N74+'3'!N74+'4'!N74+'5'!N74+'6'!N74+'7'!N66+'8'!N66+'9'!N66+'10'!N66</f>
        <v>0</v>
      </c>
      <c r="N2" s="17">
        <f>'1'!O74+'2'!O74+'3'!O74+'4'!O74+'5'!O74+'6'!O74+'7'!O66+'8'!O66+'9'!O66+'10'!O66</f>
        <v>0</v>
      </c>
      <c r="O2" s="17">
        <f>'1'!P74+'2'!P74+'3'!P74+'4'!P74+'5'!P74+'6'!P74+'7'!P66+'8'!P66+'9'!P66+'10'!P66</f>
        <v>0</v>
      </c>
      <c r="P2" s="17">
        <f>'1'!Q74+'2'!Q74+'3'!Q74+'4'!Q74+'5'!Q74+'6'!Q74+'7'!Q66+'8'!Q66+'9'!Q66+'10'!Q66</f>
        <v>0</v>
      </c>
      <c r="Q2" s="17">
        <f>'1'!R74+'2'!R74+'3'!R74+'4'!R74+'5'!R74+'6'!R74+'7'!R66+'8'!R66+'9'!R66+'10'!R66</f>
        <v>0</v>
      </c>
      <c r="R2" s="17">
        <f>'1'!S74+'2'!S74+'3'!S74+'4'!S74+'5'!S74+'6'!S74+'7'!S66+'8'!S66+'9'!S66+'10'!S66</f>
        <v>0</v>
      </c>
      <c r="S2" s="17">
        <f>'1'!T74+'2'!T74+'3'!T74+'4'!T74+'5'!T74+'6'!T74+'7'!T66+'8'!T66+'9'!T66+'10'!T66</f>
        <v>0</v>
      </c>
      <c r="T2" s="17">
        <f>'1'!U74+'2'!U74+'3'!U74+'4'!U74+'5'!U74+'6'!U74+'7'!U66+'8'!U66+'9'!U66+'10'!U66</f>
        <v>0</v>
      </c>
      <c r="U2" s="17">
        <f>'1'!V74+'2'!V74+'3'!V74+'4'!V74+'5'!V74+'6'!V74+'7'!V66+'8'!V66+'9'!V66+'10'!V66</f>
        <v>0</v>
      </c>
      <c r="V2" s="17">
        <f>'1'!W74+'2'!W74+'3'!W74+'4'!W74+'5'!W74+'6'!W74+'7'!W66+'8'!W66+'9'!W66+'10'!W66</f>
        <v>0</v>
      </c>
      <c r="W2" s="17">
        <f>'1'!X74+'2'!X74+'3'!X74+'4'!X74+'5'!X74+'6'!X74+'7'!X66+'8'!X66+'9'!X66+'10'!X66</f>
        <v>0</v>
      </c>
      <c r="X2" s="17">
        <f>'1'!Y74+'2'!Y74+'3'!Y74+'4'!Y74+'5'!Y74+'6'!Y74+'7'!Y66+'8'!Y66+'9'!Y66+'10'!Y66</f>
        <v>0</v>
      </c>
      <c r="Y2" s="17">
        <f>'1'!Z74+'2'!Z74+'3'!Z74+'4'!Z74+'5'!Z74+'6'!Z74+'7'!Z66+'8'!Z66+'9'!Z66+'10'!Z66</f>
        <v>0</v>
      </c>
      <c r="Z2" s="17">
        <f>'1'!AA74+'2'!AA74+'3'!AA74+'4'!AA74+'5'!AA74+'6'!AA74+'7'!AA66+'8'!AA66+'9'!AA66+'10'!AA66</f>
        <v>0</v>
      </c>
      <c r="AA2" s="17">
        <f>'1'!AB74+'2'!AB74+'3'!AB74+'4'!AB74+'5'!AB74+'6'!AB74+'7'!AB66+'8'!AB66+'9'!AB66+'10'!AB66</f>
        <v>0</v>
      </c>
      <c r="AB2" s="17">
        <f>'1'!AC74+'2'!AC74+'3'!AC74+'4'!AC74+'5'!AC74+'6'!AC74+'7'!AC66+'8'!AC66+'9'!AC66+'10'!AC66</f>
        <v>0</v>
      </c>
      <c r="AC2" s="17">
        <f>'1'!AD74+'2'!AD74+'3'!AD74+'4'!AD74+'5'!AD74+'6'!AD74+'7'!AD66+'8'!AD66+'9'!AD66+'10'!AD66</f>
        <v>0</v>
      </c>
      <c r="AD2" s="17">
        <f>'1'!AE74+'2'!AE74+'3'!AE74+'4'!AE74+'5'!AE74+'6'!AE74+'7'!AE66+'8'!AE66+'9'!AE66+'10'!AE66</f>
        <v>0</v>
      </c>
      <c r="AE2" s="17">
        <f>'1'!AF74+'2'!AF74+'3'!AF74+'4'!AF74+'5'!AF74+'6'!AF74+'7'!AF66+'8'!AF66+'9'!AF66+'10'!AF66</f>
        <v>0</v>
      </c>
      <c r="AF2" s="17">
        <f>'1'!AG74+'2'!AG74+'3'!AG74+'4'!AG74+'5'!AG74+'6'!AG74+'7'!AG66+'8'!AG66+'9'!AG66+'10'!AG66</f>
        <v>0</v>
      </c>
      <c r="AG2" s="17">
        <f>'1'!AH74+'2'!AH74+'3'!AH74+'4'!AH74+'5'!AH74+'6'!AH74+'7'!AH66+'8'!AH66+'9'!AH66+'10'!AH66</f>
        <v>0</v>
      </c>
      <c r="AH2" s="17">
        <f>'1'!AI74+'2'!AI74+'3'!AI74+'4'!AI74+'5'!AI74+'6'!AI74+'7'!AI66+'8'!AI66+'9'!AI66+'10'!AI66</f>
        <v>0</v>
      </c>
      <c r="AI2" s="17">
        <f>'1'!AJ74+'2'!AJ74+'3'!AJ74+'4'!AJ74+'5'!AJ74+'6'!AJ74+'7'!AJ66+'8'!AJ66+'9'!AJ66+'10'!AJ66</f>
        <v>3</v>
      </c>
      <c r="AJ2" s="17">
        <f>'1'!AK74+'2'!AK74+'3'!AK74+'4'!AK74+'5'!AK74+'6'!AK74+'7'!AK66+'8'!AK66+'9'!AK66+'10'!AK66</f>
        <v>0</v>
      </c>
      <c r="AK2" s="17">
        <f>'1'!AL74+'2'!AL74+'3'!AL74+'4'!AL74+'5'!AL74+'6'!AL74+'7'!AL66+'8'!AL66+'9'!AL66+'10'!AL66</f>
        <v>0</v>
      </c>
      <c r="AL2" s="55">
        <f>SUM(B2:AK2)</f>
        <v>21</v>
      </c>
      <c r="AM2" s="56">
        <f>AL2*215</f>
        <v>4515</v>
      </c>
    </row>
    <row r="3" spans="1:39">
      <c r="A3" s="16" t="s">
        <v>14</v>
      </c>
      <c r="B3" s="17">
        <f>'1'!C75+'2'!C75+'3'!C75+'4'!C75+'5'!C75+'6'!C75+'7'!C67+'8'!C67+'9'!C67+'10'!C67</f>
        <v>0</v>
      </c>
      <c r="C3" s="17">
        <f>'1'!D75+'2'!D75+'3'!D75+'4'!D75+'5'!D75+'6'!D75+'7'!D67+'8'!D67+'9'!D67+'10'!D67</f>
        <v>0</v>
      </c>
      <c r="D3" s="17">
        <f>'1'!E75+'2'!E75+'3'!E75+'4'!E75+'5'!E75+'6'!E75+'7'!E67+'8'!E67+'9'!E67+'10'!E67</f>
        <v>0</v>
      </c>
      <c r="E3" s="17">
        <f>'1'!F75+'2'!F75+'3'!F75+'4'!F75+'5'!F75+'6'!F75+'7'!F67+'8'!F67+'9'!F67+'10'!F67</f>
        <v>0</v>
      </c>
      <c r="F3" s="17">
        <f>'1'!G75+'2'!G75+'3'!G75+'4'!G75+'5'!G75+'6'!G75+'7'!G67+'8'!G67+'9'!G67+'10'!G67</f>
        <v>0</v>
      </c>
      <c r="G3" s="17">
        <f>'1'!H75+'2'!H75+'3'!H75+'4'!H75+'5'!H75+'6'!H75+'7'!H67+'8'!H67+'9'!H67+'10'!H67</f>
        <v>0</v>
      </c>
      <c r="H3" s="17">
        <f>'1'!I75+'2'!I75+'3'!I75+'4'!I75+'5'!I75+'6'!I75+'7'!I67+'8'!I67+'9'!I67+'10'!I67</f>
        <v>0</v>
      </c>
      <c r="I3" s="17">
        <f>'1'!J75+'2'!J75+'3'!J75+'4'!J75+'5'!J75+'6'!J75+'7'!J67+'8'!J67+'9'!J67+'10'!J67</f>
        <v>0</v>
      </c>
      <c r="J3" s="17">
        <f>'1'!K75+'2'!K75+'3'!K75+'4'!K75+'5'!K75+'6'!K75+'7'!K67+'8'!K67+'9'!K67+'10'!K67</f>
        <v>0</v>
      </c>
      <c r="K3" s="17">
        <f>'1'!L75+'2'!L75+'3'!L75+'4'!L75+'5'!L75+'6'!L75+'7'!L67+'8'!L67+'9'!L67+'10'!L67</f>
        <v>0</v>
      </c>
      <c r="L3" s="17">
        <f>'1'!M75+'2'!M75+'3'!M75+'4'!M75+'5'!M75+'6'!M75+'7'!M67+'8'!M67+'9'!M67+'10'!M67</f>
        <v>0</v>
      </c>
      <c r="M3" s="17">
        <f>'1'!N75+'2'!N75+'3'!N75+'4'!N75+'5'!N75+'6'!N75+'7'!N67+'8'!N67+'9'!N67+'10'!N67</f>
        <v>0</v>
      </c>
      <c r="N3" s="17">
        <f>'1'!O75+'2'!O75+'3'!O75+'4'!O75+'5'!O75+'6'!O75+'7'!O67+'8'!O67+'9'!O67+'10'!O67</f>
        <v>15</v>
      </c>
      <c r="O3" s="17">
        <f>'1'!P75+'2'!P75+'3'!P75+'4'!P75+'5'!P75+'6'!P75+'7'!P67+'8'!P67+'9'!P67+'10'!P67</f>
        <v>0</v>
      </c>
      <c r="P3" s="17">
        <f>'1'!Q75+'2'!Q75+'3'!Q75+'4'!Q75+'5'!Q75+'6'!Q75+'7'!Q67+'8'!Q67+'9'!Q67+'10'!Q67</f>
        <v>10</v>
      </c>
      <c r="Q3" s="17">
        <f>'1'!R75+'2'!R75+'3'!R75+'4'!R75+'5'!R75+'6'!R75+'7'!R67+'8'!R67+'9'!R67+'10'!R67</f>
        <v>0</v>
      </c>
      <c r="R3" s="17">
        <f>'1'!S75+'2'!S75+'3'!S75+'4'!S75+'5'!S75+'6'!S75+'7'!S67+'8'!S67+'9'!S67+'10'!S67</f>
        <v>0</v>
      </c>
      <c r="S3" s="17">
        <f>'1'!T75+'2'!T75+'3'!T75+'4'!T75+'5'!T75+'6'!T75+'7'!T67+'8'!T67+'9'!T67+'10'!T67</f>
        <v>0</v>
      </c>
      <c r="T3" s="17">
        <f>'1'!U75+'2'!U75+'3'!U75+'4'!U75+'5'!U75+'6'!U75+'7'!U67+'8'!U67+'9'!U67+'10'!U67</f>
        <v>0</v>
      </c>
      <c r="U3" s="17">
        <f>'1'!V75+'2'!V75+'3'!V75+'4'!V75+'5'!V75+'6'!V75+'7'!V67+'8'!V67+'9'!V67+'10'!V67</f>
        <v>0</v>
      </c>
      <c r="V3" s="17">
        <f>'1'!W75+'2'!W75+'3'!W75+'4'!W75+'5'!W75+'6'!W75+'7'!W67+'8'!W67+'9'!W67+'10'!W67</f>
        <v>0</v>
      </c>
      <c r="W3" s="17">
        <f>'1'!X75+'2'!X75+'3'!X75+'4'!X75+'5'!X75+'6'!X75+'7'!X67+'8'!X67+'9'!X67+'10'!X67</f>
        <v>0</v>
      </c>
      <c r="X3" s="17">
        <f>'1'!Y75+'2'!Y75+'3'!Y75+'4'!Y75+'5'!Y75+'6'!Y75+'7'!Y67+'8'!Y67+'9'!Y67+'10'!Y67</f>
        <v>0</v>
      </c>
      <c r="Y3" s="17">
        <f>'1'!Z75+'2'!Z75+'3'!Z75+'4'!Z75+'5'!Z75+'6'!Z75+'7'!Z67+'8'!Z67+'9'!Z67+'10'!Z67</f>
        <v>0</v>
      </c>
      <c r="Z3" s="17">
        <f>'1'!AA75+'2'!AA75+'3'!AA75+'4'!AA75+'5'!AA75+'6'!AA75+'7'!AA67+'8'!AA67+'9'!AA67+'10'!AA67</f>
        <v>0</v>
      </c>
      <c r="AA3" s="17">
        <f>'1'!AB75+'2'!AB75+'3'!AB75+'4'!AB75+'5'!AB75+'6'!AB75+'7'!AB67+'8'!AB67+'9'!AB67+'10'!AB67</f>
        <v>0</v>
      </c>
      <c r="AB3" s="17">
        <f>'1'!AC75+'2'!AC75+'3'!AC75+'4'!AC75+'5'!AC75+'6'!AC75+'7'!AC67+'8'!AC67+'9'!AC67+'10'!AC67</f>
        <v>0</v>
      </c>
      <c r="AC3" s="17">
        <f>'1'!AD75+'2'!AD75+'3'!AD75+'4'!AD75+'5'!AD75+'6'!AD75+'7'!AD67+'8'!AD67+'9'!AD67+'10'!AD67</f>
        <v>0</v>
      </c>
      <c r="AD3" s="17">
        <f>'1'!AE75+'2'!AE75+'3'!AE75+'4'!AE75+'5'!AE75+'6'!AE75+'7'!AE67+'8'!AE67+'9'!AE67+'10'!AE67</f>
        <v>0</v>
      </c>
      <c r="AE3" s="17">
        <f>'1'!AF75+'2'!AF75+'3'!AF75+'4'!AF75+'5'!AF75+'6'!AF75+'7'!AF67+'8'!AF67+'9'!AF67+'10'!AF67</f>
        <v>0</v>
      </c>
      <c r="AF3" s="17">
        <f>'1'!AG75+'2'!AG75+'3'!AG75+'4'!AG75+'5'!AG75+'6'!AG75+'7'!AG67+'8'!AG67+'9'!AG67+'10'!AG67</f>
        <v>0</v>
      </c>
      <c r="AG3" s="17">
        <f>'1'!AH75+'2'!AH75+'3'!AH75+'4'!AH75+'5'!AH75+'6'!AH75+'7'!AH67+'8'!AH67+'9'!AH67+'10'!AH67</f>
        <v>0</v>
      </c>
      <c r="AH3" s="17">
        <f>'1'!AI75+'2'!AI75+'3'!AI75+'4'!AI75+'5'!AI75+'6'!AI75+'7'!AI67+'8'!AI67+'9'!AI67+'10'!AI67</f>
        <v>0</v>
      </c>
      <c r="AI3" s="17">
        <f>'1'!AJ75+'2'!AJ75+'3'!AJ75+'4'!AJ75+'5'!AJ75+'6'!AJ75+'7'!AJ67+'8'!AJ67+'9'!AJ67+'10'!AJ67</f>
        <v>0</v>
      </c>
      <c r="AJ3" s="17">
        <f>'1'!AK75+'2'!AK75+'3'!AK75+'4'!AK75+'5'!AK75+'6'!AK75+'7'!AK67+'8'!AK67+'9'!AK67+'10'!AK67</f>
        <v>0</v>
      </c>
      <c r="AK3" s="17">
        <f>'1'!AL75+'2'!AL75+'3'!AL75+'4'!AL75+'5'!AL75+'6'!AL75+'7'!AL67+'8'!AL67+'9'!AL67+'10'!AL67</f>
        <v>0</v>
      </c>
      <c r="AL3" s="55">
        <f t="shared" ref="AL3:AL8" si="0">SUM(B3:AK3)</f>
        <v>25</v>
      </c>
      <c r="AM3" s="56">
        <f t="shared" ref="AM3:AM8" si="1">AL3*215</f>
        <v>5375</v>
      </c>
    </row>
    <row r="4" spans="1:39">
      <c r="A4" s="16" t="s">
        <v>15</v>
      </c>
      <c r="B4" s="17">
        <f>'1'!C76+'2'!C76+'3'!C76+'4'!C76+'5'!C76+'6'!C76+'7'!C68+'8'!C68+'9'!C68+'10'!C68</f>
        <v>0</v>
      </c>
      <c r="C4" s="17">
        <f>'1'!D76+'2'!D76+'3'!D76+'4'!D76+'5'!D76+'6'!D76+'7'!D68+'8'!D68+'9'!D68+'10'!D68</f>
        <v>0</v>
      </c>
      <c r="D4" s="17">
        <f>'1'!E76+'2'!E76+'3'!E76+'4'!E76+'5'!E76+'6'!E76+'7'!E68+'8'!E68+'9'!E68+'10'!E68</f>
        <v>0</v>
      </c>
      <c r="E4" s="17">
        <f>'1'!F76+'2'!F76+'3'!F76+'4'!F76+'5'!F76+'6'!F76+'7'!F68+'8'!F68+'9'!F68+'10'!F68</f>
        <v>0</v>
      </c>
      <c r="F4" s="17">
        <f>'1'!G76+'2'!G76+'3'!G76+'4'!G76+'5'!G76+'6'!G76+'7'!G68+'8'!G68+'9'!G68+'10'!G68</f>
        <v>0</v>
      </c>
      <c r="G4" s="17">
        <f>'1'!H76+'2'!H76+'3'!H76+'4'!H76+'5'!H76+'6'!H76+'7'!H68+'8'!H68+'9'!H68+'10'!H68</f>
        <v>0</v>
      </c>
      <c r="H4" s="17">
        <f>'1'!I76+'2'!I76+'3'!I76+'4'!I76+'5'!I76+'6'!I76+'7'!I68+'8'!I68+'9'!I68+'10'!I68</f>
        <v>0</v>
      </c>
      <c r="I4" s="17">
        <f>'1'!J76+'2'!J76+'3'!J76+'4'!J76+'5'!J76+'6'!J76+'7'!J68+'8'!J68+'9'!J68+'10'!J68</f>
        <v>0</v>
      </c>
      <c r="J4" s="17">
        <f>'1'!K76+'2'!K76+'3'!K76+'4'!K76+'5'!K76+'6'!K76+'7'!K68+'8'!K68+'9'!K68+'10'!K68</f>
        <v>0</v>
      </c>
      <c r="K4" s="17">
        <f>'1'!L76+'2'!L76+'3'!L76+'4'!L76+'5'!L76+'6'!L76+'7'!L68+'8'!L68+'9'!L68+'10'!L68</f>
        <v>0</v>
      </c>
      <c r="L4" s="17">
        <f>'1'!M76+'2'!M76+'3'!M76+'4'!M76+'5'!M76+'6'!M76+'7'!M68+'8'!M68+'9'!M68+'10'!M68</f>
        <v>0</v>
      </c>
      <c r="M4" s="17">
        <f>'1'!N76+'2'!N76+'3'!N76+'4'!N76+'5'!N76+'6'!N76+'7'!N68+'8'!N68+'9'!N68+'10'!N68</f>
        <v>0</v>
      </c>
      <c r="N4" s="17">
        <f>'1'!O76+'2'!O76+'3'!O76+'4'!O76+'5'!O76+'6'!O76+'7'!O68+'8'!O68+'9'!O68+'10'!O68</f>
        <v>0</v>
      </c>
      <c r="O4" s="17">
        <f>'1'!P76+'2'!P76+'3'!P76+'4'!P76+'5'!P76+'6'!P76+'7'!P68+'8'!P68+'9'!P68+'10'!P68</f>
        <v>21</v>
      </c>
      <c r="P4" s="17">
        <f>'1'!Q76+'2'!Q76+'3'!Q76+'4'!Q76+'5'!Q76+'6'!Q76+'7'!Q68+'8'!Q68+'9'!Q68+'10'!Q68</f>
        <v>0</v>
      </c>
      <c r="Q4" s="17">
        <f>'1'!R76+'2'!R76+'3'!R76+'4'!R76+'5'!R76+'6'!R76+'7'!R68+'8'!R68+'9'!R68+'10'!R68</f>
        <v>0</v>
      </c>
      <c r="R4" s="17">
        <f>'1'!S76+'2'!S76+'3'!S76+'4'!S76+'5'!S76+'6'!S76+'7'!S68+'8'!S68+'9'!S68+'10'!S68</f>
        <v>0</v>
      </c>
      <c r="S4" s="17">
        <f>'1'!T76+'2'!T76+'3'!T76+'4'!T76+'5'!T76+'6'!T76+'7'!T68+'8'!T68+'9'!T68+'10'!T68</f>
        <v>14</v>
      </c>
      <c r="T4" s="17">
        <f>'1'!U76+'2'!U76+'3'!U76+'4'!U76+'5'!U76+'6'!U76+'7'!U68+'8'!U68+'9'!U68+'10'!U68</f>
        <v>1</v>
      </c>
      <c r="U4" s="17">
        <f>'1'!V76+'2'!V76+'3'!V76+'4'!V76+'5'!V76+'6'!V76+'7'!V68+'8'!V68+'9'!V68+'10'!V68</f>
        <v>0</v>
      </c>
      <c r="V4" s="17">
        <f>'1'!W76+'2'!W76+'3'!W76+'4'!W76+'5'!W76+'6'!W76+'7'!W68+'8'!W68+'9'!W68+'10'!W68</f>
        <v>0</v>
      </c>
      <c r="W4" s="17">
        <f>'1'!X76+'2'!X76+'3'!X76+'4'!X76+'5'!X76+'6'!X76+'7'!X68+'8'!X68+'9'!X68+'10'!X68</f>
        <v>0</v>
      </c>
      <c r="X4" s="17">
        <f>'1'!Y76+'2'!Y76+'3'!Y76+'4'!Y76+'5'!Y76+'6'!Y76+'7'!Y68+'8'!Y68+'9'!Y68+'10'!Y68</f>
        <v>0</v>
      </c>
      <c r="Y4" s="17">
        <f>'1'!Z76+'2'!Z76+'3'!Z76+'4'!Z76+'5'!Z76+'6'!Z76+'7'!Z68+'8'!Z68+'9'!Z68+'10'!Z68</f>
        <v>0</v>
      </c>
      <c r="Z4" s="17">
        <f>'1'!AA76+'2'!AA76+'3'!AA76+'4'!AA76+'5'!AA76+'6'!AA76+'7'!AA68+'8'!AA68+'9'!AA68+'10'!AA68</f>
        <v>0</v>
      </c>
      <c r="AA4" s="17">
        <f>'1'!AB76+'2'!AB76+'3'!AB76+'4'!AB76+'5'!AB76+'6'!AB76+'7'!AB68+'8'!AB68+'9'!AB68+'10'!AB68</f>
        <v>0</v>
      </c>
      <c r="AB4" s="17">
        <f>'1'!AC76+'2'!AC76+'3'!AC76+'4'!AC76+'5'!AC76+'6'!AC76+'7'!AC68+'8'!AC68+'9'!AC68+'10'!AC68</f>
        <v>0</v>
      </c>
      <c r="AC4" s="17">
        <f>'1'!AD76+'2'!AD76+'3'!AD76+'4'!AD76+'5'!AD76+'6'!AD76+'7'!AD68+'8'!AD68+'9'!AD68+'10'!AD68</f>
        <v>0</v>
      </c>
      <c r="AD4" s="17">
        <f>'1'!AE76+'2'!AE76+'3'!AE76+'4'!AE76+'5'!AE76+'6'!AE76+'7'!AE68+'8'!AE68+'9'!AE68+'10'!AE68</f>
        <v>0</v>
      </c>
      <c r="AE4" s="17">
        <f>'1'!AF76+'2'!AF76+'3'!AF76+'4'!AF76+'5'!AF76+'6'!AF76+'7'!AF68+'8'!AF68+'9'!AF68+'10'!AF68</f>
        <v>0</v>
      </c>
      <c r="AF4" s="17">
        <f>'1'!AG76+'2'!AG76+'3'!AG76+'4'!AG76+'5'!AG76+'6'!AG76+'7'!AG68+'8'!AG68+'9'!AG68+'10'!AG68</f>
        <v>0</v>
      </c>
      <c r="AG4" s="17">
        <f>'1'!AH76+'2'!AH76+'3'!AH76+'4'!AH76+'5'!AH76+'6'!AH76+'7'!AH68+'8'!AH68+'9'!AH68+'10'!AH68</f>
        <v>0</v>
      </c>
      <c r="AH4" s="17">
        <f>'1'!AI76+'2'!AI76+'3'!AI76+'4'!AI76+'5'!AI76+'6'!AI76+'7'!AI68+'8'!AI68+'9'!AI68+'10'!AI68</f>
        <v>0</v>
      </c>
      <c r="AI4" s="17">
        <f>'1'!AJ76+'2'!AJ76+'3'!AJ76+'4'!AJ76+'5'!AJ76+'6'!AJ76+'7'!AJ68+'8'!AJ68+'9'!AJ68+'10'!AJ68</f>
        <v>0</v>
      </c>
      <c r="AJ4" s="17">
        <f>'1'!AK76+'2'!AK76+'3'!AK76+'4'!AK76+'5'!AK76+'6'!AK76+'7'!AK68+'8'!AK68+'9'!AK68+'10'!AK68</f>
        <v>0</v>
      </c>
      <c r="AK4" s="17">
        <f>'1'!AL76+'2'!AL76+'3'!AL76+'4'!AL76+'5'!AL76+'6'!AL76+'7'!AL68+'8'!AL68+'9'!AL68+'10'!AL68</f>
        <v>0</v>
      </c>
      <c r="AL4" s="55">
        <f t="shared" si="0"/>
        <v>36</v>
      </c>
      <c r="AM4" s="56">
        <f t="shared" si="1"/>
        <v>7740</v>
      </c>
    </row>
    <row r="5" spans="1:39">
      <c r="A5" s="16" t="s">
        <v>142</v>
      </c>
      <c r="B5" s="17">
        <f>'1'!C77+'2'!C77+'3'!C77+'4'!C77+'5'!C77+'6'!C77+'7'!C69+'8'!C69+'9'!C69+'10'!C69</f>
        <v>0</v>
      </c>
      <c r="C5" s="17">
        <f>'1'!D77+'2'!D77+'3'!D77+'4'!D77+'5'!D77+'6'!D77+'7'!D69+'8'!D69+'9'!D69+'10'!D69</f>
        <v>0</v>
      </c>
      <c r="D5" s="17">
        <f>'1'!E77+'2'!E77+'3'!E77+'4'!E77+'5'!E77+'6'!E77+'7'!E69+'8'!E69+'9'!E69+'10'!E69</f>
        <v>0</v>
      </c>
      <c r="E5" s="17">
        <f>'1'!F77+'2'!F77+'3'!F77+'4'!F77+'5'!F77+'6'!F77+'7'!F69+'8'!F69+'9'!F69+'10'!F69</f>
        <v>0</v>
      </c>
      <c r="F5" s="17">
        <f>'1'!G77+'2'!G77+'3'!G77+'4'!G77+'5'!G77+'6'!G77+'7'!G69+'8'!G69+'9'!G69+'10'!G69</f>
        <v>0</v>
      </c>
      <c r="G5" s="17">
        <f>'1'!H77+'2'!H77+'3'!H77+'4'!H77+'5'!H77+'6'!H77+'7'!H69+'8'!H69+'9'!H69+'10'!H69</f>
        <v>0</v>
      </c>
      <c r="H5" s="17">
        <f>'1'!I77+'2'!I77+'3'!I77+'4'!I77+'5'!I77+'6'!I77+'7'!I69+'8'!I69+'9'!I69+'10'!I69</f>
        <v>0</v>
      </c>
      <c r="I5" s="17">
        <f>'1'!J77+'2'!J77+'3'!J77+'4'!J77+'5'!J77+'6'!J77+'7'!J69+'8'!J69+'9'!J69+'10'!J69</f>
        <v>0</v>
      </c>
      <c r="J5" s="17">
        <f>'1'!K77+'2'!K77+'3'!K77+'4'!K77+'5'!K77+'6'!K77+'7'!K69+'8'!K69+'9'!K69+'10'!K69</f>
        <v>0</v>
      </c>
      <c r="K5" s="17">
        <f>'1'!L77+'2'!L77+'3'!L77+'4'!L77+'5'!L77+'6'!L77+'7'!L69+'8'!L69+'9'!L69+'10'!L69</f>
        <v>0</v>
      </c>
      <c r="L5" s="17">
        <f>'1'!M77+'2'!M77+'3'!M77+'4'!M77+'5'!M77+'6'!M77+'7'!M69+'8'!M69+'9'!M69+'10'!M69</f>
        <v>0</v>
      </c>
      <c r="M5" s="17">
        <f>'1'!N77+'2'!N77+'3'!N77+'4'!N77+'5'!N77+'6'!N77+'7'!N69+'8'!N69+'9'!N69+'10'!N69</f>
        <v>0</v>
      </c>
      <c r="N5" s="17">
        <f>'1'!O77+'2'!O77+'3'!O77+'4'!O77+'5'!O77+'6'!O77+'7'!O69+'8'!O69+'9'!O69+'10'!O69</f>
        <v>0</v>
      </c>
      <c r="O5" s="17">
        <f>'1'!P77+'2'!P77+'3'!P77+'4'!P77+'5'!P77+'6'!P77+'7'!P69+'8'!P69+'9'!P69+'10'!P69</f>
        <v>0</v>
      </c>
      <c r="P5" s="17">
        <f>'1'!Q77+'2'!Q77+'3'!Q77+'4'!Q77+'5'!Q77+'6'!Q77+'7'!Q69+'8'!Q69+'9'!Q69+'10'!Q69</f>
        <v>0</v>
      </c>
      <c r="Q5" s="17">
        <f>'1'!R77+'2'!R77+'3'!R77+'4'!R77+'5'!R77+'6'!R77+'7'!R69+'8'!R69+'9'!R69+'10'!R69</f>
        <v>0</v>
      </c>
      <c r="R5" s="17">
        <f>'1'!S77+'2'!S77+'3'!S77+'4'!S77+'5'!S77+'6'!S77+'7'!S69+'8'!S69+'9'!S69+'10'!S69</f>
        <v>0</v>
      </c>
      <c r="S5" s="17">
        <f>'1'!T77+'2'!T77+'3'!T77+'4'!T77+'5'!T77+'6'!T77+'7'!T69+'8'!T69+'9'!T69+'10'!T69</f>
        <v>0</v>
      </c>
      <c r="T5" s="17">
        <f>'1'!U77+'2'!U77+'3'!U77+'4'!U77+'5'!U77+'6'!U77+'7'!U69+'8'!U69+'9'!U69+'10'!U69</f>
        <v>0</v>
      </c>
      <c r="U5" s="17">
        <f>'1'!V77+'2'!V77+'3'!V77+'4'!V77+'5'!V77+'6'!V77+'7'!V69+'8'!V69+'9'!V69+'10'!V69</f>
        <v>0</v>
      </c>
      <c r="V5" s="17">
        <f>'1'!W77+'2'!W77+'3'!W77+'4'!W77+'5'!W77+'6'!W77+'7'!W69+'8'!W69+'9'!W69+'10'!W69</f>
        <v>0</v>
      </c>
      <c r="W5" s="17">
        <f>'1'!X77+'2'!X77+'3'!X77+'4'!X77+'5'!X77+'6'!X77+'7'!X69+'8'!X69+'9'!X69+'10'!X69</f>
        <v>0</v>
      </c>
      <c r="X5" s="17">
        <f>'1'!Y77+'2'!Y77+'3'!Y77+'4'!Y77+'5'!Y77+'6'!Y77+'7'!Y69+'8'!Y69+'9'!Y69+'10'!Y69</f>
        <v>0</v>
      </c>
      <c r="Y5" s="17">
        <f>'1'!Z77+'2'!Z77+'3'!Z77+'4'!Z77+'5'!Z77+'6'!Z77+'7'!Z69+'8'!Z69+'9'!Z69+'10'!Z69</f>
        <v>0</v>
      </c>
      <c r="Z5" s="17">
        <f>'1'!AA77+'2'!AA77+'3'!AA77+'4'!AA77+'5'!AA77+'6'!AA77+'7'!AA69+'8'!AA69+'9'!AA69+'10'!AA69</f>
        <v>0</v>
      </c>
      <c r="AA5" s="17">
        <f>'1'!AB77+'2'!AB77+'3'!AB77+'4'!AB77+'5'!AB77+'6'!AB77+'7'!AB69+'8'!AB69+'9'!AB69+'10'!AB69</f>
        <v>0</v>
      </c>
      <c r="AB5" s="17">
        <f>'1'!AC77+'2'!AC77+'3'!AC77+'4'!AC77+'5'!AC77+'6'!AC77+'7'!AC69+'8'!AC69+'9'!AC69+'10'!AC69</f>
        <v>0</v>
      </c>
      <c r="AC5" s="17">
        <f>'1'!AD77+'2'!AD77+'3'!AD77+'4'!AD77+'5'!AD77+'6'!AD77+'7'!AD69+'8'!AD69+'9'!AD69+'10'!AD69</f>
        <v>0</v>
      </c>
      <c r="AD5" s="17">
        <f>'1'!AE77+'2'!AE77+'3'!AE77+'4'!AE77+'5'!AE77+'6'!AE77+'7'!AE69+'8'!AE69+'9'!AE69+'10'!AE69</f>
        <v>0</v>
      </c>
      <c r="AE5" s="17">
        <f>'1'!AF77+'2'!AF77+'3'!AF77+'4'!AF77+'5'!AF77+'6'!AF77+'7'!AF69+'8'!AF69+'9'!AF69+'10'!AF69</f>
        <v>0</v>
      </c>
      <c r="AF5" s="17">
        <f>'1'!AG77+'2'!AG77+'3'!AG77+'4'!AG77+'5'!AG77+'6'!AG77+'7'!AG69+'8'!AG69+'9'!AG69+'10'!AG69</f>
        <v>0</v>
      </c>
      <c r="AG5" s="17">
        <f>'1'!AH77+'2'!AH77+'3'!AH77+'4'!AH77+'5'!AH77+'6'!AH77+'7'!AH69+'8'!AH69+'9'!AH69+'10'!AH69</f>
        <v>0</v>
      </c>
      <c r="AH5" s="17">
        <f>'1'!AI77+'2'!AI77+'3'!AI77+'4'!AI77+'5'!AI77+'6'!AI77+'7'!AI69+'8'!AI69+'9'!AI69+'10'!AI69</f>
        <v>0</v>
      </c>
      <c r="AI5" s="17">
        <f>'1'!AJ77+'2'!AJ77+'3'!AJ77+'4'!AJ77+'5'!AJ77+'6'!AJ77+'7'!AJ69+'8'!AJ69+'9'!AJ69+'10'!AJ69</f>
        <v>0</v>
      </c>
      <c r="AJ5" s="17">
        <f>'1'!AK77+'2'!AK77+'3'!AK77+'4'!AK77+'5'!AK77+'6'!AK77+'7'!AK69+'8'!AK69+'9'!AK69+'10'!AK69</f>
        <v>0</v>
      </c>
      <c r="AK5" s="17">
        <f>'1'!AL77+'2'!AL77+'3'!AL77+'4'!AL77+'5'!AL77+'6'!AL77+'7'!AL69+'8'!AL69+'9'!AL69+'10'!AL69</f>
        <v>0</v>
      </c>
      <c r="AL5" s="55">
        <f t="shared" si="0"/>
        <v>0</v>
      </c>
      <c r="AM5" s="56">
        <f t="shared" si="1"/>
        <v>0</v>
      </c>
    </row>
    <row r="6" spans="1:39">
      <c r="A6" s="16" t="s">
        <v>16</v>
      </c>
      <c r="B6" s="17">
        <f>'1'!C78+'2'!C78+'3'!C78+'4'!C78+'5'!C78+'6'!C78+'7'!C70+'8'!C70+'9'!C70+'10'!C70</f>
        <v>0</v>
      </c>
      <c r="C6" s="17">
        <f>'1'!D78+'2'!D78+'3'!D78+'4'!D78+'5'!D78+'6'!D78+'7'!D70+'8'!D70+'9'!D70+'10'!D70</f>
        <v>0</v>
      </c>
      <c r="D6" s="17">
        <f>'1'!E78+'2'!E78+'3'!E78+'4'!E78+'5'!E78+'6'!E78+'7'!E70+'8'!E70+'9'!E70+'10'!E70</f>
        <v>0</v>
      </c>
      <c r="E6" s="17">
        <f>'1'!F78+'2'!F78+'3'!F78+'4'!F78+'5'!F78+'6'!F78+'7'!F70+'8'!F70+'9'!F70+'10'!F70</f>
        <v>0</v>
      </c>
      <c r="F6" s="17">
        <f>'1'!G78+'2'!G78+'3'!G78+'4'!G78+'5'!G78+'6'!G78+'7'!G70+'8'!G70+'9'!G70+'10'!G70</f>
        <v>0</v>
      </c>
      <c r="G6" s="17">
        <f>'1'!H78+'2'!H78+'3'!H78+'4'!H78+'5'!H78+'6'!H78+'7'!H70+'8'!H70+'9'!H70+'10'!H70</f>
        <v>0</v>
      </c>
      <c r="H6" s="17">
        <f>'1'!I78+'2'!I78+'3'!I78+'4'!I78+'5'!I78+'6'!I78+'7'!I70+'8'!I70+'9'!I70+'10'!I70</f>
        <v>0</v>
      </c>
      <c r="I6" s="17">
        <f>'1'!J78+'2'!J78+'3'!J78+'4'!J78+'5'!J78+'6'!J78+'7'!J70+'8'!J70+'9'!J70+'10'!J70</f>
        <v>0</v>
      </c>
      <c r="J6" s="17">
        <f>'1'!K78+'2'!K78+'3'!K78+'4'!K78+'5'!K78+'6'!K78+'7'!K70+'8'!K70+'9'!K70+'10'!K70</f>
        <v>0</v>
      </c>
      <c r="K6" s="17">
        <f>'1'!L78+'2'!L78+'3'!L78+'4'!L78+'5'!L78+'6'!L78+'7'!L70+'8'!L70+'9'!L70+'10'!L70</f>
        <v>0</v>
      </c>
      <c r="L6" s="17">
        <f>'1'!M78+'2'!M78+'3'!M78+'4'!M78+'5'!M78+'6'!M78+'7'!M70+'8'!M70+'9'!M70+'10'!M70</f>
        <v>0</v>
      </c>
      <c r="M6" s="17">
        <f>'1'!N78+'2'!N78+'3'!N78+'4'!N78+'5'!N78+'6'!N78+'7'!N70+'8'!N70+'9'!N70+'10'!N70</f>
        <v>0</v>
      </c>
      <c r="N6" s="17">
        <f>'1'!O78+'2'!O78+'3'!O78+'4'!O78+'5'!O78+'6'!O78+'7'!O70+'8'!O70+'9'!O70+'10'!O70</f>
        <v>0</v>
      </c>
      <c r="O6" s="17">
        <f>'1'!P78+'2'!P78+'3'!P78+'4'!P78+'5'!P78+'6'!P78+'7'!P70+'8'!P70+'9'!P70+'10'!P70</f>
        <v>0</v>
      </c>
      <c r="P6" s="17">
        <f>'1'!Q78+'2'!Q78+'3'!Q78+'4'!Q78+'5'!Q78+'6'!Q78+'7'!Q70+'8'!Q70+'9'!Q70+'10'!Q70</f>
        <v>0</v>
      </c>
      <c r="Q6" s="17">
        <f>'1'!R78+'2'!R78+'3'!R78+'4'!R78+'5'!R78+'6'!R78+'7'!R70+'8'!R70+'9'!R70+'10'!R70</f>
        <v>21</v>
      </c>
      <c r="R6" s="17">
        <f>'1'!S78+'2'!S78+'3'!S78+'4'!S78+'5'!S78+'6'!S78+'7'!S70+'8'!S70+'9'!S70+'10'!S70</f>
        <v>21</v>
      </c>
      <c r="S6" s="17">
        <f>'1'!T78+'2'!T78+'3'!T78+'4'!T78+'5'!T78+'6'!T78+'7'!T70+'8'!T70+'9'!T70+'10'!T70</f>
        <v>0</v>
      </c>
      <c r="T6" s="17">
        <f>'1'!U78+'2'!U78+'3'!U78+'4'!U78+'5'!U78+'6'!U78+'7'!U70+'8'!U70+'9'!U70+'10'!U70</f>
        <v>6</v>
      </c>
      <c r="U6" s="17">
        <f>'1'!V78+'2'!V78+'3'!V78+'4'!V78+'5'!V78+'6'!V78+'7'!V70+'8'!V70+'9'!V70+'10'!V70</f>
        <v>6</v>
      </c>
      <c r="V6" s="17">
        <f>'1'!W78+'2'!W78+'3'!W78+'4'!W78+'5'!W78+'6'!W78+'7'!W70+'8'!W70+'9'!W70+'10'!W70</f>
        <v>0</v>
      </c>
      <c r="W6" s="17">
        <f>'1'!X78+'2'!X78+'3'!X78+'4'!X78+'5'!X78+'6'!X78+'7'!X70+'8'!X70+'9'!X70+'10'!X70</f>
        <v>9</v>
      </c>
      <c r="X6" s="17">
        <f>'1'!Y78+'2'!Y78+'3'!Y78+'4'!Y78+'5'!Y78+'6'!Y78+'7'!Y70+'8'!Y70+'9'!Y70+'10'!Y70</f>
        <v>12</v>
      </c>
      <c r="Y6" s="17">
        <f>'1'!Z78+'2'!Z78+'3'!Z78+'4'!Z78+'5'!Z78+'6'!Z78+'7'!Z70+'8'!Z70+'9'!Z70+'10'!Z70</f>
        <v>9</v>
      </c>
      <c r="Z6" s="17">
        <f>'1'!AA78+'2'!AA78+'3'!AA78+'4'!AA78+'5'!AA78+'6'!AA78+'7'!AA70+'8'!AA70+'9'!AA70+'10'!AA70</f>
        <v>12</v>
      </c>
      <c r="AA6" s="17">
        <f>'1'!AB78+'2'!AB78+'3'!AB78+'4'!AB78+'5'!AB78+'6'!AB78+'7'!AB70+'8'!AB70+'9'!AB70+'10'!AB70</f>
        <v>12</v>
      </c>
      <c r="AB6" s="17">
        <f>'1'!AC78+'2'!AC78+'3'!AC78+'4'!AC78+'5'!AC78+'6'!AC78+'7'!AC70+'8'!AC70+'9'!AC70+'10'!AC70</f>
        <v>9</v>
      </c>
      <c r="AC6" s="17">
        <f>'1'!AD78+'2'!AD78+'3'!AD78+'4'!AD78+'5'!AD78+'6'!AD78+'7'!AD70+'8'!AD70+'9'!AD70+'10'!AD70</f>
        <v>9</v>
      </c>
      <c r="AD6" s="17">
        <f>'1'!AE78+'2'!AE78+'3'!AE78+'4'!AE78+'5'!AE78+'6'!AE78+'7'!AE70+'8'!AE70+'9'!AE70+'10'!AE70</f>
        <v>10</v>
      </c>
      <c r="AE6" s="17">
        <f>'1'!AF78+'2'!AF78+'3'!AF78+'4'!AF78+'5'!AF78+'6'!AF78+'7'!AF70+'8'!AF70+'9'!AF70+'10'!AF70</f>
        <v>3</v>
      </c>
      <c r="AF6" s="17">
        <f>'1'!AG78+'2'!AG78+'3'!AG78+'4'!AG78+'5'!AG78+'6'!AG78+'7'!AG70+'8'!AG70+'9'!AG70+'10'!AG70</f>
        <v>14</v>
      </c>
      <c r="AG6" s="17">
        <f>'1'!AH78+'2'!AH78+'3'!AH78+'4'!AH78+'5'!AH78+'6'!AH78+'7'!AH70+'8'!AH70+'9'!AH70+'10'!AH70</f>
        <v>0</v>
      </c>
      <c r="AH6" s="17">
        <f>'1'!AI78+'2'!AI78+'3'!AI78+'4'!AI78+'5'!AI78+'6'!AI78+'7'!AI70+'8'!AI70+'9'!AI70+'10'!AI70</f>
        <v>12</v>
      </c>
      <c r="AI6" s="17">
        <f>'1'!AJ78+'2'!AJ78+'3'!AJ78+'4'!AJ78+'5'!AJ78+'6'!AJ78+'7'!AJ70+'8'!AJ70+'9'!AJ70+'10'!AJ70</f>
        <v>10</v>
      </c>
      <c r="AJ6" s="17">
        <f>'1'!AK78+'2'!AK78+'3'!AK78+'4'!AK78+'5'!AK78+'6'!AK78+'7'!AK70+'8'!AK70+'9'!AK70+'10'!AK70</f>
        <v>0</v>
      </c>
      <c r="AK6" s="17">
        <f>'1'!AL78+'2'!AL78+'3'!AL78+'4'!AL78+'5'!AL78+'6'!AL78+'7'!AL70+'8'!AL70+'9'!AL70+'10'!AL70</f>
        <v>0</v>
      </c>
      <c r="AL6" s="55">
        <f t="shared" si="0"/>
        <v>175</v>
      </c>
      <c r="AM6" s="56">
        <f t="shared" si="1"/>
        <v>37625</v>
      </c>
    </row>
    <row r="7" spans="1:39">
      <c r="A7" s="16" t="s">
        <v>17</v>
      </c>
      <c r="B7" s="17">
        <f>'1'!C79+'2'!C79+'3'!C79+'4'!C79+'5'!C79+'6'!C79+'7'!C71+'8'!C71+'9'!C71+'10'!C71</f>
        <v>0</v>
      </c>
      <c r="C7" s="17">
        <f>'1'!D79+'2'!D79+'3'!D79+'4'!D79+'5'!D79+'6'!D79+'7'!D71+'8'!D71+'9'!D71+'10'!D71</f>
        <v>0</v>
      </c>
      <c r="D7" s="17">
        <f>'1'!E79+'2'!E79+'3'!E79+'4'!E79+'5'!E79+'6'!E79+'7'!E71+'8'!E71+'9'!E71+'10'!E71</f>
        <v>0</v>
      </c>
      <c r="E7" s="17">
        <f>'1'!F79+'2'!F79+'3'!F79+'4'!F79+'5'!F79+'6'!F79+'7'!F71+'8'!F71+'9'!F71+'10'!F71</f>
        <v>0</v>
      </c>
      <c r="F7" s="17">
        <f>'1'!G79+'2'!G79+'3'!G79+'4'!G79+'5'!G79+'6'!G79+'7'!G71+'8'!G71+'9'!G71+'10'!G71</f>
        <v>0</v>
      </c>
      <c r="G7" s="17">
        <f>'1'!H79+'2'!H79+'3'!H79+'4'!H79+'5'!H79+'6'!H79+'7'!H71+'8'!H71+'9'!H71+'10'!H71</f>
        <v>0</v>
      </c>
      <c r="H7" s="17">
        <f>'1'!I79+'2'!I79+'3'!I79+'4'!I79+'5'!I79+'6'!I79+'7'!I71+'8'!I71+'9'!I71+'10'!I71</f>
        <v>0</v>
      </c>
      <c r="I7" s="17">
        <f>'1'!J79+'2'!J79+'3'!J79+'4'!J79+'5'!J79+'6'!J79+'7'!J71+'8'!J71+'9'!J71+'10'!J71</f>
        <v>0</v>
      </c>
      <c r="J7" s="17">
        <f>'1'!K79+'2'!K79+'3'!K79+'4'!K79+'5'!K79+'6'!K79+'7'!K71+'8'!K71+'9'!K71+'10'!K71</f>
        <v>0</v>
      </c>
      <c r="K7" s="17">
        <f>'1'!L79+'2'!L79+'3'!L79+'4'!L79+'5'!L79+'6'!L79+'7'!L71+'8'!L71+'9'!L71+'10'!L71</f>
        <v>0</v>
      </c>
      <c r="L7" s="17">
        <f>'1'!M79+'2'!M79+'3'!M79+'4'!M79+'5'!M79+'6'!M79+'7'!M71+'8'!M71+'9'!M71+'10'!M71</f>
        <v>0</v>
      </c>
      <c r="M7" s="17">
        <f>'1'!N79+'2'!N79+'3'!N79+'4'!N79+'5'!N79+'6'!N79+'7'!N71+'8'!N71+'9'!N71+'10'!N71</f>
        <v>0</v>
      </c>
      <c r="N7" s="17">
        <f>'1'!O79+'2'!O79+'3'!O79+'4'!O79+'5'!O79+'6'!O79+'7'!O71+'8'!O71+'9'!O71+'10'!O71</f>
        <v>0</v>
      </c>
      <c r="O7" s="17">
        <f>'1'!P79+'2'!P79+'3'!P79+'4'!P79+'5'!P79+'6'!P79+'7'!P71+'8'!P71+'9'!P71+'10'!P71</f>
        <v>0</v>
      </c>
      <c r="P7" s="17">
        <f>'1'!Q79+'2'!Q79+'3'!Q79+'4'!Q79+'5'!Q79+'6'!Q79+'7'!Q71+'8'!Q71+'9'!Q71+'10'!Q71</f>
        <v>0</v>
      </c>
      <c r="Q7" s="17">
        <f>'1'!R79+'2'!R79+'3'!R79+'4'!R79+'5'!R79+'6'!R79+'7'!R71+'8'!R71+'9'!R71+'10'!R71</f>
        <v>0</v>
      </c>
      <c r="R7" s="17">
        <f>'1'!S79+'2'!S79+'3'!S79+'4'!S79+'5'!S79+'6'!S79+'7'!S71+'8'!S71+'9'!S71+'10'!S71</f>
        <v>0</v>
      </c>
      <c r="S7" s="17">
        <f>'1'!T79+'2'!T79+'3'!T79+'4'!T79+'5'!T79+'6'!T79+'7'!T71+'8'!T71+'9'!T71+'10'!T71</f>
        <v>0</v>
      </c>
      <c r="T7" s="17">
        <f>'1'!U79+'2'!U79+'3'!U79+'4'!U79+'5'!U79+'6'!U79+'7'!U71+'8'!U71+'9'!U71+'10'!U71</f>
        <v>6</v>
      </c>
      <c r="U7" s="17">
        <f>'1'!V79+'2'!V79+'3'!V79+'4'!V79+'5'!V79+'6'!V79+'7'!V71+'8'!V71+'9'!V71+'10'!V71</f>
        <v>6</v>
      </c>
      <c r="V7" s="17">
        <f>'1'!W79+'2'!W79+'3'!W79+'4'!W79+'5'!W79+'6'!W79+'7'!W71+'8'!W71+'9'!W71+'10'!W71</f>
        <v>0</v>
      </c>
      <c r="W7" s="17">
        <f>'1'!X79+'2'!X79+'3'!X79+'4'!X79+'5'!X79+'6'!X79+'7'!X71+'8'!X71+'9'!X71+'10'!X71</f>
        <v>9</v>
      </c>
      <c r="X7" s="17">
        <f>'1'!Y79+'2'!Y79+'3'!Y79+'4'!Y79+'5'!Y79+'6'!Y79+'7'!Y71+'8'!Y71+'9'!Y71+'10'!Y71</f>
        <v>12</v>
      </c>
      <c r="Y7" s="17">
        <f>'1'!Z79+'2'!Z79+'3'!Z79+'4'!Z79+'5'!Z79+'6'!Z79+'7'!Z71+'8'!Z71+'9'!Z71+'10'!Z71</f>
        <v>9</v>
      </c>
      <c r="Z7" s="17">
        <f>'1'!AA79+'2'!AA79+'3'!AA79+'4'!AA79+'5'!AA79+'6'!AA79+'7'!AA71+'8'!AA71+'9'!AA71+'10'!AA71</f>
        <v>9</v>
      </c>
      <c r="AA7" s="17">
        <f>'1'!AB79+'2'!AB79+'3'!AB79+'4'!AB79+'5'!AB79+'6'!AB79+'7'!AB71+'8'!AB71+'9'!AB71+'10'!AB71</f>
        <v>6</v>
      </c>
      <c r="AB7" s="17">
        <f>'1'!AC79+'2'!AC79+'3'!AC79+'4'!AC79+'5'!AC79+'6'!AC79+'7'!AC71+'8'!AC71+'9'!AC71+'10'!AC71</f>
        <v>9</v>
      </c>
      <c r="AC7" s="17">
        <f>'1'!AD79+'2'!AD79+'3'!AD79+'4'!AD79+'5'!AD79+'6'!AD79+'7'!AD71+'8'!AD71+'9'!AD71+'10'!AD71</f>
        <v>9</v>
      </c>
      <c r="AD7" s="17">
        <f>'1'!AE79+'2'!AE79+'3'!AE79+'4'!AE79+'5'!AE79+'6'!AE79+'7'!AE71+'8'!AE71+'9'!AE71+'10'!AE71</f>
        <v>9</v>
      </c>
      <c r="AE7" s="17">
        <f>'1'!AF79+'2'!AF79+'3'!AF79+'4'!AF79+'5'!AF79+'6'!AF79+'7'!AF71+'8'!AF71+'9'!AF71+'10'!AF71</f>
        <v>3</v>
      </c>
      <c r="AF7" s="17">
        <f>'1'!AG79+'2'!AG79+'3'!AG79+'4'!AG79+'5'!AG79+'6'!AG79+'7'!AG71+'8'!AG71+'9'!AG71+'10'!AG71</f>
        <v>0</v>
      </c>
      <c r="AG7" s="17">
        <f>'1'!AH79+'2'!AH79+'3'!AH79+'4'!AH79+'5'!AH79+'6'!AH79+'7'!AH71+'8'!AH71+'9'!AH71+'10'!AH71</f>
        <v>0</v>
      </c>
      <c r="AH7" s="17">
        <f>'1'!AI79+'2'!AI79+'3'!AI79+'4'!AI79+'5'!AI79+'6'!AI79+'7'!AI71+'8'!AI71+'9'!AI71+'10'!AI71</f>
        <v>9</v>
      </c>
      <c r="AI7" s="17">
        <f>'1'!AJ79+'2'!AJ79+'3'!AJ79+'4'!AJ79+'5'!AJ79+'6'!AJ79+'7'!AJ71+'8'!AJ71+'9'!AJ71+'10'!AJ71</f>
        <v>4</v>
      </c>
      <c r="AJ7" s="17">
        <f>'1'!AK79+'2'!AK79+'3'!AK79+'4'!AK79+'5'!AK79+'6'!AK79+'7'!AK71+'8'!AK71+'9'!AK71+'10'!AK71</f>
        <v>0</v>
      </c>
      <c r="AK7" s="17">
        <f>'1'!AL79+'2'!AL79+'3'!AL79+'4'!AL79+'5'!AL79+'6'!AL79+'7'!AL71+'8'!AL71+'9'!AL71+'10'!AL71</f>
        <v>0</v>
      </c>
      <c r="AL7" s="55">
        <f t="shared" si="0"/>
        <v>100</v>
      </c>
      <c r="AM7" s="56">
        <f t="shared" si="1"/>
        <v>21500</v>
      </c>
    </row>
    <row r="8" spans="1:39">
      <c r="A8" s="16"/>
      <c r="B8" s="17">
        <f>'1'!C80+'2'!C80+'3'!C80+'4'!C80+'5'!C80+'6'!C80+'7'!C72+'8'!C72+'9'!C72+'10'!C72</f>
        <v>0</v>
      </c>
      <c r="C8" s="17">
        <f>'1'!D80+'2'!D80+'3'!D80+'4'!D80+'5'!D80+'6'!D80+'7'!D72+'8'!D72+'9'!D72+'10'!D72</f>
        <v>0</v>
      </c>
      <c r="D8" s="17">
        <f>'1'!E80+'2'!E80+'3'!E80+'4'!E80+'5'!E80+'6'!E80+'7'!E72+'8'!E72+'9'!E72+'10'!E72</f>
        <v>0</v>
      </c>
      <c r="E8" s="17">
        <f>'1'!F80+'2'!F80+'3'!F80+'4'!F80+'5'!F80+'6'!F80+'7'!F72+'8'!F72+'9'!F72+'10'!F72</f>
        <v>0</v>
      </c>
      <c r="F8" s="17">
        <f>'1'!G80+'2'!G80+'3'!G80+'4'!G80+'5'!G80+'6'!G80+'7'!G72+'8'!G72+'9'!G72+'10'!G72</f>
        <v>0</v>
      </c>
      <c r="G8" s="17">
        <f>'1'!H80+'2'!H80+'3'!H80+'4'!H80+'5'!H80+'6'!H80+'7'!H72+'8'!H72+'9'!H72+'10'!H72</f>
        <v>0</v>
      </c>
      <c r="H8" s="17">
        <f>'1'!I80+'2'!I80+'3'!I80+'4'!I80+'5'!I80+'6'!I80+'7'!I72+'8'!I72+'9'!I72+'10'!I72</f>
        <v>0</v>
      </c>
      <c r="I8" s="17">
        <f>'1'!J80+'2'!J80+'3'!J80+'4'!J80+'5'!J80+'6'!J80+'7'!J72+'8'!J72+'9'!J72+'10'!J72</f>
        <v>0</v>
      </c>
      <c r="J8" s="17">
        <f>'1'!K80+'2'!K80+'3'!K80+'4'!K80+'5'!K80+'6'!K80+'7'!K72+'8'!K72+'9'!K72+'10'!K72</f>
        <v>0</v>
      </c>
      <c r="K8" s="17">
        <f>'1'!L80+'2'!L80+'3'!L80+'4'!L80+'5'!L80+'6'!L80+'7'!L72+'8'!L72+'9'!L72+'10'!L72</f>
        <v>0</v>
      </c>
      <c r="L8" s="17">
        <f>'1'!M80+'2'!M80+'3'!M80+'4'!M80+'5'!M80+'6'!M80+'7'!M72+'8'!M72+'9'!M72+'10'!M72</f>
        <v>0</v>
      </c>
      <c r="M8" s="17">
        <f>'1'!N80+'2'!N80+'3'!N80+'4'!N80+'5'!N80+'6'!N80+'7'!N72+'8'!N72+'9'!N72+'10'!N72</f>
        <v>0</v>
      </c>
      <c r="N8" s="17">
        <f>'1'!O80+'2'!O80+'3'!O80+'4'!O80+'5'!O80+'6'!O80+'7'!O72+'8'!O72+'9'!O72+'10'!O72</f>
        <v>0</v>
      </c>
      <c r="O8" s="17">
        <f>'1'!P80+'2'!P80+'3'!P80+'4'!P80+'5'!P80+'6'!P80+'7'!P72+'8'!P72+'9'!P72+'10'!P72</f>
        <v>0</v>
      </c>
      <c r="P8" s="17">
        <f>'1'!Q80+'2'!Q80+'3'!Q80+'4'!Q80+'5'!Q80+'6'!Q80+'7'!Q72+'8'!Q72+'9'!Q72+'10'!Q72</f>
        <v>0</v>
      </c>
      <c r="Q8" s="17">
        <f>'1'!R80+'2'!R80+'3'!R80+'4'!R80+'5'!R80+'6'!R80+'7'!R72+'8'!R72+'9'!R72+'10'!R72</f>
        <v>0</v>
      </c>
      <c r="R8" s="17">
        <f>'1'!S80+'2'!S80+'3'!S80+'4'!S80+'5'!S80+'6'!S80+'7'!S72+'8'!S72+'9'!S72+'10'!S72</f>
        <v>0</v>
      </c>
      <c r="S8" s="17">
        <f>'1'!T80+'2'!T80+'3'!T80+'4'!T80+'5'!T80+'6'!T80+'7'!T72+'8'!T72+'9'!T72+'10'!T72</f>
        <v>0</v>
      </c>
      <c r="T8" s="17">
        <f>'1'!U80+'2'!U80+'3'!U80+'4'!U80+'5'!U80+'6'!U80+'7'!U72+'8'!U72+'9'!U72+'10'!U72</f>
        <v>0</v>
      </c>
      <c r="U8" s="17">
        <f>'1'!V80+'2'!V80+'3'!V80+'4'!V80+'5'!V80+'6'!V80+'7'!V72+'8'!V72+'9'!V72+'10'!V72</f>
        <v>0</v>
      </c>
      <c r="V8" s="17">
        <f>'1'!W80+'2'!W80+'3'!W80+'4'!W80+'5'!W80+'6'!W80+'7'!W72+'8'!W72+'9'!W72+'10'!W72</f>
        <v>0</v>
      </c>
      <c r="W8" s="17">
        <f>'1'!X80+'2'!X80+'3'!X80+'4'!X80+'5'!X80+'6'!X80+'7'!X72+'8'!X72+'9'!X72+'10'!X72</f>
        <v>0</v>
      </c>
      <c r="X8" s="17">
        <f>'1'!Y80+'2'!Y80+'3'!Y80+'4'!Y80+'5'!Y80+'6'!Y80+'7'!Y72+'8'!Y72+'9'!Y72+'10'!Y72</f>
        <v>0</v>
      </c>
      <c r="Y8" s="17">
        <f>'1'!Z80+'2'!Z80+'3'!Z80+'4'!Z80+'5'!Z80+'6'!Z80+'7'!Z72+'8'!Z72+'9'!Z72+'10'!Z72</f>
        <v>0</v>
      </c>
      <c r="Z8" s="17">
        <f>'1'!AA80+'2'!AA80+'3'!AA80+'4'!AA80+'5'!AA80+'6'!AA80+'7'!AA72+'8'!AA72+'9'!AA72+'10'!AA72</f>
        <v>0</v>
      </c>
      <c r="AA8" s="17">
        <f>'1'!AB80+'2'!AB80+'3'!AB80+'4'!AB80+'5'!AB80+'6'!AB80+'7'!AB72+'8'!AB72+'9'!AB72+'10'!AB72</f>
        <v>0</v>
      </c>
      <c r="AB8" s="17">
        <f>'1'!AC80+'2'!AC80+'3'!AC80+'4'!AC80+'5'!AC80+'6'!AC80+'7'!AC72+'8'!AC72+'9'!AC72+'10'!AC72</f>
        <v>0</v>
      </c>
      <c r="AC8" s="17">
        <f>'1'!AD80+'2'!AD80+'3'!AD80+'4'!AD80+'5'!AD80+'6'!AD80+'7'!AD72+'8'!AD72+'9'!AD72+'10'!AD72</f>
        <v>0</v>
      </c>
      <c r="AD8" s="17">
        <f>'1'!AE80+'2'!AE80+'3'!AE80+'4'!AE80+'5'!AE80+'6'!AE80+'7'!AE72+'8'!AE72+'9'!AE72+'10'!AE72</f>
        <v>0</v>
      </c>
      <c r="AE8" s="17">
        <f>'1'!AF80+'2'!AF80+'3'!AF80+'4'!AF80+'5'!AF80+'6'!AF80+'7'!AF72+'8'!AF72+'9'!AF72+'10'!AF72</f>
        <v>0</v>
      </c>
      <c r="AF8" s="17">
        <f>'1'!AG80+'2'!AG80+'3'!AG80+'4'!AG80+'5'!AG80+'6'!AG80+'7'!AG72+'8'!AG72+'9'!AG72+'10'!AG72</f>
        <v>0</v>
      </c>
      <c r="AG8" s="17">
        <f>'1'!AH80+'2'!AH80+'3'!AH80+'4'!AH80+'5'!AH80+'6'!AH80+'7'!AH72+'8'!AH72+'9'!AH72+'10'!AH72</f>
        <v>0</v>
      </c>
      <c r="AH8" s="17">
        <f>'1'!AI80+'2'!AI80+'3'!AI80+'4'!AI80+'5'!AI80+'6'!AI80+'7'!AI72+'8'!AI72+'9'!AI72+'10'!AI72</f>
        <v>0</v>
      </c>
      <c r="AI8" s="17">
        <f>'1'!AJ80+'2'!AJ80+'3'!AJ80+'4'!AJ80+'5'!AJ80+'6'!AJ80+'7'!AJ72+'8'!AJ72+'9'!AJ72+'10'!AJ72</f>
        <v>0</v>
      </c>
      <c r="AJ8" s="17">
        <f>'1'!AK80+'2'!AK80+'3'!AK80+'4'!AK80+'5'!AK80+'6'!AK80+'7'!AK72+'8'!AK72+'9'!AK72+'10'!AK72</f>
        <v>0</v>
      </c>
      <c r="AK8" s="17">
        <f>'1'!AL80+'2'!AL80+'3'!AL80+'4'!AL80+'5'!AL80+'6'!AL80+'7'!AL72+'8'!AL72+'9'!AL72+'10'!AL72</f>
        <v>0</v>
      </c>
      <c r="AL8" s="55">
        <f t="shared" si="0"/>
        <v>0</v>
      </c>
      <c r="AM8" s="56">
        <f t="shared" si="1"/>
        <v>0</v>
      </c>
    </row>
    <row r="11" spans="1:39" ht="15.75">
      <c r="A11" s="184" t="s">
        <v>71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4"/>
    </row>
    <row r="12" spans="1:39" ht="2.25" customHeight="1"/>
    <row r="13" spans="1:39">
      <c r="A13" s="185" t="s">
        <v>72</v>
      </c>
      <c r="B13" s="197"/>
      <c r="C13" s="197" t="s">
        <v>73</v>
      </c>
      <c r="D13" s="192" t="s">
        <v>74</v>
      </c>
      <c r="E13" s="192" t="s">
        <v>75</v>
      </c>
      <c r="F13" s="192" t="s">
        <v>76</v>
      </c>
      <c r="G13" s="192" t="s">
        <v>77</v>
      </c>
      <c r="H13" s="192" t="s">
        <v>78</v>
      </c>
      <c r="I13" s="192" t="s">
        <v>14</v>
      </c>
      <c r="J13" s="192" t="s">
        <v>15</v>
      </c>
      <c r="K13" s="192" t="s">
        <v>142</v>
      </c>
      <c r="L13" s="192" t="s">
        <v>16</v>
      </c>
      <c r="M13" s="194" t="s">
        <v>17</v>
      </c>
    </row>
    <row r="14" spans="1:39" ht="54.75" customHeight="1">
      <c r="A14" s="186"/>
      <c r="B14" s="198"/>
      <c r="C14" s="198"/>
      <c r="D14" s="193"/>
      <c r="E14" s="193"/>
      <c r="F14" s="193"/>
      <c r="G14" s="193"/>
      <c r="H14" s="193"/>
      <c r="I14" s="193"/>
      <c r="J14" s="193"/>
      <c r="K14" s="193"/>
      <c r="L14" s="193"/>
      <c r="M14" s="195"/>
      <c r="N14" s="52"/>
    </row>
    <row r="15" spans="1:39" ht="20.25" customHeight="1">
      <c r="A15" s="187" t="s">
        <v>79</v>
      </c>
      <c r="B15" s="18" t="s">
        <v>36</v>
      </c>
      <c r="C15" s="19" t="s">
        <v>80</v>
      </c>
      <c r="D15" s="20"/>
      <c r="E15" s="20"/>
      <c r="F15" s="20"/>
      <c r="G15" s="20"/>
      <c r="H15" s="20">
        <f>B2</f>
        <v>0</v>
      </c>
      <c r="I15" s="20">
        <f>B3</f>
        <v>0</v>
      </c>
      <c r="J15" s="20">
        <f>B4</f>
        <v>0</v>
      </c>
      <c r="K15" s="20">
        <f>B5</f>
        <v>0</v>
      </c>
      <c r="L15" s="20">
        <f>B6</f>
        <v>0</v>
      </c>
      <c r="M15" s="20">
        <f>B7</f>
        <v>0</v>
      </c>
      <c r="N15" s="13" t="str">
        <f>+B15</f>
        <v>SO1</v>
      </c>
    </row>
    <row r="16" spans="1:39" ht="20.25" customHeight="1">
      <c r="A16" s="187"/>
      <c r="B16" s="18" t="s">
        <v>37</v>
      </c>
      <c r="C16" s="19" t="s">
        <v>80</v>
      </c>
      <c r="D16" s="20"/>
      <c r="E16" s="20"/>
      <c r="F16" s="20"/>
      <c r="G16" s="20"/>
      <c r="H16" s="20">
        <f>C2</f>
        <v>0</v>
      </c>
      <c r="I16" s="20">
        <f>C3</f>
        <v>0</v>
      </c>
      <c r="J16" s="20">
        <f>C4</f>
        <v>0</v>
      </c>
      <c r="K16" s="20">
        <f>C5</f>
        <v>0</v>
      </c>
      <c r="L16" s="20">
        <f>C6</f>
        <v>0</v>
      </c>
      <c r="M16" s="20">
        <f>C7</f>
        <v>0</v>
      </c>
      <c r="N16" s="13" t="str">
        <f t="shared" ref="N16:N48" si="2">+B16</f>
        <v>SO2</v>
      </c>
    </row>
    <row r="17" spans="1:14" ht="20.25" customHeight="1">
      <c r="A17" s="187"/>
      <c r="B17" s="18" t="s">
        <v>38</v>
      </c>
      <c r="C17" s="19" t="s">
        <v>81</v>
      </c>
      <c r="D17" s="20"/>
      <c r="E17" s="20"/>
      <c r="F17" s="20"/>
      <c r="G17" s="20"/>
      <c r="H17" s="20">
        <f>D2</f>
        <v>0</v>
      </c>
      <c r="I17" s="20">
        <f>D3</f>
        <v>0</v>
      </c>
      <c r="J17" s="20">
        <f>D4</f>
        <v>0</v>
      </c>
      <c r="K17" s="20">
        <f>D5</f>
        <v>0</v>
      </c>
      <c r="L17" s="20">
        <f>D6</f>
        <v>0</v>
      </c>
      <c r="M17" s="20">
        <f>D7</f>
        <v>0</v>
      </c>
      <c r="N17" s="13" t="str">
        <f t="shared" si="2"/>
        <v>SO3</v>
      </c>
    </row>
    <row r="18" spans="1:14" ht="20.25" customHeight="1">
      <c r="A18" s="187"/>
      <c r="B18" s="18" t="s">
        <v>39</v>
      </c>
      <c r="C18" s="19" t="s">
        <v>82</v>
      </c>
      <c r="D18" s="20"/>
      <c r="E18" s="20"/>
      <c r="F18" s="20"/>
      <c r="G18" s="20"/>
      <c r="H18" s="20">
        <f>E2</f>
        <v>0</v>
      </c>
      <c r="I18" s="20">
        <f>E3</f>
        <v>0</v>
      </c>
      <c r="J18" s="20">
        <f>E4</f>
        <v>0</v>
      </c>
      <c r="K18" s="20">
        <f>E5</f>
        <v>0</v>
      </c>
      <c r="L18" s="20">
        <f>E6</f>
        <v>0</v>
      </c>
      <c r="M18" s="20">
        <f>E7</f>
        <v>0</v>
      </c>
      <c r="N18" s="13" t="str">
        <f t="shared" si="2"/>
        <v>SO4</v>
      </c>
    </row>
    <row r="19" spans="1:14" ht="20.25" customHeight="1">
      <c r="A19" s="187"/>
      <c r="B19" s="18" t="s">
        <v>40</v>
      </c>
      <c r="C19" s="19" t="s">
        <v>82</v>
      </c>
      <c r="D19" s="20"/>
      <c r="E19" s="20"/>
      <c r="F19" s="20"/>
      <c r="G19" s="20"/>
      <c r="H19" s="20">
        <f>F2</f>
        <v>0</v>
      </c>
      <c r="I19" s="20">
        <f>F3</f>
        <v>0</v>
      </c>
      <c r="J19" s="20">
        <f>F4</f>
        <v>0</v>
      </c>
      <c r="K19" s="20">
        <f>F5</f>
        <v>0</v>
      </c>
      <c r="L19" s="20">
        <f>F6</f>
        <v>0</v>
      </c>
      <c r="M19" s="20">
        <f>F7</f>
        <v>0</v>
      </c>
      <c r="N19" s="13" t="str">
        <f t="shared" si="2"/>
        <v>SO5</v>
      </c>
    </row>
    <row r="20" spans="1:14" ht="20.25" customHeight="1">
      <c r="A20" s="188"/>
      <c r="B20" s="18" t="s">
        <v>41</v>
      </c>
      <c r="C20" s="21" t="s">
        <v>81</v>
      </c>
      <c r="D20" s="22"/>
      <c r="E20" s="22"/>
      <c r="F20" s="22"/>
      <c r="G20" s="22"/>
      <c r="H20" s="20">
        <f>G2</f>
        <v>0</v>
      </c>
      <c r="I20" s="20">
        <f>G3</f>
        <v>0</v>
      </c>
      <c r="J20" s="20">
        <f>G4</f>
        <v>0</v>
      </c>
      <c r="K20" s="20">
        <f>G5</f>
        <v>0</v>
      </c>
      <c r="L20" s="20">
        <f>G6</f>
        <v>0</v>
      </c>
      <c r="M20" s="20">
        <f>G7</f>
        <v>0</v>
      </c>
      <c r="N20" s="13" t="str">
        <f t="shared" si="2"/>
        <v>SO6</v>
      </c>
    </row>
    <row r="21" spans="1:14" ht="20.25" customHeight="1">
      <c r="A21" s="189" t="s">
        <v>83</v>
      </c>
      <c r="B21" s="23" t="s">
        <v>42</v>
      </c>
      <c r="C21" s="24" t="s">
        <v>84</v>
      </c>
      <c r="D21" s="25"/>
      <c r="E21" s="25"/>
      <c r="F21" s="25"/>
      <c r="G21" s="25"/>
      <c r="H21" s="20">
        <f>H2</f>
        <v>0</v>
      </c>
      <c r="I21" s="20">
        <f>H3</f>
        <v>0</v>
      </c>
      <c r="J21" s="20">
        <f>H4</f>
        <v>0</v>
      </c>
      <c r="K21" s="20">
        <f>H5</f>
        <v>0</v>
      </c>
      <c r="L21" s="20">
        <f>H6</f>
        <v>0</v>
      </c>
      <c r="M21" s="20">
        <f>H7</f>
        <v>0</v>
      </c>
      <c r="N21" s="13"/>
    </row>
    <row r="22" spans="1:14" ht="20.25" customHeight="1">
      <c r="A22" s="189"/>
      <c r="B22" s="23" t="s">
        <v>43</v>
      </c>
      <c r="C22" s="26" t="s">
        <v>85</v>
      </c>
      <c r="D22" s="20"/>
      <c r="E22" s="20"/>
      <c r="F22" s="20"/>
      <c r="G22" s="20"/>
      <c r="H22" s="20">
        <f>I2</f>
        <v>0</v>
      </c>
      <c r="I22" s="20">
        <f>I3</f>
        <v>0</v>
      </c>
      <c r="J22" s="20">
        <f>I4</f>
        <v>0</v>
      </c>
      <c r="K22" s="20">
        <f>I5</f>
        <v>0</v>
      </c>
      <c r="L22" s="20">
        <f>I6</f>
        <v>0</v>
      </c>
      <c r="M22" s="20">
        <f>I7</f>
        <v>0</v>
      </c>
      <c r="N22" s="13"/>
    </row>
    <row r="23" spans="1:14" ht="20.25" customHeight="1">
      <c r="A23" s="189"/>
      <c r="B23" s="23" t="s">
        <v>44</v>
      </c>
      <c r="C23" s="19" t="s">
        <v>81</v>
      </c>
      <c r="D23" s="20"/>
      <c r="E23" s="20"/>
      <c r="F23" s="20"/>
      <c r="G23" s="20"/>
      <c r="H23" s="20">
        <f>J2</f>
        <v>9</v>
      </c>
      <c r="I23" s="20">
        <f>J3</f>
        <v>0</v>
      </c>
      <c r="J23" s="20">
        <f>J4</f>
        <v>0</v>
      </c>
      <c r="K23" s="20">
        <f>J5</f>
        <v>0</v>
      </c>
      <c r="L23" s="20">
        <f>J6</f>
        <v>0</v>
      </c>
      <c r="M23" s="20">
        <f>J7</f>
        <v>0</v>
      </c>
      <c r="N23" s="13"/>
    </row>
    <row r="24" spans="1:14" ht="20.25" customHeight="1">
      <c r="A24" s="189"/>
      <c r="B24" s="23" t="s">
        <v>45</v>
      </c>
      <c r="C24" s="19" t="s">
        <v>81</v>
      </c>
      <c r="D24" s="20"/>
      <c r="E24" s="20"/>
      <c r="F24" s="20"/>
      <c r="G24" s="20"/>
      <c r="H24" s="20">
        <f>K2</f>
        <v>9</v>
      </c>
      <c r="I24" s="20">
        <f>K3</f>
        <v>0</v>
      </c>
      <c r="J24" s="20">
        <f>K4</f>
        <v>0</v>
      </c>
      <c r="K24" s="20">
        <f>K5</f>
        <v>0</v>
      </c>
      <c r="L24" s="20">
        <f>K6</f>
        <v>0</v>
      </c>
      <c r="M24" s="20">
        <f>K7</f>
        <v>0</v>
      </c>
      <c r="N24" s="13"/>
    </row>
    <row r="25" spans="1:14" ht="20.25" customHeight="1">
      <c r="A25" s="189"/>
      <c r="B25" s="23" t="s">
        <v>46</v>
      </c>
      <c r="C25" s="27" t="s">
        <v>81</v>
      </c>
      <c r="D25" s="20"/>
      <c r="E25" s="20"/>
      <c r="F25" s="20"/>
      <c r="G25" s="20"/>
      <c r="H25" s="20">
        <f>L2</f>
        <v>0</v>
      </c>
      <c r="I25" s="20">
        <f>L3</f>
        <v>0</v>
      </c>
      <c r="J25" s="20">
        <f>L4</f>
        <v>0</v>
      </c>
      <c r="K25" s="20">
        <f>L5</f>
        <v>0</v>
      </c>
      <c r="L25" s="20">
        <f>L6</f>
        <v>0</v>
      </c>
      <c r="M25" s="20">
        <f>L7</f>
        <v>0</v>
      </c>
      <c r="N25" s="13"/>
    </row>
    <row r="26" spans="1:14" ht="20.25" customHeight="1">
      <c r="A26" s="190"/>
      <c r="B26" s="23" t="s">
        <v>47</v>
      </c>
      <c r="C26" s="21" t="s">
        <v>86</v>
      </c>
      <c r="D26" s="22"/>
      <c r="E26" s="22"/>
      <c r="F26" s="22"/>
      <c r="G26" s="22"/>
      <c r="H26" s="20">
        <f>M2</f>
        <v>0</v>
      </c>
      <c r="I26" s="20">
        <f>M3</f>
        <v>0</v>
      </c>
      <c r="J26" s="20">
        <f>M4</f>
        <v>0</v>
      </c>
      <c r="K26" s="20">
        <f>M5</f>
        <v>0</v>
      </c>
      <c r="L26" s="20">
        <f>M6</f>
        <v>0</v>
      </c>
      <c r="M26" s="20">
        <f>M7</f>
        <v>0</v>
      </c>
      <c r="N26" s="13"/>
    </row>
    <row r="27" spans="1:14" ht="20.25" customHeight="1">
      <c r="A27" s="191" t="s">
        <v>87</v>
      </c>
      <c r="B27" s="23" t="s">
        <v>48</v>
      </c>
      <c r="C27" s="28" t="s">
        <v>84</v>
      </c>
      <c r="D27" s="29"/>
      <c r="E27" s="29"/>
      <c r="F27" s="29"/>
      <c r="G27" s="29"/>
      <c r="H27" s="20">
        <f>N2</f>
        <v>0</v>
      </c>
      <c r="I27" s="20">
        <f>N3</f>
        <v>15</v>
      </c>
      <c r="J27" s="20">
        <f>N4</f>
        <v>0</v>
      </c>
      <c r="K27" s="20">
        <f>N5</f>
        <v>0</v>
      </c>
      <c r="L27" s="20">
        <f>N6</f>
        <v>0</v>
      </c>
      <c r="M27" s="20">
        <f>N7</f>
        <v>0</v>
      </c>
      <c r="N27" s="13"/>
    </row>
    <row r="28" spans="1:14" ht="20.25" customHeight="1">
      <c r="A28" s="187"/>
      <c r="B28" s="23" t="s">
        <v>49</v>
      </c>
      <c r="C28" s="28"/>
      <c r="D28" s="29"/>
      <c r="E28" s="29"/>
      <c r="F28" s="29"/>
      <c r="G28" s="29"/>
      <c r="H28" s="20">
        <f>O2</f>
        <v>0</v>
      </c>
      <c r="I28" s="20">
        <f>O3</f>
        <v>0</v>
      </c>
      <c r="J28" s="20">
        <f>O4</f>
        <v>21</v>
      </c>
      <c r="K28" s="20">
        <f>O5</f>
        <v>0</v>
      </c>
      <c r="L28" s="20">
        <f>O6</f>
        <v>0</v>
      </c>
      <c r="M28" s="20">
        <f>O7</f>
        <v>0</v>
      </c>
      <c r="N28" s="13"/>
    </row>
    <row r="29" spans="1:14" ht="20.25" customHeight="1">
      <c r="A29" s="187"/>
      <c r="B29" s="23" t="s">
        <v>50</v>
      </c>
      <c r="C29" s="28"/>
      <c r="D29" s="29"/>
      <c r="E29" s="29"/>
      <c r="F29" s="29"/>
      <c r="G29" s="29"/>
      <c r="H29" s="20">
        <f>P2</f>
        <v>0</v>
      </c>
      <c r="I29" s="20">
        <f>P3</f>
        <v>10</v>
      </c>
      <c r="J29" s="20">
        <f>P4</f>
        <v>0</v>
      </c>
      <c r="K29" s="20">
        <f>P5</f>
        <v>0</v>
      </c>
      <c r="L29" s="20">
        <f>P6</f>
        <v>0</v>
      </c>
      <c r="M29" s="20">
        <f>P7</f>
        <v>0</v>
      </c>
      <c r="N29" s="13"/>
    </row>
    <row r="30" spans="1:14" ht="20.25" customHeight="1">
      <c r="A30" s="187"/>
      <c r="B30" s="23" t="s">
        <v>51</v>
      </c>
      <c r="C30" s="28"/>
      <c r="D30" s="29"/>
      <c r="E30" s="29"/>
      <c r="F30" s="29"/>
      <c r="G30" s="29"/>
      <c r="H30" s="20">
        <f>Q2</f>
        <v>0</v>
      </c>
      <c r="I30" s="20">
        <f>Q3</f>
        <v>0</v>
      </c>
      <c r="J30" s="20">
        <f>Q4</f>
        <v>0</v>
      </c>
      <c r="K30" s="20">
        <f>Q5</f>
        <v>0</v>
      </c>
      <c r="L30" s="20">
        <f>Q6</f>
        <v>21</v>
      </c>
      <c r="M30" s="20">
        <f>Q7</f>
        <v>0</v>
      </c>
      <c r="N30" s="13"/>
    </row>
    <row r="31" spans="1:14" ht="20.25" customHeight="1">
      <c r="A31" s="187"/>
      <c r="B31" s="23" t="s">
        <v>52</v>
      </c>
      <c r="C31" s="28"/>
      <c r="D31" s="29"/>
      <c r="E31" s="29"/>
      <c r="F31" s="29"/>
      <c r="G31" s="29"/>
      <c r="H31" s="20">
        <f>R2</f>
        <v>0</v>
      </c>
      <c r="I31" s="20">
        <f>R3</f>
        <v>0</v>
      </c>
      <c r="J31" s="20">
        <f>R4</f>
        <v>0</v>
      </c>
      <c r="K31" s="20">
        <f>R5</f>
        <v>0</v>
      </c>
      <c r="L31" s="20">
        <f>R6</f>
        <v>21</v>
      </c>
      <c r="M31" s="20">
        <f>R7</f>
        <v>0</v>
      </c>
      <c r="N31" s="13"/>
    </row>
    <row r="32" spans="1:14" ht="20.25" customHeight="1">
      <c r="A32" s="187"/>
      <c r="B32" s="30" t="s">
        <v>53</v>
      </c>
      <c r="C32" s="28" t="s">
        <v>84</v>
      </c>
      <c r="D32" s="29"/>
      <c r="E32" s="29"/>
      <c r="F32" s="29"/>
      <c r="G32" s="29"/>
      <c r="H32" s="20">
        <f>S2</f>
        <v>0</v>
      </c>
      <c r="I32" s="20">
        <f>S3</f>
        <v>0</v>
      </c>
      <c r="J32" s="20">
        <f>S4</f>
        <v>14</v>
      </c>
      <c r="K32" s="20">
        <f>S5</f>
        <v>0</v>
      </c>
      <c r="L32" s="20">
        <f>S6</f>
        <v>0</v>
      </c>
      <c r="M32" s="20">
        <f>S7</f>
        <v>0</v>
      </c>
      <c r="N32" s="13"/>
    </row>
    <row r="33" spans="1:14" ht="20.25" customHeight="1">
      <c r="A33" s="196" t="s">
        <v>88</v>
      </c>
      <c r="B33" s="31" t="s">
        <v>54</v>
      </c>
      <c r="C33" s="32"/>
      <c r="D33" s="33"/>
      <c r="E33" s="33"/>
      <c r="F33" s="33"/>
      <c r="G33" s="33"/>
      <c r="H33" s="20">
        <f>T2</f>
        <v>0</v>
      </c>
      <c r="I33" s="20">
        <f>T3</f>
        <v>0</v>
      </c>
      <c r="J33" s="20">
        <f>T4</f>
        <v>1</v>
      </c>
      <c r="K33" s="20">
        <f>T5</f>
        <v>0</v>
      </c>
      <c r="L33" s="20">
        <f>T6</f>
        <v>6</v>
      </c>
      <c r="M33" s="20">
        <f>T7</f>
        <v>6</v>
      </c>
      <c r="N33" s="13"/>
    </row>
    <row r="34" spans="1:14" ht="20.25" customHeight="1">
      <c r="A34" s="189"/>
      <c r="B34" s="34" t="s">
        <v>55</v>
      </c>
      <c r="C34" s="28"/>
      <c r="D34" s="29"/>
      <c r="E34" s="29"/>
      <c r="F34" s="29"/>
      <c r="G34" s="29"/>
      <c r="H34" s="20">
        <f>U2</f>
        <v>0</v>
      </c>
      <c r="I34" s="20">
        <f>U3</f>
        <v>0</v>
      </c>
      <c r="J34" s="20">
        <f>U4</f>
        <v>0</v>
      </c>
      <c r="K34" s="20">
        <f>U5</f>
        <v>0</v>
      </c>
      <c r="L34" s="20">
        <f>U6</f>
        <v>6</v>
      </c>
      <c r="M34" s="20">
        <f>U7</f>
        <v>6</v>
      </c>
      <c r="N34" s="13"/>
    </row>
    <row r="35" spans="1:14" ht="20.25" customHeight="1">
      <c r="A35" s="189"/>
      <c r="B35" s="34" t="s">
        <v>56</v>
      </c>
      <c r="C35" s="28"/>
      <c r="D35" s="29"/>
      <c r="E35" s="29"/>
      <c r="F35" s="29"/>
      <c r="G35" s="29"/>
      <c r="H35" s="20">
        <f>V2</f>
        <v>0</v>
      </c>
      <c r="I35" s="20">
        <f>V3</f>
        <v>0</v>
      </c>
      <c r="J35" s="20">
        <f>V4</f>
        <v>0</v>
      </c>
      <c r="K35" s="20">
        <f>V5</f>
        <v>0</v>
      </c>
      <c r="L35" s="20">
        <f>V6</f>
        <v>0</v>
      </c>
      <c r="M35" s="20">
        <f>V7</f>
        <v>0</v>
      </c>
      <c r="N35" s="13"/>
    </row>
    <row r="36" spans="1:14" ht="20.25" customHeight="1">
      <c r="A36" s="189"/>
      <c r="B36" s="34" t="s">
        <v>57</v>
      </c>
      <c r="C36" s="28"/>
      <c r="D36" s="29"/>
      <c r="E36" s="29"/>
      <c r="F36" s="29"/>
      <c r="G36" s="29"/>
      <c r="H36" s="20">
        <f>W2</f>
        <v>0</v>
      </c>
      <c r="I36" s="20">
        <f>W3</f>
        <v>0</v>
      </c>
      <c r="J36" s="20">
        <f>W4</f>
        <v>0</v>
      </c>
      <c r="K36" s="20">
        <f>W5</f>
        <v>0</v>
      </c>
      <c r="L36" s="20">
        <f>W6</f>
        <v>9</v>
      </c>
      <c r="M36" s="20">
        <f>W7</f>
        <v>9</v>
      </c>
      <c r="N36" s="13"/>
    </row>
    <row r="37" spans="1:14" ht="20.25" customHeight="1">
      <c r="A37" s="189"/>
      <c r="B37" s="34" t="s">
        <v>58</v>
      </c>
      <c r="C37" s="28"/>
      <c r="D37" s="29"/>
      <c r="E37" s="29"/>
      <c r="F37" s="29"/>
      <c r="G37" s="29"/>
      <c r="H37" s="20">
        <f>X2</f>
        <v>0</v>
      </c>
      <c r="I37" s="20">
        <f>X3</f>
        <v>0</v>
      </c>
      <c r="J37" s="20">
        <f>X4</f>
        <v>0</v>
      </c>
      <c r="K37" s="20">
        <f>X5</f>
        <v>0</v>
      </c>
      <c r="L37" s="20">
        <f>X6</f>
        <v>12</v>
      </c>
      <c r="M37" s="20">
        <f>X7</f>
        <v>12</v>
      </c>
      <c r="N37" s="13"/>
    </row>
    <row r="38" spans="1:14" ht="20.25" customHeight="1">
      <c r="A38" s="190"/>
      <c r="B38" s="35" t="s">
        <v>59</v>
      </c>
      <c r="C38" s="36"/>
      <c r="D38" s="37"/>
      <c r="E38" s="37"/>
      <c r="F38" s="37"/>
      <c r="G38" s="37"/>
      <c r="H38" s="20">
        <f>Y2</f>
        <v>0</v>
      </c>
      <c r="I38" s="20">
        <f>Y3</f>
        <v>0</v>
      </c>
      <c r="J38" s="20">
        <f>Y4</f>
        <v>0</v>
      </c>
      <c r="K38" s="20">
        <f>Y5</f>
        <v>0</v>
      </c>
      <c r="L38" s="20">
        <f>Y6</f>
        <v>9</v>
      </c>
      <c r="M38" s="20">
        <f>Y7</f>
        <v>9</v>
      </c>
      <c r="N38" s="13"/>
    </row>
    <row r="39" spans="1:14" ht="20.25" customHeight="1">
      <c r="A39" s="187" t="s">
        <v>89</v>
      </c>
      <c r="B39" s="23" t="s">
        <v>60</v>
      </c>
      <c r="C39" s="28"/>
      <c r="D39" s="29"/>
      <c r="E39" s="29"/>
      <c r="F39" s="29"/>
      <c r="G39" s="29"/>
      <c r="H39" s="20">
        <f>Z2</f>
        <v>0</v>
      </c>
      <c r="I39" s="20">
        <f>Z3</f>
        <v>0</v>
      </c>
      <c r="J39" s="20">
        <f>Z4</f>
        <v>0</v>
      </c>
      <c r="K39" s="20">
        <f>Z5</f>
        <v>0</v>
      </c>
      <c r="L39" s="20">
        <f>Z6</f>
        <v>12</v>
      </c>
      <c r="M39" s="20">
        <f>Z7</f>
        <v>9</v>
      </c>
      <c r="N39" s="13"/>
    </row>
    <row r="40" spans="1:14" ht="20.25" customHeight="1">
      <c r="A40" s="187"/>
      <c r="B40" s="23" t="s">
        <v>61</v>
      </c>
      <c r="C40" s="28"/>
      <c r="D40" s="29"/>
      <c r="E40" s="29"/>
      <c r="F40" s="29"/>
      <c r="G40" s="29"/>
      <c r="H40" s="20">
        <f>AA2</f>
        <v>0</v>
      </c>
      <c r="I40" s="20">
        <f>AA3</f>
        <v>0</v>
      </c>
      <c r="J40" s="20">
        <f>AA4</f>
        <v>0</v>
      </c>
      <c r="K40" s="20">
        <f>AA5</f>
        <v>0</v>
      </c>
      <c r="L40" s="20">
        <f>AA6</f>
        <v>12</v>
      </c>
      <c r="M40" s="20">
        <f>AA7</f>
        <v>6</v>
      </c>
      <c r="N40" s="13"/>
    </row>
    <row r="41" spans="1:14" ht="20.25" customHeight="1">
      <c r="A41" s="187"/>
      <c r="B41" s="23" t="s">
        <v>62</v>
      </c>
      <c r="C41" s="28"/>
      <c r="D41" s="29"/>
      <c r="E41" s="29"/>
      <c r="F41" s="29"/>
      <c r="G41" s="29"/>
      <c r="H41" s="20">
        <f>AB2</f>
        <v>0</v>
      </c>
      <c r="I41" s="20">
        <f>AB3</f>
        <v>0</v>
      </c>
      <c r="J41" s="20">
        <f>AB4</f>
        <v>0</v>
      </c>
      <c r="K41" s="20">
        <f>AB5</f>
        <v>0</v>
      </c>
      <c r="L41" s="20">
        <f>AB6</f>
        <v>9</v>
      </c>
      <c r="M41" s="20">
        <f>AB7</f>
        <v>9</v>
      </c>
      <c r="N41" s="13"/>
    </row>
    <row r="42" spans="1:14" ht="20.25" customHeight="1">
      <c r="A42" s="187"/>
      <c r="B42" s="23" t="s">
        <v>63</v>
      </c>
      <c r="C42" s="28"/>
      <c r="D42" s="29"/>
      <c r="E42" s="29"/>
      <c r="F42" s="29"/>
      <c r="G42" s="29"/>
      <c r="H42" s="20">
        <f>AC2</f>
        <v>0</v>
      </c>
      <c r="I42" s="20">
        <f>AC3</f>
        <v>0</v>
      </c>
      <c r="J42" s="20">
        <f>AC4</f>
        <v>0</v>
      </c>
      <c r="K42" s="20">
        <f>AC5</f>
        <v>0</v>
      </c>
      <c r="L42" s="20">
        <f>AC6</f>
        <v>9</v>
      </c>
      <c r="M42" s="20">
        <f>AC7</f>
        <v>9</v>
      </c>
      <c r="N42" s="13"/>
    </row>
    <row r="43" spans="1:14" ht="20.25" customHeight="1">
      <c r="A43" s="187"/>
      <c r="B43" s="23" t="s">
        <v>64</v>
      </c>
      <c r="C43" s="28"/>
      <c r="D43" s="29"/>
      <c r="E43" s="29"/>
      <c r="F43" s="29"/>
      <c r="G43" s="29"/>
      <c r="H43" s="20">
        <f>AD2</f>
        <v>0</v>
      </c>
      <c r="I43" s="20">
        <f>AD3</f>
        <v>0</v>
      </c>
      <c r="J43" s="20">
        <f>AD4</f>
        <v>0</v>
      </c>
      <c r="K43" s="20">
        <f>AD5</f>
        <v>0</v>
      </c>
      <c r="L43" s="20">
        <f>AD6</f>
        <v>10</v>
      </c>
      <c r="M43" s="20">
        <f>AD7</f>
        <v>9</v>
      </c>
      <c r="N43" s="13"/>
    </row>
    <row r="44" spans="1:14" ht="20.25" customHeight="1">
      <c r="A44" s="188"/>
      <c r="B44" s="38" t="s">
        <v>65</v>
      </c>
      <c r="C44" s="36"/>
      <c r="D44" s="37"/>
      <c r="E44" s="37"/>
      <c r="F44" s="37"/>
      <c r="G44" s="37"/>
      <c r="H44" s="20">
        <f>AE2</f>
        <v>0</v>
      </c>
      <c r="I44" s="20">
        <f>AE3</f>
        <v>0</v>
      </c>
      <c r="J44" s="20">
        <f>AE4</f>
        <v>0</v>
      </c>
      <c r="K44" s="20">
        <f>AE5</f>
        <v>0</v>
      </c>
      <c r="L44" s="20">
        <f>AE6</f>
        <v>3</v>
      </c>
      <c r="M44" s="20">
        <f>AE7</f>
        <v>3</v>
      </c>
      <c r="N44" s="13"/>
    </row>
    <row r="45" spans="1:14" ht="20.25" customHeight="1">
      <c r="A45" s="189" t="s">
        <v>90</v>
      </c>
      <c r="B45" s="23" t="s">
        <v>66</v>
      </c>
      <c r="C45" s="24" t="s">
        <v>91</v>
      </c>
      <c r="D45" s="25"/>
      <c r="E45" s="25"/>
      <c r="F45" s="25"/>
      <c r="G45" s="25"/>
      <c r="H45" s="20">
        <f>AF2</f>
        <v>0</v>
      </c>
      <c r="I45" s="20">
        <f>AF3</f>
        <v>0</v>
      </c>
      <c r="J45" s="20">
        <f>AF4</f>
        <v>0</v>
      </c>
      <c r="K45" s="20">
        <f>AF5</f>
        <v>0</v>
      </c>
      <c r="L45" s="20">
        <f>AF6</f>
        <v>14</v>
      </c>
      <c r="M45" s="20">
        <f>AF7</f>
        <v>0</v>
      </c>
      <c r="N45" s="13" t="str">
        <f t="shared" si="2"/>
        <v>C1</v>
      </c>
    </row>
    <row r="46" spans="1:14" ht="20.25" customHeight="1">
      <c r="A46" s="189"/>
      <c r="B46" s="23" t="s">
        <v>67</v>
      </c>
      <c r="C46" s="19" t="s">
        <v>92</v>
      </c>
      <c r="D46" s="20"/>
      <c r="E46" s="20"/>
      <c r="F46" s="20"/>
      <c r="G46" s="20"/>
      <c r="H46" s="20">
        <f>AG2</f>
        <v>0</v>
      </c>
      <c r="I46" s="20">
        <f>AG3</f>
        <v>0</v>
      </c>
      <c r="J46" s="20">
        <f>AG4</f>
        <v>0</v>
      </c>
      <c r="K46" s="20">
        <f>AG5</f>
        <v>0</v>
      </c>
      <c r="L46" s="20">
        <f>AG6</f>
        <v>0</v>
      </c>
      <c r="M46" s="20">
        <f>AG7</f>
        <v>0</v>
      </c>
      <c r="N46" s="13" t="str">
        <f t="shared" si="2"/>
        <v>C2</v>
      </c>
    </row>
    <row r="47" spans="1:14" ht="20.25" customHeight="1">
      <c r="A47" s="189"/>
      <c r="B47" s="23" t="s">
        <v>68</v>
      </c>
      <c r="C47" s="19" t="s">
        <v>82</v>
      </c>
      <c r="D47" s="20"/>
      <c r="E47" s="20"/>
      <c r="F47" s="20"/>
      <c r="G47" s="20"/>
      <c r="H47" s="20">
        <f>AH2</f>
        <v>0</v>
      </c>
      <c r="I47" s="20">
        <f>AH3</f>
        <v>0</v>
      </c>
      <c r="J47" s="20">
        <f>AH4</f>
        <v>0</v>
      </c>
      <c r="K47" s="20">
        <f>AH5</f>
        <v>0</v>
      </c>
      <c r="L47" s="20">
        <f>AH6</f>
        <v>12</v>
      </c>
      <c r="M47" s="20">
        <f>AH7</f>
        <v>9</v>
      </c>
      <c r="N47" s="13" t="str">
        <f t="shared" si="2"/>
        <v>C3</v>
      </c>
    </row>
    <row r="48" spans="1:14" ht="20.25" customHeight="1">
      <c r="A48" s="190"/>
      <c r="B48" s="23" t="s">
        <v>69</v>
      </c>
      <c r="C48" s="21" t="s">
        <v>82</v>
      </c>
      <c r="D48" s="22"/>
      <c r="E48" s="22"/>
      <c r="F48" s="22"/>
      <c r="G48" s="22"/>
      <c r="H48" s="20">
        <f>AI2</f>
        <v>3</v>
      </c>
      <c r="I48" s="20">
        <f>AI3</f>
        <v>0</v>
      </c>
      <c r="J48" s="20">
        <f>AI4</f>
        <v>0</v>
      </c>
      <c r="K48" s="20">
        <f>AI5</f>
        <v>0</v>
      </c>
      <c r="L48" s="20">
        <f>AI6</f>
        <v>10</v>
      </c>
      <c r="M48" s="20">
        <f>AI7</f>
        <v>4</v>
      </c>
      <c r="N48" s="13" t="str">
        <f t="shared" si="2"/>
        <v>C4</v>
      </c>
    </row>
    <row r="49" spans="1:13" ht="20.25" customHeight="1">
      <c r="A49" s="39" t="s">
        <v>93</v>
      </c>
      <c r="B49" s="40"/>
      <c r="C49" s="41" t="s">
        <v>82</v>
      </c>
      <c r="D49" s="42"/>
      <c r="E49" s="42"/>
      <c r="F49" s="42"/>
      <c r="G49" s="42"/>
      <c r="H49" s="42">
        <f>AJ2</f>
        <v>0</v>
      </c>
      <c r="I49" s="42">
        <f>AJ3</f>
        <v>0</v>
      </c>
      <c r="J49" s="42">
        <f>AJ4</f>
        <v>0</v>
      </c>
      <c r="K49" s="42">
        <f>AJ5</f>
        <v>0</v>
      </c>
      <c r="L49" s="42">
        <f>AJ6</f>
        <v>0</v>
      </c>
      <c r="M49" s="42">
        <f>AJ7</f>
        <v>0</v>
      </c>
    </row>
    <row r="50" spans="1:13" ht="20.25" customHeight="1">
      <c r="A50" s="43" t="s">
        <v>94</v>
      </c>
      <c r="B50" s="44" t="s">
        <v>95</v>
      </c>
      <c r="C50" s="45" t="s">
        <v>96</v>
      </c>
      <c r="D50" s="46"/>
      <c r="E50" s="46"/>
      <c r="F50" s="46"/>
      <c r="G50" s="46"/>
      <c r="H50" s="47">
        <f>AK2</f>
        <v>0</v>
      </c>
      <c r="I50" s="47">
        <f>AK3</f>
        <v>0</v>
      </c>
      <c r="J50" s="47">
        <f>AK4</f>
        <v>0</v>
      </c>
      <c r="K50" s="47">
        <f>AK5</f>
        <v>0</v>
      </c>
      <c r="L50" s="47">
        <f>AK6</f>
        <v>0</v>
      </c>
      <c r="M50" s="47">
        <f>AK7</f>
        <v>0</v>
      </c>
    </row>
    <row r="51" spans="1:13" ht="20.25" customHeight="1">
      <c r="A51" s="48" t="s">
        <v>97</v>
      </c>
      <c r="B51" s="49" t="s">
        <v>98</v>
      </c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36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9DF4-9F4F-4BA9-A130-AC4E28712837}">
  <dimension ref="A2:H14"/>
  <sheetViews>
    <sheetView tabSelected="1" workbookViewId="0">
      <selection activeCell="D6" sqref="D6"/>
    </sheetView>
  </sheetViews>
  <sheetFormatPr baseColWidth="10" defaultRowHeight="15"/>
  <cols>
    <col min="1" max="1" width="19.85546875" bestFit="1" customWidth="1"/>
    <col min="2" max="2" width="13" bestFit="1" customWidth="1"/>
    <col min="3" max="3" width="13.85546875" bestFit="1" customWidth="1"/>
    <col min="4" max="4" width="12.42578125" bestFit="1" customWidth="1"/>
    <col min="5" max="5" width="13.85546875" bestFit="1" customWidth="1"/>
    <col min="6" max="6" width="14.7109375" customWidth="1"/>
    <col min="7" max="8" width="13.85546875" bestFit="1" customWidth="1"/>
  </cols>
  <sheetData>
    <row r="2" spans="1:8">
      <c r="E2" t="s">
        <v>159</v>
      </c>
    </row>
    <row r="3" spans="1:8" ht="75.75" customHeight="1">
      <c r="A3" s="141" t="s">
        <v>149</v>
      </c>
      <c r="B3" s="10" t="s">
        <v>158</v>
      </c>
      <c r="C3" s="10" t="s">
        <v>152</v>
      </c>
      <c r="D3" s="10" t="s">
        <v>157</v>
      </c>
      <c r="E3" s="10" t="s">
        <v>156</v>
      </c>
      <c r="F3" s="10" t="s">
        <v>155</v>
      </c>
      <c r="G3" s="10" t="s">
        <v>154</v>
      </c>
      <c r="H3" s="10" t="s">
        <v>153</v>
      </c>
    </row>
    <row r="4" spans="1:8">
      <c r="A4" s="10" t="s">
        <v>96</v>
      </c>
      <c r="B4" s="213"/>
      <c r="C4" s="213">
        <v>0</v>
      </c>
      <c r="D4" s="213"/>
      <c r="E4" s="213">
        <v>225</v>
      </c>
      <c r="F4" s="213">
        <v>0</v>
      </c>
      <c r="G4" s="213">
        <v>0</v>
      </c>
      <c r="H4" s="213">
        <v>0</v>
      </c>
    </row>
    <row r="5" spans="1:8">
      <c r="A5" s="10" t="s">
        <v>86</v>
      </c>
      <c r="B5" s="213"/>
      <c r="C5" s="213">
        <v>0</v>
      </c>
      <c r="D5" s="213"/>
      <c r="E5" s="213">
        <v>0</v>
      </c>
      <c r="F5" s="213">
        <v>0</v>
      </c>
      <c r="G5" s="213">
        <v>0</v>
      </c>
      <c r="H5" s="213">
        <v>1050</v>
      </c>
    </row>
    <row r="6" spans="1:8">
      <c r="A6" s="10" t="s">
        <v>91</v>
      </c>
      <c r="B6" s="213"/>
      <c r="C6" s="213">
        <v>0</v>
      </c>
      <c r="D6" s="213"/>
      <c r="E6" s="213">
        <v>0</v>
      </c>
      <c r="F6" s="213">
        <v>0</v>
      </c>
      <c r="G6" s="213">
        <v>0</v>
      </c>
      <c r="H6" s="213">
        <v>350</v>
      </c>
    </row>
    <row r="7" spans="1:8">
      <c r="A7" s="10" t="s">
        <v>148</v>
      </c>
      <c r="B7" s="213"/>
      <c r="C7" s="213">
        <v>0</v>
      </c>
      <c r="D7" s="213">
        <v>0</v>
      </c>
      <c r="E7" s="213">
        <v>0</v>
      </c>
      <c r="F7" s="213">
        <v>0</v>
      </c>
      <c r="G7" s="213">
        <v>0</v>
      </c>
      <c r="H7" s="213">
        <v>0</v>
      </c>
    </row>
    <row r="8" spans="1:8">
      <c r="A8" s="10" t="s">
        <v>145</v>
      </c>
      <c r="B8" s="213"/>
      <c r="C8" s="213">
        <v>2500</v>
      </c>
      <c r="D8" s="213"/>
      <c r="E8" s="213">
        <v>75</v>
      </c>
      <c r="F8" s="213">
        <v>0</v>
      </c>
      <c r="G8" s="213">
        <v>25</v>
      </c>
      <c r="H8" s="213">
        <v>2975</v>
      </c>
    </row>
    <row r="9" spans="1:8">
      <c r="A9" s="10" t="s">
        <v>146</v>
      </c>
      <c r="B9" s="213"/>
      <c r="C9" s="213">
        <v>0</v>
      </c>
      <c r="D9" s="213"/>
      <c r="E9" s="213">
        <v>0</v>
      </c>
      <c r="F9" s="213">
        <v>250</v>
      </c>
      <c r="G9" s="213">
        <v>525</v>
      </c>
      <c r="H9" s="213">
        <v>0</v>
      </c>
    </row>
    <row r="10" spans="1:8">
      <c r="A10" s="10" t="s">
        <v>98</v>
      </c>
      <c r="B10" s="213"/>
      <c r="C10" s="213">
        <v>0</v>
      </c>
      <c r="D10" s="213"/>
      <c r="E10" s="213">
        <v>0</v>
      </c>
      <c r="F10" s="213">
        <v>0</v>
      </c>
      <c r="G10" s="213">
        <v>0</v>
      </c>
      <c r="H10" s="213">
        <v>0</v>
      </c>
    </row>
    <row r="11" spans="1:8">
      <c r="A11" s="10" t="s">
        <v>84</v>
      </c>
      <c r="B11" s="213"/>
      <c r="C11" s="213">
        <v>0</v>
      </c>
      <c r="D11" s="213"/>
      <c r="E11" s="213">
        <v>0</v>
      </c>
      <c r="F11" s="213">
        <v>375</v>
      </c>
      <c r="G11" s="213">
        <v>350</v>
      </c>
      <c r="H11" s="213">
        <v>0</v>
      </c>
    </row>
    <row r="12" spans="1:8">
      <c r="A12" s="10" t="s">
        <v>95</v>
      </c>
      <c r="B12" s="213"/>
      <c r="C12" s="213">
        <v>0</v>
      </c>
      <c r="D12" s="213"/>
      <c r="E12" s="213">
        <v>225</v>
      </c>
      <c r="F12" s="213">
        <v>0</v>
      </c>
      <c r="G12" s="213">
        <v>0</v>
      </c>
      <c r="H12" s="213">
        <v>0</v>
      </c>
    </row>
    <row r="13" spans="1:8">
      <c r="A13" s="10" t="s">
        <v>150</v>
      </c>
      <c r="B13" s="213"/>
      <c r="C13" s="213">
        <v>0</v>
      </c>
      <c r="D13" s="213"/>
      <c r="E13" s="213">
        <v>0</v>
      </c>
      <c r="F13" s="213">
        <v>0</v>
      </c>
      <c r="G13" s="213">
        <v>0</v>
      </c>
      <c r="H13" s="213">
        <v>0</v>
      </c>
    </row>
    <row r="14" spans="1:8">
      <c r="A14" s="10" t="s">
        <v>151</v>
      </c>
      <c r="B14" s="213"/>
      <c r="C14" s="213">
        <v>2500</v>
      </c>
      <c r="D14" s="213">
        <v>0</v>
      </c>
      <c r="E14" s="213">
        <v>525</v>
      </c>
      <c r="F14" s="213">
        <v>625</v>
      </c>
      <c r="G14" s="213">
        <v>900</v>
      </c>
      <c r="H14" s="213">
        <v>4375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28" zoomScaleNormal="100" workbookViewId="0">
      <selection activeCell="I45" sqref="I45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99</v>
      </c>
      <c r="B1" s="201" t="s">
        <v>100</v>
      </c>
      <c r="C1" s="202"/>
      <c r="D1" s="207" t="s">
        <v>101</v>
      </c>
      <c r="E1" s="207"/>
      <c r="F1" s="207"/>
      <c r="G1" s="207"/>
      <c r="H1" s="207"/>
      <c r="I1" s="207"/>
      <c r="J1" s="207"/>
      <c r="K1" s="199"/>
      <c r="L1" s="199"/>
      <c r="M1" s="199"/>
      <c r="N1" s="4"/>
    </row>
    <row r="2" spans="1:14" ht="11.25" customHeight="1">
      <c r="A2" s="2" t="s">
        <v>102</v>
      </c>
      <c r="B2" s="205" t="s">
        <v>103</v>
      </c>
      <c r="C2" s="202"/>
      <c r="D2" s="207"/>
      <c r="E2" s="207"/>
      <c r="F2" s="207"/>
      <c r="G2" s="207"/>
      <c r="H2" s="207"/>
      <c r="I2" s="207"/>
      <c r="J2" s="207"/>
      <c r="K2" s="199"/>
      <c r="L2" s="199"/>
      <c r="M2" s="199"/>
      <c r="N2" s="4"/>
    </row>
    <row r="3" spans="1:14" ht="11.25" customHeight="1">
      <c r="A3" s="2" t="s">
        <v>104</v>
      </c>
      <c r="B3" s="206">
        <v>44701</v>
      </c>
      <c r="C3" s="202"/>
      <c r="D3" s="200" t="s">
        <v>105</v>
      </c>
      <c r="E3" s="200"/>
      <c r="F3" s="200"/>
      <c r="G3" s="200"/>
      <c r="H3" s="200"/>
      <c r="I3" s="200"/>
      <c r="J3" s="200"/>
      <c r="K3" s="199"/>
      <c r="L3" s="199"/>
      <c r="M3" s="199"/>
      <c r="N3" s="4"/>
    </row>
    <row r="4" spans="1:14" ht="11.25" customHeight="1">
      <c r="A4" s="2" t="s">
        <v>106</v>
      </c>
      <c r="B4" s="201" t="s">
        <v>107</v>
      </c>
      <c r="C4" s="202"/>
      <c r="D4" s="200"/>
      <c r="E4" s="200"/>
      <c r="F4" s="200"/>
      <c r="G4" s="200"/>
      <c r="H4" s="200"/>
      <c r="I4" s="200"/>
      <c r="J4" s="200"/>
      <c r="K4" s="199"/>
      <c r="L4" s="199"/>
      <c r="M4" s="199"/>
      <c r="N4" s="4"/>
    </row>
    <row r="5" spans="1:14" ht="11.25" customHeight="1">
      <c r="A5" s="3" t="s">
        <v>108</v>
      </c>
      <c r="B5" s="201" t="s">
        <v>109</v>
      </c>
      <c r="C5" s="202"/>
      <c r="D5" s="200"/>
      <c r="E5" s="200"/>
      <c r="F5" s="200"/>
      <c r="G5" s="200"/>
      <c r="H5" s="200"/>
      <c r="I5" s="200"/>
      <c r="J5" s="200"/>
      <c r="K5" s="203" t="s">
        <v>141</v>
      </c>
      <c r="L5" s="203"/>
      <c r="M5" s="203"/>
      <c r="N5" s="4"/>
    </row>
    <row r="6" spans="1:14" ht="11.25" customHeight="1">
      <c r="A6" s="2" t="s">
        <v>110</v>
      </c>
      <c r="B6" s="201" t="s">
        <v>107</v>
      </c>
      <c r="C6" s="202"/>
      <c r="D6" s="204" t="s">
        <v>111</v>
      </c>
      <c r="E6" s="204"/>
      <c r="F6" s="204"/>
      <c r="G6" s="204"/>
      <c r="H6" s="204"/>
      <c r="I6" s="204"/>
      <c r="J6" s="204"/>
      <c r="K6" s="203"/>
      <c r="L6" s="203"/>
      <c r="M6" s="203"/>
      <c r="N6" s="4"/>
    </row>
    <row r="7" spans="1:14" ht="11.25" customHeight="1">
      <c r="A7" s="2" t="s">
        <v>112</v>
      </c>
      <c r="B7" s="201" t="s">
        <v>113</v>
      </c>
      <c r="C7" s="202"/>
      <c r="D7" s="204"/>
      <c r="E7" s="204"/>
      <c r="F7" s="204"/>
      <c r="G7" s="204"/>
      <c r="H7" s="204"/>
      <c r="I7" s="204"/>
      <c r="J7" s="204"/>
      <c r="K7" s="203"/>
      <c r="L7" s="203"/>
      <c r="M7" s="203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5"/>
      <c r="K8" s="12"/>
      <c r="L8" s="12"/>
      <c r="M8" s="12"/>
      <c r="N8" s="4"/>
    </row>
    <row r="9" spans="1:14" ht="12" customHeight="1">
      <c r="A9" s="184" t="s">
        <v>71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4"/>
    </row>
    <row r="10" spans="1:14" ht="2.25" customHeight="1"/>
    <row r="11" spans="1:14" ht="68.25" customHeight="1">
      <c r="A11" s="6" t="s">
        <v>72</v>
      </c>
      <c r="B11" s="6"/>
      <c r="C11" s="6" t="s">
        <v>73</v>
      </c>
      <c r="D11" s="131" t="s">
        <v>74</v>
      </c>
      <c r="E11" s="131" t="s">
        <v>75</v>
      </c>
      <c r="F11" s="131" t="s">
        <v>140</v>
      </c>
      <c r="G11" s="131" t="s">
        <v>138</v>
      </c>
      <c r="H11" s="131" t="s">
        <v>139</v>
      </c>
      <c r="I11" s="131" t="s">
        <v>78</v>
      </c>
      <c r="J11" s="131" t="s">
        <v>14</v>
      </c>
      <c r="K11" s="131" t="s">
        <v>15</v>
      </c>
      <c r="L11" s="131" t="s">
        <v>134</v>
      </c>
      <c r="M11" s="131" t="s">
        <v>17</v>
      </c>
    </row>
    <row r="12" spans="1:14" ht="19.5" customHeight="1">
      <c r="A12" s="212" t="s">
        <v>79</v>
      </c>
      <c r="B12" s="7" t="s">
        <v>36</v>
      </c>
      <c r="C12" s="19" t="s">
        <v>145</v>
      </c>
      <c r="D12" s="8"/>
      <c r="E12" s="8"/>
      <c r="F12" s="8"/>
      <c r="G12" s="8"/>
      <c r="H12" s="8"/>
      <c r="I12" s="8">
        <f>Total!H15*25</f>
        <v>0</v>
      </c>
      <c r="J12" s="8">
        <f>Total!I15*25</f>
        <v>0</v>
      </c>
      <c r="K12" s="8">
        <f>Total!J15*25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12"/>
      <c r="B13" s="7" t="s">
        <v>37</v>
      </c>
      <c r="C13" s="19" t="s">
        <v>145</v>
      </c>
      <c r="D13" s="8"/>
      <c r="E13" s="8"/>
      <c r="F13" s="8"/>
      <c r="G13" s="8"/>
      <c r="H13" s="8"/>
      <c r="I13" s="8">
        <f>Total!H16*25</f>
        <v>0</v>
      </c>
      <c r="J13" s="8">
        <f>Total!I16*25</f>
        <v>0</v>
      </c>
      <c r="K13" s="8">
        <f>Total!J16*25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12"/>
      <c r="B14" s="7" t="s">
        <v>38</v>
      </c>
      <c r="C14" s="19" t="s">
        <v>145</v>
      </c>
      <c r="D14" s="8"/>
      <c r="E14" s="8"/>
      <c r="F14" s="8"/>
      <c r="G14" s="8"/>
      <c r="H14" s="8"/>
      <c r="I14" s="8">
        <f>Total!H17*25</f>
        <v>0</v>
      </c>
      <c r="J14" s="8">
        <f>Total!I17*25</f>
        <v>0</v>
      </c>
      <c r="K14" s="8">
        <f>Total!J17*25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12"/>
      <c r="B15" s="7" t="s">
        <v>39</v>
      </c>
      <c r="C15" s="32" t="s">
        <v>145</v>
      </c>
      <c r="D15" s="8"/>
      <c r="E15" s="8"/>
      <c r="F15" s="8"/>
      <c r="G15" s="8"/>
      <c r="H15" s="8"/>
      <c r="I15" s="8">
        <f>Total!H18*25</f>
        <v>0</v>
      </c>
      <c r="J15" s="8">
        <f>Total!I18*25</f>
        <v>0</v>
      </c>
      <c r="K15" s="8">
        <f>Total!J18*25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12"/>
      <c r="B16" s="7" t="s">
        <v>40</v>
      </c>
      <c r="C16" s="32" t="s">
        <v>145</v>
      </c>
      <c r="D16" s="8"/>
      <c r="E16" s="8"/>
      <c r="F16" s="8"/>
      <c r="G16" s="8"/>
      <c r="H16" s="8"/>
      <c r="I16" s="8">
        <f>Total!H19*25</f>
        <v>0</v>
      </c>
      <c r="J16" s="8">
        <f>Total!I19*25</f>
        <v>0</v>
      </c>
      <c r="K16" s="8">
        <f>Total!J19*25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12"/>
      <c r="B17" s="7" t="s">
        <v>41</v>
      </c>
      <c r="C17" s="21" t="s">
        <v>145</v>
      </c>
      <c r="D17" s="8"/>
      <c r="E17" s="8"/>
      <c r="F17" s="8"/>
      <c r="G17" s="8"/>
      <c r="H17" s="8"/>
      <c r="I17" s="8">
        <f>Total!H20*25</f>
        <v>0</v>
      </c>
      <c r="J17" s="8">
        <f>Total!I20*25</f>
        <v>0</v>
      </c>
      <c r="K17" s="8">
        <f>Total!J20*25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12" t="s">
        <v>83</v>
      </c>
      <c r="B18" s="7" t="s">
        <v>42</v>
      </c>
      <c r="C18" s="24" t="s">
        <v>84</v>
      </c>
      <c r="D18" s="8"/>
      <c r="E18" s="8"/>
      <c r="F18" s="8"/>
      <c r="G18" s="8"/>
      <c r="H18" s="8"/>
      <c r="I18" s="8">
        <f>Total!H21*25</f>
        <v>0</v>
      </c>
      <c r="J18" s="8">
        <f>Total!I21*25</f>
        <v>0</v>
      </c>
      <c r="K18" s="8">
        <f>Total!J21*25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12"/>
      <c r="B19" s="7" t="s">
        <v>43</v>
      </c>
      <c r="C19" s="26" t="s">
        <v>145</v>
      </c>
      <c r="D19" s="8"/>
      <c r="E19" s="8"/>
      <c r="F19" s="8"/>
      <c r="G19" s="8"/>
      <c r="H19" s="8"/>
      <c r="I19" s="8">
        <f>Total!H22*25</f>
        <v>0</v>
      </c>
      <c r="J19" s="8">
        <f>Total!I22*25</f>
        <v>0</v>
      </c>
      <c r="K19" s="8">
        <f>Total!J22*25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12"/>
      <c r="B20" s="7" t="s">
        <v>44</v>
      </c>
      <c r="C20" s="19" t="s">
        <v>96</v>
      </c>
      <c r="D20" s="8"/>
      <c r="E20" s="8"/>
      <c r="F20" s="8"/>
      <c r="G20" s="8"/>
      <c r="H20" s="8"/>
      <c r="I20" s="8">
        <f>Total!H23*25</f>
        <v>225</v>
      </c>
      <c r="J20" s="8">
        <f>Total!I23*25</f>
        <v>0</v>
      </c>
      <c r="K20" s="8">
        <f>Total!J23*25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12"/>
      <c r="B21" s="7" t="s">
        <v>45</v>
      </c>
      <c r="C21" s="19" t="s">
        <v>95</v>
      </c>
      <c r="D21" s="8"/>
      <c r="E21" s="8"/>
      <c r="F21" s="8"/>
      <c r="G21" s="8"/>
      <c r="H21" s="8"/>
      <c r="I21" s="8">
        <f>Total!H24*25</f>
        <v>225</v>
      </c>
      <c r="J21" s="8">
        <f>Total!I24*25</f>
        <v>0</v>
      </c>
      <c r="K21" s="8">
        <f>Total!J24*25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12"/>
      <c r="B22" s="7" t="s">
        <v>46</v>
      </c>
      <c r="C22" s="27" t="s">
        <v>145</v>
      </c>
      <c r="D22" s="8"/>
      <c r="E22" s="8"/>
      <c r="F22" s="8"/>
      <c r="G22" s="8"/>
      <c r="H22" s="8"/>
      <c r="I22" s="8">
        <f>Total!H25*25</f>
        <v>0</v>
      </c>
      <c r="J22" s="8">
        <f>Total!I25*25</f>
        <v>0</v>
      </c>
      <c r="K22" s="8">
        <f>Total!J25*25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12"/>
      <c r="B23" s="7" t="s">
        <v>47</v>
      </c>
      <c r="C23" s="21" t="s">
        <v>86</v>
      </c>
      <c r="D23" s="8"/>
      <c r="E23" s="8"/>
      <c r="F23" s="8"/>
      <c r="G23" s="8"/>
      <c r="H23" s="8"/>
      <c r="I23" s="8">
        <f>Total!H26*25</f>
        <v>0</v>
      </c>
      <c r="J23" s="8">
        <f>Total!I26*25</f>
        <v>0</v>
      </c>
      <c r="K23" s="8">
        <f>Total!J26*25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12" t="s">
        <v>87</v>
      </c>
      <c r="B24" s="7" t="s">
        <v>48</v>
      </c>
      <c r="C24" s="28" t="s">
        <v>84</v>
      </c>
      <c r="D24" s="8"/>
      <c r="E24" s="8"/>
      <c r="F24" s="8"/>
      <c r="G24" s="8"/>
      <c r="H24" s="8"/>
      <c r="I24" s="8">
        <f>Total!H27*25</f>
        <v>0</v>
      </c>
      <c r="J24" s="8">
        <f>Total!I27*25</f>
        <v>375</v>
      </c>
      <c r="K24" s="8">
        <f>Total!J27*25</f>
        <v>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12"/>
      <c r="B25" s="7" t="s">
        <v>49</v>
      </c>
      <c r="C25" s="28" t="s">
        <v>146</v>
      </c>
      <c r="D25" s="8"/>
      <c r="E25" s="8"/>
      <c r="F25" s="8"/>
      <c r="G25" s="8"/>
      <c r="H25" s="8"/>
      <c r="I25" s="8">
        <f>Total!H28*25</f>
        <v>0</v>
      </c>
      <c r="J25" s="8">
        <f>Total!I28*25</f>
        <v>0</v>
      </c>
      <c r="K25" s="8">
        <f>Total!J28*25</f>
        <v>525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12"/>
      <c r="B26" s="7" t="s">
        <v>50</v>
      </c>
      <c r="C26" s="28" t="s">
        <v>146</v>
      </c>
      <c r="D26" s="8"/>
      <c r="E26" s="8"/>
      <c r="F26" s="8"/>
      <c r="G26" s="8"/>
      <c r="H26" s="8"/>
      <c r="I26" s="8">
        <f>Total!H29*25</f>
        <v>0</v>
      </c>
      <c r="J26" s="8">
        <f>Total!I29*25</f>
        <v>250</v>
      </c>
      <c r="K26" s="8">
        <f>Total!J29*25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12"/>
      <c r="B27" s="7" t="s">
        <v>51</v>
      </c>
      <c r="C27" s="28" t="s">
        <v>147</v>
      </c>
      <c r="D27" s="8"/>
      <c r="E27" s="8"/>
      <c r="F27" s="8"/>
      <c r="G27" s="8"/>
      <c r="H27" s="8"/>
      <c r="I27" s="8">
        <f>Total!H30*25</f>
        <v>0</v>
      </c>
      <c r="J27" s="8">
        <f>Total!I30*25</f>
        <v>0</v>
      </c>
      <c r="K27" s="8">
        <f>Total!J30*25</f>
        <v>0</v>
      </c>
      <c r="L27" s="8">
        <f>Total!L30*25</f>
        <v>525</v>
      </c>
      <c r="M27" s="8">
        <f>Total!M30*25</f>
        <v>0</v>
      </c>
      <c r="N27" s="13"/>
    </row>
    <row r="28" spans="1:14" ht="19.5" customHeight="1">
      <c r="A28" s="212"/>
      <c r="B28" s="7" t="s">
        <v>52</v>
      </c>
      <c r="C28" s="28" t="s">
        <v>147</v>
      </c>
      <c r="D28" s="8"/>
      <c r="E28" s="8"/>
      <c r="F28" s="8"/>
      <c r="G28" s="8"/>
      <c r="H28" s="8"/>
      <c r="I28" s="8">
        <f>Total!H31*25</f>
        <v>0</v>
      </c>
      <c r="J28" s="8">
        <f>Total!I31*25</f>
        <v>0</v>
      </c>
      <c r="K28" s="8">
        <f>Total!J31*25</f>
        <v>0</v>
      </c>
      <c r="L28" s="8">
        <f>Total!L31*25</f>
        <v>525</v>
      </c>
      <c r="M28" s="8">
        <f>Total!M31*25</f>
        <v>0</v>
      </c>
      <c r="N28" s="13"/>
    </row>
    <row r="29" spans="1:14" ht="19.5" customHeight="1" thickBot="1">
      <c r="A29" s="212"/>
      <c r="B29" s="7" t="s">
        <v>53</v>
      </c>
      <c r="C29" s="28" t="s">
        <v>84</v>
      </c>
      <c r="D29" s="8"/>
      <c r="E29" s="8"/>
      <c r="F29" s="8"/>
      <c r="G29" s="8"/>
      <c r="H29" s="8"/>
      <c r="I29" s="8">
        <f>Total!H32*25</f>
        <v>0</v>
      </c>
      <c r="J29" s="8">
        <f>Total!I32*25</f>
        <v>0</v>
      </c>
      <c r="K29" s="8">
        <f>Total!J32*25</f>
        <v>350</v>
      </c>
      <c r="L29" s="8">
        <f>Total!L32*25</f>
        <v>0</v>
      </c>
      <c r="M29" s="8">
        <f>Total!M32*25</f>
        <v>0</v>
      </c>
      <c r="N29" s="13"/>
    </row>
    <row r="30" spans="1:14" ht="19.5" customHeight="1" thickTop="1" thickBot="1">
      <c r="A30" s="212" t="s">
        <v>88</v>
      </c>
      <c r="B30" s="7" t="s">
        <v>54</v>
      </c>
      <c r="C30" s="32" t="s">
        <v>145</v>
      </c>
      <c r="D30" s="8"/>
      <c r="E30" s="8"/>
      <c r="F30" s="8"/>
      <c r="G30" s="8"/>
      <c r="H30" s="8"/>
      <c r="I30" s="8">
        <f>Total!H33*25</f>
        <v>0</v>
      </c>
      <c r="J30" s="8">
        <f>Total!I33*25</f>
        <v>0</v>
      </c>
      <c r="K30" s="8">
        <f>Total!J33*25</f>
        <v>25</v>
      </c>
      <c r="L30" s="8">
        <f>Total!L33*25</f>
        <v>150</v>
      </c>
      <c r="M30" s="8">
        <f>Total!M33*25</f>
        <v>150</v>
      </c>
      <c r="N30" s="13"/>
    </row>
    <row r="31" spans="1:14" ht="19.5" customHeight="1" thickTop="1" thickBot="1">
      <c r="A31" s="212"/>
      <c r="B31" s="7" t="s">
        <v>55</v>
      </c>
      <c r="C31" s="32" t="s">
        <v>145</v>
      </c>
      <c r="D31" s="8"/>
      <c r="E31" s="8"/>
      <c r="F31" s="8"/>
      <c r="G31" s="8"/>
      <c r="H31" s="8"/>
      <c r="I31" s="8">
        <f>Total!H34*25</f>
        <v>0</v>
      </c>
      <c r="J31" s="8">
        <f>Total!I34*25</f>
        <v>0</v>
      </c>
      <c r="K31" s="8">
        <f>Total!J34*25</f>
        <v>0</v>
      </c>
      <c r="L31" s="8">
        <f>Total!L34*25</f>
        <v>150</v>
      </c>
      <c r="M31" s="8">
        <f>Total!M34*25</f>
        <v>150</v>
      </c>
      <c r="N31" s="13"/>
    </row>
    <row r="32" spans="1:14" ht="19.5" customHeight="1" thickTop="1" thickBot="1">
      <c r="A32" s="212"/>
      <c r="B32" s="7" t="s">
        <v>56</v>
      </c>
      <c r="C32" s="32" t="s">
        <v>145</v>
      </c>
      <c r="D32" s="8"/>
      <c r="E32" s="8"/>
      <c r="F32" s="8"/>
      <c r="G32" s="8"/>
      <c r="H32" s="8"/>
      <c r="I32" s="8">
        <f>Total!H35*25</f>
        <v>0</v>
      </c>
      <c r="J32" s="8">
        <f>Total!I35*25</f>
        <v>0</v>
      </c>
      <c r="K32" s="8">
        <f>Total!J35*25</f>
        <v>0</v>
      </c>
      <c r="L32" s="8">
        <f>Total!L35*25</f>
        <v>0</v>
      </c>
      <c r="M32" s="8">
        <f>Total!M35*25</f>
        <v>0</v>
      </c>
      <c r="N32" s="13"/>
    </row>
    <row r="33" spans="1:14" ht="19.5" customHeight="1" thickTop="1" thickBot="1">
      <c r="A33" s="212"/>
      <c r="B33" s="7" t="s">
        <v>57</v>
      </c>
      <c r="C33" s="32" t="s">
        <v>145</v>
      </c>
      <c r="D33" s="8"/>
      <c r="E33" s="8"/>
      <c r="F33" s="8"/>
      <c r="G33" s="8"/>
      <c r="H33" s="8"/>
      <c r="I33" s="8">
        <f>Total!H36*25</f>
        <v>0</v>
      </c>
      <c r="J33" s="8">
        <f>Total!I36*25</f>
        <v>0</v>
      </c>
      <c r="K33" s="8">
        <f>Total!J36*25</f>
        <v>0</v>
      </c>
      <c r="L33" s="8">
        <f>Total!L36*25</f>
        <v>225</v>
      </c>
      <c r="M33" s="8">
        <f>Total!M36*25</f>
        <v>225</v>
      </c>
      <c r="N33" s="13"/>
    </row>
    <row r="34" spans="1:14" ht="19.5" customHeight="1" thickTop="1" thickBot="1">
      <c r="A34" s="212"/>
      <c r="B34" s="7" t="s">
        <v>58</v>
      </c>
      <c r="C34" s="32" t="s">
        <v>145</v>
      </c>
      <c r="D34" s="8"/>
      <c r="E34" s="8"/>
      <c r="F34" s="8"/>
      <c r="G34" s="8"/>
      <c r="H34" s="8"/>
      <c r="I34" s="8">
        <f>Total!H37*25</f>
        <v>0</v>
      </c>
      <c r="J34" s="8">
        <f>Total!I37*25</f>
        <v>0</v>
      </c>
      <c r="K34" s="8">
        <f>Total!J37*25</f>
        <v>0</v>
      </c>
      <c r="L34" s="8">
        <f>Total!L37*25</f>
        <v>300</v>
      </c>
      <c r="M34" s="8">
        <f>Total!M37*25</f>
        <v>300</v>
      </c>
      <c r="N34" s="13"/>
    </row>
    <row r="35" spans="1:14" ht="19.5" customHeight="1" thickTop="1" thickBot="1">
      <c r="A35" s="212"/>
      <c r="B35" s="7" t="s">
        <v>59</v>
      </c>
      <c r="C35" s="32" t="s">
        <v>145</v>
      </c>
      <c r="D35" s="8"/>
      <c r="E35" s="8"/>
      <c r="F35" s="8"/>
      <c r="G35" s="8"/>
      <c r="H35" s="8"/>
      <c r="I35" s="8">
        <f>Total!H38*25</f>
        <v>0</v>
      </c>
      <c r="J35" s="8">
        <f>Total!I38*25</f>
        <v>0</v>
      </c>
      <c r="K35" s="8">
        <f>Total!J38*25</f>
        <v>0</v>
      </c>
      <c r="L35" s="8">
        <f>Total!L38*25</f>
        <v>225</v>
      </c>
      <c r="M35" s="8">
        <f>Total!M38*25</f>
        <v>225</v>
      </c>
      <c r="N35" s="13"/>
    </row>
    <row r="36" spans="1:14" ht="19.5" customHeight="1" thickTop="1" thickBot="1">
      <c r="A36" s="212" t="s">
        <v>89</v>
      </c>
      <c r="B36" s="7" t="s">
        <v>60</v>
      </c>
      <c r="C36" s="32" t="s">
        <v>145</v>
      </c>
      <c r="D36" s="8"/>
      <c r="E36" s="8"/>
      <c r="F36" s="8"/>
      <c r="G36" s="8"/>
      <c r="H36" s="8"/>
      <c r="I36" s="8">
        <f>Total!H39*25</f>
        <v>0</v>
      </c>
      <c r="J36" s="8">
        <f>Total!I39*25</f>
        <v>0</v>
      </c>
      <c r="K36" s="8">
        <f>Total!J39*25</f>
        <v>0</v>
      </c>
      <c r="L36" s="8">
        <f>Total!L39*25</f>
        <v>300</v>
      </c>
      <c r="M36" s="8">
        <f>Total!M39*25</f>
        <v>225</v>
      </c>
      <c r="N36" s="13"/>
    </row>
    <row r="37" spans="1:14" ht="19.5" customHeight="1" thickTop="1" thickBot="1">
      <c r="A37" s="212"/>
      <c r="B37" s="7" t="s">
        <v>61</v>
      </c>
      <c r="C37" s="32" t="s">
        <v>145</v>
      </c>
      <c r="D37" s="8"/>
      <c r="E37" s="8"/>
      <c r="F37" s="8"/>
      <c r="G37" s="8"/>
      <c r="H37" s="8"/>
      <c r="I37" s="8">
        <f>Total!H40*25</f>
        <v>0</v>
      </c>
      <c r="J37" s="8">
        <f>Total!I40*25</f>
        <v>0</v>
      </c>
      <c r="K37" s="8">
        <f>Total!J40*25</f>
        <v>0</v>
      </c>
      <c r="L37" s="8">
        <f>Total!L40*25</f>
        <v>300</v>
      </c>
      <c r="M37" s="8">
        <f>Total!M40*25</f>
        <v>150</v>
      </c>
      <c r="N37" s="13"/>
    </row>
    <row r="38" spans="1:14" ht="19.5" customHeight="1" thickTop="1" thickBot="1">
      <c r="A38" s="212"/>
      <c r="B38" s="7" t="s">
        <v>62</v>
      </c>
      <c r="C38" s="32" t="s">
        <v>145</v>
      </c>
      <c r="D38" s="8"/>
      <c r="E38" s="8"/>
      <c r="F38" s="8"/>
      <c r="G38" s="8"/>
      <c r="H38" s="8"/>
      <c r="I38" s="8">
        <f>Total!H41*25</f>
        <v>0</v>
      </c>
      <c r="J38" s="8">
        <f>Total!I41*25</f>
        <v>0</v>
      </c>
      <c r="K38" s="8">
        <f>Total!J41*25</f>
        <v>0</v>
      </c>
      <c r="L38" s="8">
        <f>Total!L41*25</f>
        <v>225</v>
      </c>
      <c r="M38" s="8">
        <f>Total!M41*25</f>
        <v>225</v>
      </c>
      <c r="N38" s="13"/>
    </row>
    <row r="39" spans="1:14" ht="19.5" customHeight="1" thickTop="1" thickBot="1">
      <c r="A39" s="212"/>
      <c r="B39" s="7" t="s">
        <v>63</v>
      </c>
      <c r="C39" s="32" t="s">
        <v>145</v>
      </c>
      <c r="D39" s="8"/>
      <c r="E39" s="8"/>
      <c r="F39" s="8"/>
      <c r="G39" s="8"/>
      <c r="H39" s="8"/>
      <c r="I39" s="8">
        <f>Total!H42*25</f>
        <v>0</v>
      </c>
      <c r="J39" s="8">
        <f>Total!I42*25</f>
        <v>0</v>
      </c>
      <c r="K39" s="8">
        <f>Total!J42*25</f>
        <v>0</v>
      </c>
      <c r="L39" s="8">
        <f>Total!L42*25</f>
        <v>225</v>
      </c>
      <c r="M39" s="8">
        <f>Total!M42*25</f>
        <v>225</v>
      </c>
      <c r="N39" s="13"/>
    </row>
    <row r="40" spans="1:14" ht="19.5" customHeight="1" thickTop="1" thickBot="1">
      <c r="A40" s="212"/>
      <c r="B40" s="7" t="s">
        <v>64</v>
      </c>
      <c r="C40" s="32" t="s">
        <v>145</v>
      </c>
      <c r="D40" s="8"/>
      <c r="E40" s="8"/>
      <c r="F40" s="8"/>
      <c r="G40" s="8"/>
      <c r="H40" s="8"/>
      <c r="I40" s="8">
        <f>Total!H43*25</f>
        <v>0</v>
      </c>
      <c r="J40" s="8">
        <f>Total!I43*25</f>
        <v>0</v>
      </c>
      <c r="K40" s="8">
        <f>Total!J43*25</f>
        <v>0</v>
      </c>
      <c r="L40" s="8">
        <f>Total!L43*25</f>
        <v>250</v>
      </c>
      <c r="M40" s="8">
        <f>Total!M43*25</f>
        <v>225</v>
      </c>
      <c r="N40" s="13"/>
    </row>
    <row r="41" spans="1:14" ht="19.5" customHeight="1" thickTop="1">
      <c r="A41" s="212"/>
      <c r="B41" s="7" t="s">
        <v>65</v>
      </c>
      <c r="C41" s="32" t="s">
        <v>145</v>
      </c>
      <c r="D41" s="8"/>
      <c r="E41" s="8"/>
      <c r="F41" s="8"/>
      <c r="G41" s="8"/>
      <c r="H41" s="8"/>
      <c r="I41" s="8">
        <f>Total!H44*25</f>
        <v>0</v>
      </c>
      <c r="J41" s="8">
        <f>Total!I44*25</f>
        <v>0</v>
      </c>
      <c r="K41" s="8">
        <f>Total!J44*25</f>
        <v>0</v>
      </c>
      <c r="L41" s="8">
        <f>Total!L44*25</f>
        <v>75</v>
      </c>
      <c r="M41" s="8">
        <f>Total!M44*25</f>
        <v>75</v>
      </c>
      <c r="N41" s="13"/>
    </row>
    <row r="42" spans="1:14" ht="19.5" customHeight="1">
      <c r="A42" s="212" t="s">
        <v>90</v>
      </c>
      <c r="B42" s="7" t="s">
        <v>66</v>
      </c>
      <c r="C42" s="24" t="s">
        <v>91</v>
      </c>
      <c r="D42" s="8"/>
      <c r="E42" s="8"/>
      <c r="F42" s="8"/>
      <c r="G42" s="8"/>
      <c r="H42" s="8"/>
      <c r="I42" s="8">
        <f>Total!H45*25</f>
        <v>0</v>
      </c>
      <c r="J42" s="8">
        <f>Total!I45*25</f>
        <v>0</v>
      </c>
      <c r="K42" s="8">
        <f>Total!J45*25</f>
        <v>0</v>
      </c>
      <c r="L42" s="8">
        <f>Total!L45*25</f>
        <v>350</v>
      </c>
      <c r="M42" s="8">
        <f>Total!M45*25</f>
        <v>0</v>
      </c>
      <c r="N42" s="13" t="str">
        <f>+B42</f>
        <v>C1</v>
      </c>
    </row>
    <row r="43" spans="1:14" ht="19.5" customHeight="1" thickBot="1">
      <c r="A43" s="212"/>
      <c r="B43" s="7" t="s">
        <v>67</v>
      </c>
      <c r="C43" s="19" t="s">
        <v>91</v>
      </c>
      <c r="D43" s="8"/>
      <c r="E43" s="8"/>
      <c r="F43" s="8"/>
      <c r="G43" s="8"/>
      <c r="H43" s="8"/>
      <c r="I43" s="8">
        <f>Total!H46*25</f>
        <v>0</v>
      </c>
      <c r="J43" s="8">
        <f>Total!I46*25</f>
        <v>0</v>
      </c>
      <c r="K43" s="8">
        <f>Total!J46*25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12"/>
      <c r="B44" s="7" t="s">
        <v>68</v>
      </c>
      <c r="C44" s="32" t="s">
        <v>145</v>
      </c>
      <c r="D44" s="8"/>
      <c r="E44" s="8"/>
      <c r="F44" s="8"/>
      <c r="G44" s="8"/>
      <c r="H44" s="8"/>
      <c r="I44" s="8">
        <f>Total!H47*25</f>
        <v>0</v>
      </c>
      <c r="J44" s="8">
        <f>Total!I47*25</f>
        <v>0</v>
      </c>
      <c r="K44" s="8">
        <f>Total!J47*25</f>
        <v>0</v>
      </c>
      <c r="L44" s="8">
        <f>Total!L47*25</f>
        <v>300</v>
      </c>
      <c r="M44" s="8">
        <f>Total!M47*25</f>
        <v>225</v>
      </c>
      <c r="N44" s="13" t="str">
        <f>+B44</f>
        <v>C3</v>
      </c>
    </row>
    <row r="45" spans="1:14" ht="19.5" customHeight="1" thickTop="1" thickBot="1">
      <c r="A45" s="212"/>
      <c r="B45" s="7" t="s">
        <v>69</v>
      </c>
      <c r="C45" s="32" t="s">
        <v>145</v>
      </c>
      <c r="D45" s="8"/>
      <c r="E45" s="8"/>
      <c r="F45" s="8"/>
      <c r="G45" s="8"/>
      <c r="H45" s="8"/>
      <c r="I45" s="8">
        <f>Total!H48*25</f>
        <v>75</v>
      </c>
      <c r="J45" s="8">
        <f>Total!I48*25</f>
        <v>0</v>
      </c>
      <c r="K45" s="8">
        <f>Total!J48*25</f>
        <v>0</v>
      </c>
      <c r="L45" s="8">
        <f>Total!L48*25</f>
        <v>250</v>
      </c>
      <c r="M45" s="8">
        <f>Total!M48*25</f>
        <v>100</v>
      </c>
      <c r="N45" s="13" t="str">
        <f>+B45</f>
        <v>C4</v>
      </c>
    </row>
    <row r="46" spans="1:14" ht="19.5" customHeight="1" thickTop="1" thickBot="1">
      <c r="A46" s="9" t="s">
        <v>136</v>
      </c>
      <c r="B46" s="7" t="s">
        <v>137</v>
      </c>
      <c r="C46" s="32" t="s">
        <v>98</v>
      </c>
      <c r="D46" s="8"/>
      <c r="E46" s="8"/>
      <c r="F46" s="8"/>
      <c r="G46" s="8"/>
      <c r="H46" s="8"/>
      <c r="I46" s="8">
        <f>Total!H49*25</f>
        <v>0</v>
      </c>
      <c r="J46" s="8">
        <f>Total!I49*25</f>
        <v>0</v>
      </c>
      <c r="K46" s="8">
        <f>Total!J49*25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 thickTop="1" thickBot="1">
      <c r="A47" s="9" t="s">
        <v>94</v>
      </c>
      <c r="B47" s="139"/>
      <c r="C47" s="45" t="s">
        <v>148</v>
      </c>
      <c r="D47" s="8"/>
      <c r="E47" s="8"/>
      <c r="F47" s="8"/>
      <c r="G47" s="8"/>
      <c r="H47" s="8">
        <v>0</v>
      </c>
      <c r="I47" s="8">
        <f>Total!H50*25</f>
        <v>0</v>
      </c>
      <c r="J47" s="8">
        <f>Total!I50*25</f>
        <v>0</v>
      </c>
      <c r="K47" s="8">
        <f>Total!J50*25</f>
        <v>0</v>
      </c>
      <c r="L47" s="8">
        <f>Total!L50*25</f>
        <v>0</v>
      </c>
      <c r="M47" s="8">
        <f>Total!M50*25</f>
        <v>0</v>
      </c>
    </row>
    <row r="48" spans="1:14" ht="19.5" customHeight="1" thickTop="1">
      <c r="A48" s="9" t="s">
        <v>97</v>
      </c>
      <c r="B48" s="140"/>
      <c r="C48" s="50"/>
      <c r="D48" s="8"/>
      <c r="E48" s="8"/>
      <c r="F48" s="8"/>
      <c r="G48" s="8"/>
      <c r="H48" s="8"/>
      <c r="I48" s="8">
        <f>Total!H51*25</f>
        <v>0</v>
      </c>
      <c r="J48" s="8">
        <f>Total!I51*25</f>
        <v>0</v>
      </c>
      <c r="K48" s="8">
        <f>Total!J51*25</f>
        <v>0</v>
      </c>
      <c r="L48" s="8">
        <f>Total!L51*25</f>
        <v>0</v>
      </c>
      <c r="M48" s="8">
        <f>Total!M51*25</f>
        <v>0</v>
      </c>
    </row>
    <row r="49" spans="1:26" s="1" customFormat="1" ht="6.75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0"/>
      <c r="B50" s="10"/>
      <c r="C50" s="10"/>
      <c r="D50" s="11"/>
      <c r="E50" s="11"/>
      <c r="F50" s="11"/>
      <c r="G50" s="11"/>
      <c r="H50" s="11"/>
      <c r="I50" s="211" t="s">
        <v>114</v>
      </c>
      <c r="J50" s="211"/>
      <c r="K50" s="209">
        <f>SUM(D51:M51)</f>
        <v>8925</v>
      </c>
      <c r="L50" s="209"/>
      <c r="M50" s="209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211" t="s">
        <v>115</v>
      </c>
      <c r="B51" s="211"/>
      <c r="C51" s="211"/>
      <c r="D51" s="8">
        <f>SUM(D12:D48)</f>
        <v>0</v>
      </c>
      <c r="E51" s="8"/>
      <c r="F51" s="8">
        <f t="shared" ref="F51:M51" si="1">SUM(F12:F48)</f>
        <v>0</v>
      </c>
      <c r="G51" s="8">
        <f t="shared" si="1"/>
        <v>0</v>
      </c>
      <c r="H51" s="8">
        <f t="shared" si="1"/>
        <v>0</v>
      </c>
      <c r="I51" s="8">
        <f t="shared" si="1"/>
        <v>525</v>
      </c>
      <c r="J51" s="8">
        <f t="shared" si="1"/>
        <v>625</v>
      </c>
      <c r="K51" s="8">
        <f t="shared" si="1"/>
        <v>900</v>
      </c>
      <c r="L51" s="8">
        <f t="shared" si="1"/>
        <v>4375</v>
      </c>
      <c r="M51" s="8">
        <f t="shared" si="1"/>
        <v>2500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211" t="s">
        <v>116</v>
      </c>
      <c r="B52" s="211"/>
      <c r="C52" s="211"/>
      <c r="D52" s="8">
        <v>20</v>
      </c>
      <c r="E52" s="8">
        <v>20</v>
      </c>
      <c r="F52" s="8">
        <v>560</v>
      </c>
      <c r="G52" s="8">
        <v>5000</v>
      </c>
      <c r="H52" s="8">
        <v>10000</v>
      </c>
      <c r="I52" s="8">
        <v>2950</v>
      </c>
      <c r="J52" s="8">
        <v>3775</v>
      </c>
      <c r="K52" s="8">
        <v>4025</v>
      </c>
      <c r="L52" s="8">
        <v>13825</v>
      </c>
      <c r="M52" s="8">
        <v>2500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211" t="s">
        <v>117</v>
      </c>
      <c r="B53" s="211"/>
      <c r="C53" s="211"/>
      <c r="D53" s="8">
        <v>0</v>
      </c>
      <c r="E53" s="8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211" t="s">
        <v>118</v>
      </c>
      <c r="B54" s="211"/>
      <c r="C54" s="211"/>
      <c r="D54" s="8">
        <f>(D52+D53)-D51</f>
        <v>20</v>
      </c>
      <c r="E54" s="8">
        <f t="shared" ref="E54:G54" si="2">(E52+E53)-E51</f>
        <v>20</v>
      </c>
      <c r="F54" s="8">
        <f t="shared" si="2"/>
        <v>560</v>
      </c>
      <c r="G54" s="8">
        <f t="shared" si="2"/>
        <v>5000</v>
      </c>
      <c r="H54" s="8">
        <f t="shared" ref="H54" si="3">(H52+H53)-H51</f>
        <v>10000</v>
      </c>
      <c r="I54" s="8">
        <f t="shared" ref="I54:J54" si="4">(I52+I53)-I51</f>
        <v>2425</v>
      </c>
      <c r="J54" s="8">
        <f t="shared" si="4"/>
        <v>3150</v>
      </c>
      <c r="K54" s="8">
        <f t="shared" ref="K54" si="5">(K52+K53)-K51</f>
        <v>3125</v>
      </c>
      <c r="L54" s="8">
        <f t="shared" ref="L54" si="6">(L52+L53)-L51</f>
        <v>9450</v>
      </c>
      <c r="M54" s="8">
        <f t="shared" ref="M54" si="7">(M52+M53)-M51</f>
        <v>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1"/>
      <c r="B55" s="11"/>
      <c r="C55" s="11"/>
      <c r="D55" s="11"/>
      <c r="E55" s="11"/>
      <c r="F55" s="11"/>
      <c r="G55" s="11"/>
      <c r="H55" s="11"/>
      <c r="I55" s="208" t="s">
        <v>119</v>
      </c>
      <c r="J55" s="208"/>
      <c r="K55" s="209">
        <f>SUM(D54:M54)</f>
        <v>33750</v>
      </c>
      <c r="L55" s="209"/>
      <c r="M55" s="209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121</v>
      </c>
    </row>
  </sheetData>
  <mergeCells count="28">
    <mergeCell ref="A36:A41"/>
    <mergeCell ref="A42:A45"/>
    <mergeCell ref="A9:M9"/>
    <mergeCell ref="A12:A17"/>
    <mergeCell ref="A18:A23"/>
    <mergeCell ref="A24:A29"/>
    <mergeCell ref="A30:A35"/>
    <mergeCell ref="I55:J55"/>
    <mergeCell ref="K55:M55"/>
    <mergeCell ref="A57:M57"/>
    <mergeCell ref="I50:J50"/>
    <mergeCell ref="K50:M50"/>
    <mergeCell ref="A51:C51"/>
    <mergeCell ref="A52:C52"/>
    <mergeCell ref="A53:C53"/>
    <mergeCell ref="A54:C54"/>
    <mergeCell ref="K1:M4"/>
    <mergeCell ref="D3:J5"/>
    <mergeCell ref="B6:C6"/>
    <mergeCell ref="B7:C7"/>
    <mergeCell ref="K5:M7"/>
    <mergeCell ref="D6:J7"/>
    <mergeCell ref="B1:C1"/>
    <mergeCell ref="B2:C2"/>
    <mergeCell ref="B3:C3"/>
    <mergeCell ref="B4:C4"/>
    <mergeCell ref="B5:C5"/>
    <mergeCell ref="D1:J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Y7"/>
    </sheetView>
  </sheetViews>
  <sheetFormatPr baseColWidth="10" defaultRowHeight="15"/>
  <sheetData>
    <row r="2" spans="2:37">
      <c r="B2" s="66"/>
      <c r="C2" s="67"/>
      <c r="D2" s="67"/>
      <c r="E2" s="67"/>
      <c r="F2" s="67"/>
      <c r="G2" s="68"/>
      <c r="H2" s="86"/>
      <c r="I2" s="67"/>
      <c r="J2" s="67"/>
      <c r="K2" s="67"/>
      <c r="L2" s="67"/>
      <c r="M2" s="87"/>
      <c r="N2" s="86"/>
      <c r="O2" s="67"/>
      <c r="P2" s="67"/>
      <c r="Q2" s="67"/>
      <c r="R2" s="67"/>
      <c r="S2" s="87"/>
      <c r="T2" s="86"/>
      <c r="U2" s="67"/>
      <c r="V2" s="67"/>
      <c r="W2" s="67"/>
      <c r="X2" s="67"/>
      <c r="Y2" s="87"/>
      <c r="Z2" s="86"/>
      <c r="AA2" s="67"/>
      <c r="AB2" s="67"/>
      <c r="AC2" s="67"/>
      <c r="AD2" s="67"/>
      <c r="AE2" s="87"/>
      <c r="AF2" s="86"/>
      <c r="AG2" s="67"/>
      <c r="AH2" s="67"/>
      <c r="AI2" s="68"/>
      <c r="AJ2" s="97"/>
      <c r="AK2" s="98"/>
    </row>
    <row r="3" spans="2:37">
      <c r="B3" s="66"/>
      <c r="C3" s="67"/>
      <c r="D3" s="67"/>
      <c r="E3" s="67"/>
      <c r="F3" s="67"/>
      <c r="G3" s="68"/>
      <c r="H3" s="86"/>
      <c r="I3" s="67"/>
      <c r="J3" s="67"/>
      <c r="K3" s="67"/>
      <c r="L3" s="67"/>
      <c r="M3" s="87"/>
      <c r="N3" s="86"/>
      <c r="O3" s="67"/>
      <c r="P3" s="67"/>
      <c r="Q3" s="67"/>
      <c r="R3" s="67"/>
      <c r="S3" s="87"/>
      <c r="T3" s="86"/>
      <c r="U3" s="67"/>
      <c r="V3" s="67"/>
      <c r="W3" s="67"/>
      <c r="X3" s="67"/>
      <c r="Y3" s="87"/>
      <c r="Z3" s="86"/>
      <c r="AA3" s="67"/>
      <c r="AB3" s="67"/>
      <c r="AC3" s="67"/>
      <c r="AD3" s="67"/>
      <c r="AE3" s="87"/>
      <c r="AF3" s="86"/>
      <c r="AG3" s="67"/>
      <c r="AH3" s="67"/>
      <c r="AI3" s="68"/>
      <c r="AJ3" s="97"/>
      <c r="AK3" s="98"/>
    </row>
    <row r="4" spans="2:37">
      <c r="B4" s="66"/>
      <c r="C4" s="67"/>
      <c r="D4" s="67"/>
      <c r="E4" s="67"/>
      <c r="F4" s="67"/>
      <c r="G4" s="68"/>
      <c r="H4" s="86"/>
      <c r="I4" s="67"/>
      <c r="J4" s="67"/>
      <c r="K4" s="67"/>
      <c r="L4" s="67"/>
      <c r="M4" s="87"/>
      <c r="N4" s="86"/>
      <c r="O4" s="67"/>
      <c r="P4" s="67"/>
      <c r="Q4" s="67"/>
      <c r="R4" s="67"/>
      <c r="S4" s="87"/>
      <c r="T4" s="86"/>
      <c r="U4" s="67"/>
      <c r="V4" s="67"/>
      <c r="W4" s="67"/>
      <c r="X4" s="67"/>
      <c r="Y4" s="87"/>
      <c r="Z4" s="86"/>
      <c r="AA4" s="67"/>
      <c r="AB4" s="67"/>
      <c r="AC4" s="67"/>
      <c r="AD4" s="67"/>
      <c r="AE4" s="87"/>
      <c r="AF4" s="86"/>
      <c r="AG4" s="67"/>
      <c r="AH4" s="67"/>
      <c r="AI4" s="68"/>
      <c r="AJ4" s="97"/>
      <c r="AK4" s="98"/>
    </row>
    <row r="5" spans="2:37">
      <c r="B5" s="66"/>
      <c r="C5" s="67"/>
      <c r="D5" s="67"/>
      <c r="E5" s="67"/>
      <c r="F5" s="67"/>
      <c r="G5" s="68"/>
      <c r="H5" s="86"/>
      <c r="I5" s="67"/>
      <c r="J5" s="67"/>
      <c r="K5" s="67"/>
      <c r="L5" s="67"/>
      <c r="M5" s="87"/>
      <c r="N5" s="86"/>
      <c r="O5" s="67"/>
      <c r="P5" s="67"/>
      <c r="Q5" s="67"/>
      <c r="R5" s="67"/>
      <c r="S5" s="87"/>
      <c r="T5" s="86"/>
      <c r="U5" s="67"/>
      <c r="V5" s="67"/>
      <c r="W5" s="67"/>
      <c r="X5" s="67"/>
      <c r="Y5" s="87"/>
      <c r="Z5" s="86"/>
      <c r="AA5" s="67"/>
      <c r="AB5" s="67"/>
      <c r="AC5" s="67"/>
      <c r="AD5" s="67"/>
      <c r="AE5" s="87"/>
      <c r="AF5" s="86"/>
      <c r="AG5" s="67"/>
      <c r="AH5" s="67"/>
      <c r="AI5" s="68"/>
      <c r="AJ5" s="97"/>
      <c r="AK5" s="98"/>
    </row>
    <row r="6" spans="2:37">
      <c r="B6" s="66"/>
      <c r="C6" s="67"/>
      <c r="D6" s="67"/>
      <c r="E6" s="67"/>
      <c r="F6" s="67"/>
      <c r="G6" s="68"/>
      <c r="H6" s="86"/>
      <c r="I6" s="67"/>
      <c r="J6" s="67"/>
      <c r="K6" s="67"/>
      <c r="L6" s="67"/>
      <c r="M6" s="87"/>
      <c r="N6" s="86"/>
      <c r="O6" s="67"/>
      <c r="P6" s="67"/>
      <c r="Q6" s="67"/>
      <c r="R6" s="67"/>
      <c r="S6" s="87"/>
      <c r="T6" s="86"/>
      <c r="U6" s="67"/>
      <c r="V6" s="67"/>
      <c r="W6" s="67"/>
      <c r="X6" s="67"/>
      <c r="Y6" s="87"/>
      <c r="Z6" s="86"/>
      <c r="AA6" s="67"/>
      <c r="AB6" s="67"/>
      <c r="AC6" s="67"/>
      <c r="AD6" s="67"/>
      <c r="AE6" s="87"/>
      <c r="AF6" s="86"/>
      <c r="AG6" s="67"/>
      <c r="AH6" s="67"/>
      <c r="AI6" s="68"/>
      <c r="AJ6" s="97"/>
      <c r="AK6" s="98"/>
    </row>
    <row r="7" spans="2:37">
      <c r="B7" s="66"/>
      <c r="C7" s="67"/>
      <c r="D7" s="67"/>
      <c r="E7" s="67"/>
      <c r="F7" s="67"/>
      <c r="G7" s="68"/>
      <c r="H7" s="86"/>
      <c r="I7" s="67"/>
      <c r="J7" s="67"/>
      <c r="K7" s="67"/>
      <c r="L7" s="67"/>
      <c r="M7" s="87"/>
      <c r="N7" s="86"/>
      <c r="O7" s="67"/>
      <c r="P7" s="67"/>
      <c r="Q7" s="67"/>
      <c r="R7" s="67"/>
      <c r="S7" s="87"/>
      <c r="T7" s="86"/>
      <c r="U7" s="67"/>
      <c r="V7" s="67"/>
      <c r="W7" s="67"/>
      <c r="X7" s="67"/>
      <c r="Y7" s="87"/>
      <c r="Z7" s="86"/>
      <c r="AA7" s="67"/>
      <c r="AB7" s="67"/>
      <c r="AC7" s="67"/>
      <c r="AD7" s="67"/>
      <c r="AE7" s="87"/>
      <c r="AF7" s="86"/>
      <c r="AG7" s="67"/>
      <c r="AH7" s="67"/>
      <c r="AI7" s="68"/>
      <c r="AJ7" s="97"/>
      <c r="AK7" s="98"/>
    </row>
    <row r="8" spans="2:37">
      <c r="B8" s="66"/>
      <c r="C8" s="67"/>
      <c r="D8" s="67"/>
      <c r="E8" s="67"/>
      <c r="F8" s="67"/>
      <c r="G8" s="68"/>
      <c r="H8" s="86"/>
      <c r="I8" s="67"/>
      <c r="J8" s="67"/>
      <c r="K8" s="67"/>
      <c r="L8" s="67"/>
      <c r="M8" s="87"/>
      <c r="N8" s="86"/>
      <c r="O8" s="67"/>
      <c r="P8" s="67"/>
      <c r="Q8" s="67"/>
      <c r="R8" s="67"/>
      <c r="S8" s="87"/>
      <c r="T8" s="86"/>
      <c r="U8" s="67"/>
      <c r="V8" s="67"/>
      <c r="W8" s="67"/>
      <c r="X8" s="67"/>
      <c r="Y8" s="87"/>
      <c r="Z8" s="86"/>
      <c r="AA8" s="67"/>
      <c r="AB8" s="67"/>
      <c r="AC8" s="67"/>
      <c r="AD8" s="67"/>
      <c r="AE8" s="87"/>
      <c r="AF8" s="86"/>
      <c r="AG8" s="67"/>
      <c r="AH8" s="67"/>
      <c r="AI8" s="68"/>
      <c r="AJ8" s="97"/>
      <c r="AK8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2024-12-13T14:31:41Z</cp:lastPrinted>
  <dcterms:created xsi:type="dcterms:W3CDTF">2023-06-22T14:18:00Z</dcterms:created>
  <dcterms:modified xsi:type="dcterms:W3CDTF">2024-12-13T14:31:45Z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